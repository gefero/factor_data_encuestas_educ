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alcChain+xml" PartName="/xl/calcChain.xml"/>
  <Override ContentType="application/vnd.openxmlformats-officedocument.drawingml.chart+xml" PartName="/xl/charts/chart1.xml"/>
  <Override ContentType="application/vnd.ms-office.chartcolorstyle+xml" PartName="/xl/charts/colors1.xml"/>
  <Override ContentType="application/vnd.ms-office.chartstyle+xml" PartName="/xl/charts/style1.xml"/>
  <Override ContentType="application/vnd.openxmlformats-officedocument.drawing+xml" PartName="/xl/drawings/drawing1.xml"/>
  <Override ContentType="application/vnd.openxmlformats-officedocument.drawing+xml" PartName="/xl/drawings/drawing2.xml"/>
  <Override ContentType="application/vnd.openxmlformats-officedocument.drawingml.chartshapes+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spreadsheetml.pivotCacheDefinition+xml" PartName="/xl/pivotCache/pivotCacheDefinition1.xml"/>
  <Override ContentType="application/vnd.openxmlformats-officedocument.spreadsheetml.pivotCacheRecords+xml" PartName="/xl/pivotCache/pivotCacheRecords1.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ms-excel.slicerCache+xml" PartName="/xl/slicerCaches/slicerCache1.xml"/>
  <Override ContentType="application/vnd.ms-excel.slicer+xml" PartName="/xl/slicers/slicer1.xml"/>
  <Override ContentType="application/vnd.ms-excel.slicer+xml" PartName="/xl/slicers/slicer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hidePivotFieldList="1"/>
  <mc:AlternateContent>
    <mc:Choice Requires="x15">
      <x15ac:absPath xmlns:x15ac="http://schemas.microsoft.com/office/spreadsheetml/2010/11/ac" url="C:\Users\dflor\Desktop\UNSAM\Encuestas 2025-2do cuat\12-6-2026\Base Envio Docentes\"/>
    </mc:Choice>
  </mc:AlternateContent>
  <xr:revisionPtr revIDLastSave="0" documentId="13_ncr:1_{E2161AF5-5E7B-4194-8D07-09A459F004D2}" xr6:coauthVersionLast="47" xr6:coauthVersionMax="47" xr10:uidLastSave="{00000000-0000-0000-0000-000000000000}"/>
  <bookViews>
    <workbookView xWindow="-120" yWindow="-120" windowWidth="29040" windowHeight="15720" xr2:uid="{00000000-000D-0000-FFFF-FFFF00000000}" activeTab="1"/>
  </bookViews>
  <sheets>
    <sheet name="Sobre la Encuesta" sheetId="4" r:id="rId1"/>
    <sheet name="Síntesis de Resultados" sheetId="17" r:id="rId2"/>
    <sheet name="Base Encuesta" sheetId="5" r:id="rId3"/>
    <sheet name="_BaseNum" sheetId="9" state="hidden" r:id="rId4"/>
    <sheet name="_DinamicaProm" sheetId="12" state="hidden" r:id="rId5"/>
  </sheets>
  <definedNames>
    <definedName name="_xlnm._FilterDatabase" localSheetId="2" hidden="1">'Base Encuesta'!$A$20:$AX$20</definedName>
    <definedName name="_xlnm.Print_Area" localSheetId="0">'Sobre la Encuesta'!#REF!</definedName>
    <definedName name="RangoGraf">'Síntesis de Resultados'!$D$27:$E$27,'Síntesis de Resultados'!$D$35:$E$35,'Síntesis de Resultados'!$G$27:$H$27,'Síntesis de Resultados'!$G$35:$H$35,'Síntesis de Resultados'!$J$27:$K$27,'Síntesis de Resultados'!$J$35:$K$35</definedName>
    <definedName name="SegmentaciónDeDatos_Docente">#N/A</definedName>
  </definedNames>
  <calcPr calcId="191029"/>
  <pivotCaches>
    <pivotCache cacheId="17"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9" i="17" l="1"/>
  <c r="E30" i="17"/>
  <c r="E31" i="17"/>
  <c r="E32" i="17"/>
  <c r="K37" i="17"/>
  <c r="K35" i="17" s="1"/>
  <c r="K38" i="17"/>
  <c r="H38" i="17"/>
  <c r="H39" i="17"/>
  <c r="K30" i="17"/>
  <c r="K32" i="17"/>
  <c r="E27" i="17" l="1"/>
  <c r="J3" i="9" l="1"/>
  <c r="J4" i="9"/>
  <c r="J5" i="9"/>
  <c r="J6" i="9"/>
  <c r="J7" i="9"/>
  <c r="J8" i="9"/>
  <c r="J9" i="9"/>
  <c r="J10" i="9"/>
  <c r="J11" i="9"/>
  <c r="J12" i="9"/>
  <c r="J13" i="9"/>
  <c r="J14" i="9"/>
  <c r="J15" i="9"/>
  <c r="J16" i="9"/>
  <c r="J17" i="9"/>
  <c r="J18" i="9"/>
  <c r="J19" i="9"/>
  <c r="J20" i="9"/>
  <c r="J21" i="9"/>
  <c r="J22" i="9"/>
  <c r="J23" i="9"/>
  <c r="J24" i="9"/>
  <c r="J25" i="9"/>
  <c r="J26" i="9"/>
  <c r="J27" i="9"/>
  <c r="J28" i="9"/>
  <c r="J29" i="9"/>
  <c r="J30" i="9"/>
  <c r="J31" i="9"/>
  <c r="J32" i="9"/>
  <c r="J33" i="9"/>
  <c r="J34" i="9"/>
  <c r="J35" i="9"/>
  <c r="J36" i="9"/>
  <c r="J37" i="9"/>
  <c r="J38" i="9"/>
  <c r="J39" i="9"/>
  <c r="J40" i="9"/>
  <c r="J41" i="9"/>
  <c r="J42" i="9"/>
  <c r="J43" i="9"/>
  <c r="J44" i="9"/>
  <c r="J45" i="9"/>
  <c r="J46" i="9"/>
  <c r="J47" i="9"/>
  <c r="J48" i="9"/>
  <c r="J49" i="9"/>
  <c r="J50" i="9"/>
  <c r="J51" i="9"/>
  <c r="J52" i="9"/>
  <c r="J53" i="9"/>
  <c r="J54" i="9"/>
  <c r="J55" i="9"/>
  <c r="J56" i="9"/>
  <c r="J57" i="9"/>
  <c r="J58" i="9"/>
  <c r="J59" i="9"/>
  <c r="J60" i="9"/>
  <c r="J61" i="9"/>
  <c r="J62" i="9"/>
  <c r="J63" i="9"/>
  <c r="J64" i="9"/>
  <c r="J65" i="9"/>
  <c r="J66" i="9"/>
  <c r="J67" i="9"/>
  <c r="J68" i="9"/>
  <c r="J69" i="9"/>
  <c r="J70" i="9"/>
  <c r="J71" i="9"/>
  <c r="J72" i="9"/>
  <c r="J73" i="9"/>
  <c r="J74" i="9"/>
  <c r="J75" i="9"/>
  <c r="J76" i="9"/>
  <c r="J77" i="9"/>
  <c r="J78" i="9"/>
  <c r="J79" i="9"/>
  <c r="J80" i="9"/>
  <c r="J81" i="9"/>
  <c r="J82" i="9"/>
  <c r="J83" i="9"/>
  <c r="J84" i="9"/>
  <c r="J85" i="9"/>
  <c r="J86" i="9"/>
  <c r="J87" i="9"/>
  <c r="J88" i="9"/>
  <c r="J89" i="9"/>
  <c r="J90" i="9"/>
  <c r="J91" i="9"/>
  <c r="J92" i="9"/>
  <c r="J93" i="9"/>
  <c r="J94" i="9"/>
  <c r="J95" i="9"/>
  <c r="J96" i="9"/>
  <c r="J97" i="9"/>
  <c r="J98" i="9"/>
  <c r="J99" i="9"/>
  <c r="J100" i="9"/>
  <c r="J101" i="9"/>
  <c r="J102" i="9"/>
  <c r="J103" i="9"/>
  <c r="J104" i="9"/>
  <c r="J105" i="9"/>
  <c r="J106" i="9"/>
  <c r="J107" i="9"/>
  <c r="J108" i="9"/>
  <c r="J109" i="9"/>
  <c r="J110" i="9"/>
  <c r="J111" i="9"/>
  <c r="J112" i="9"/>
  <c r="J113" i="9"/>
  <c r="J114" i="9"/>
  <c r="J115" i="9"/>
  <c r="J116" i="9"/>
  <c r="J117" i="9"/>
  <c r="J118" i="9"/>
  <c r="J119" i="9"/>
  <c r="J120" i="9"/>
  <c r="J121" i="9"/>
  <c r="J122" i="9"/>
  <c r="J123" i="9"/>
  <c r="J124" i="9"/>
  <c r="J125" i="9"/>
  <c r="J126" i="9"/>
  <c r="J127" i="9"/>
  <c r="J128" i="9"/>
  <c r="J129" i="9"/>
  <c r="J130" i="9"/>
  <c r="J131" i="9"/>
  <c r="J132" i="9"/>
  <c r="J133" i="9"/>
  <c r="J134" i="9"/>
  <c r="J135" i="9"/>
  <c r="J136" i="9"/>
  <c r="J137" i="9"/>
  <c r="J138" i="9"/>
  <c r="J139" i="9"/>
  <c r="J140" i="9"/>
  <c r="J141" i="9"/>
  <c r="J142" i="9"/>
  <c r="J143" i="9"/>
  <c r="J144" i="9"/>
  <c r="J145" i="9"/>
  <c r="J146" i="9"/>
  <c r="J147" i="9"/>
  <c r="J148" i="9"/>
  <c r="J149" i="9"/>
  <c r="J150" i="9"/>
  <c r="J151" i="9"/>
  <c r="J152" i="9"/>
  <c r="J153" i="9"/>
  <c r="J154" i="9"/>
  <c r="J155" i="9"/>
  <c r="J156" i="9"/>
  <c r="J157" i="9"/>
  <c r="J158" i="9"/>
  <c r="J159" i="9"/>
  <c r="J160" i="9"/>
  <c r="J161" i="9"/>
  <c r="J162" i="9"/>
  <c r="J163" i="9"/>
  <c r="J164" i="9"/>
  <c r="J165" i="9"/>
  <c r="J166" i="9"/>
  <c r="J167" i="9"/>
  <c r="J168" i="9"/>
  <c r="J169" i="9"/>
  <c r="J170" i="9"/>
  <c r="J171" i="9"/>
  <c r="J172" i="9"/>
  <c r="J173" i="9"/>
  <c r="J174" i="9"/>
  <c r="J175" i="9"/>
  <c r="J176" i="9"/>
  <c r="J177" i="9"/>
  <c r="J178" i="9"/>
  <c r="J179" i="9"/>
  <c r="J180" i="9"/>
  <c r="J181" i="9"/>
  <c r="J182" i="9"/>
  <c r="J183" i="9"/>
  <c r="J184" i="9"/>
  <c r="J185" i="9"/>
  <c r="J186" i="9"/>
  <c r="J187" i="9"/>
  <c r="J188" i="9"/>
  <c r="J189" i="9"/>
  <c r="J190" i="9"/>
  <c r="J191" i="9"/>
  <c r="J192" i="9"/>
  <c r="J193" i="9"/>
  <c r="J194" i="9"/>
  <c r="J195" i="9"/>
  <c r="J196" i="9"/>
  <c r="J197" i="9"/>
  <c r="J198" i="9"/>
  <c r="J199" i="9"/>
  <c r="J200" i="9"/>
  <c r="J201" i="9"/>
  <c r="J202" i="9"/>
  <c r="J203" i="9"/>
  <c r="J204" i="9"/>
  <c r="J205" i="9"/>
  <c r="J206" i="9"/>
  <c r="J207" i="9"/>
  <c r="J208" i="9"/>
  <c r="J209" i="9"/>
  <c r="J210" i="9"/>
  <c r="J211" i="9"/>
  <c r="J212" i="9"/>
  <c r="J213" i="9"/>
  <c r="J214" i="9"/>
  <c r="J215" i="9"/>
  <c r="J216" i="9"/>
  <c r="J217" i="9"/>
  <c r="J218" i="9"/>
  <c r="J219" i="9"/>
  <c r="J220" i="9"/>
  <c r="J221" i="9"/>
  <c r="J222" i="9"/>
  <c r="J223" i="9"/>
  <c r="J224" i="9"/>
  <c r="J225" i="9"/>
  <c r="J226" i="9"/>
  <c r="J227" i="9"/>
  <c r="J228" i="9"/>
  <c r="J229" i="9"/>
  <c r="J230" i="9"/>
  <c r="J231" i="9"/>
  <c r="J232" i="9"/>
  <c r="J233" i="9"/>
  <c r="J234" i="9"/>
  <c r="J235" i="9"/>
  <c r="J236" i="9"/>
  <c r="J237" i="9"/>
  <c r="J238" i="9"/>
  <c r="J239" i="9"/>
  <c r="J240" i="9"/>
  <c r="J241" i="9"/>
  <c r="J242" i="9"/>
  <c r="J243" i="9"/>
  <c r="J244" i="9"/>
  <c r="J245" i="9"/>
  <c r="J246" i="9"/>
  <c r="J247" i="9"/>
  <c r="J248" i="9"/>
  <c r="J249" i="9"/>
  <c r="J250" i="9"/>
  <c r="J251" i="9"/>
  <c r="J252" i="9"/>
  <c r="J253" i="9"/>
  <c r="J254" i="9"/>
  <c r="J255" i="9"/>
  <c r="J256" i="9"/>
  <c r="J257" i="9"/>
  <c r="J258" i="9"/>
  <c r="J259" i="9"/>
  <c r="J260" i="9"/>
  <c r="J261" i="9"/>
  <c r="J262" i="9"/>
  <c r="J263" i="9"/>
  <c r="J264" i="9"/>
  <c r="J265" i="9"/>
  <c r="J266" i="9"/>
  <c r="J267" i="9"/>
  <c r="J268" i="9"/>
  <c r="J269" i="9"/>
  <c r="J270" i="9"/>
  <c r="J271" i="9"/>
  <c r="J272" i="9"/>
  <c r="J273" i="9"/>
  <c r="J274" i="9"/>
  <c r="J275" i="9"/>
  <c r="J276" i="9"/>
  <c r="J277" i="9"/>
  <c r="J278" i="9"/>
  <c r="J279" i="9"/>
  <c r="J280" i="9"/>
  <c r="J281" i="9"/>
  <c r="J282" i="9"/>
  <c r="J283" i="9"/>
  <c r="J284" i="9"/>
  <c r="J285" i="9"/>
  <c r="J286" i="9"/>
  <c r="J287" i="9"/>
  <c r="J288" i="9"/>
  <c r="J289" i="9"/>
  <c r="J290" i="9"/>
  <c r="J291" i="9"/>
  <c r="J292" i="9"/>
  <c r="J293" i="9"/>
  <c r="J294" i="9"/>
  <c r="J295" i="9"/>
  <c r="J296" i="9"/>
  <c r="J297" i="9"/>
  <c r="J298" i="9"/>
  <c r="J299" i="9"/>
  <c r="J300" i="9"/>
  <c r="J301" i="9"/>
  <c r="J302" i="9"/>
  <c r="J303" i="9"/>
  <c r="J304" i="9"/>
  <c r="J305" i="9"/>
  <c r="J306" i="9"/>
  <c r="J307" i="9"/>
  <c r="J308" i="9"/>
  <c r="J309" i="9"/>
  <c r="J310" i="9"/>
  <c r="J311" i="9"/>
  <c r="J312" i="9"/>
  <c r="J313" i="9"/>
  <c r="J314" i="9"/>
  <c r="J315" i="9"/>
  <c r="J316" i="9"/>
  <c r="J317" i="9"/>
  <c r="J318" i="9"/>
  <c r="J319" i="9"/>
  <c r="J320" i="9"/>
  <c r="J321" i="9"/>
  <c r="J322" i="9"/>
  <c r="J323" i="9"/>
  <c r="J324" i="9"/>
  <c r="J325" i="9"/>
  <c r="J326" i="9"/>
  <c r="J327" i="9"/>
  <c r="J328" i="9"/>
  <c r="J329" i="9"/>
  <c r="J330" i="9"/>
  <c r="J331" i="9"/>
  <c r="J332" i="9"/>
  <c r="J333" i="9"/>
  <c r="J334" i="9"/>
  <c r="J335" i="9"/>
  <c r="J336" i="9"/>
  <c r="J337" i="9"/>
  <c r="J338" i="9"/>
  <c r="J339" i="9"/>
  <c r="J340" i="9"/>
  <c r="J341" i="9"/>
  <c r="J342" i="9"/>
  <c r="J343" i="9"/>
  <c r="J344" i="9"/>
  <c r="J345" i="9"/>
  <c r="J346" i="9"/>
  <c r="J347" i="9"/>
  <c r="J348" i="9"/>
  <c r="J349" i="9"/>
  <c r="J350" i="9"/>
  <c r="J351" i="9"/>
  <c r="J352" i="9"/>
  <c r="J353" i="9"/>
  <c r="J354" i="9"/>
  <c r="J355" i="9"/>
  <c r="J356" i="9"/>
  <c r="J357" i="9"/>
  <c r="J358" i="9"/>
  <c r="J359" i="9"/>
  <c r="J360" i="9"/>
  <c r="J361" i="9"/>
  <c r="J362" i="9"/>
  <c r="J363" i="9"/>
  <c r="J364" i="9"/>
  <c r="J365" i="9"/>
  <c r="J366" i="9"/>
  <c r="J367" i="9"/>
  <c r="J368" i="9"/>
  <c r="J369" i="9"/>
  <c r="J370" i="9"/>
  <c r="J371" i="9"/>
  <c r="J372" i="9"/>
  <c r="J373" i="9"/>
  <c r="J374" i="9"/>
  <c r="J375" i="9"/>
  <c r="J376" i="9"/>
  <c r="J377" i="9"/>
  <c r="J378" i="9"/>
  <c r="J379" i="9"/>
  <c r="J380" i="9"/>
  <c r="J381" i="9"/>
  <c r="J382" i="9"/>
  <c r="J383" i="9"/>
  <c r="J384" i="9"/>
  <c r="J385" i="9"/>
  <c r="J386" i="9"/>
  <c r="J387" i="9"/>
  <c r="J388" i="9"/>
  <c r="J389" i="9"/>
  <c r="J390" i="9"/>
  <c r="J391" i="9"/>
  <c r="J392" i="9"/>
  <c r="J393" i="9"/>
  <c r="J394" i="9"/>
  <c r="J395" i="9"/>
  <c r="J396" i="9"/>
  <c r="J397" i="9"/>
  <c r="J398" i="9"/>
  <c r="J399" i="9"/>
  <c r="J400" i="9"/>
  <c r="J401" i="9"/>
  <c r="J402" i="9"/>
  <c r="J403" i="9"/>
  <c r="J404" i="9"/>
  <c r="J405" i="9"/>
  <c r="J406" i="9"/>
  <c r="J407" i="9"/>
  <c r="J408" i="9"/>
  <c r="J409" i="9"/>
  <c r="J410" i="9"/>
  <c r="J411" i="9"/>
  <c r="J412" i="9"/>
  <c r="J413" i="9"/>
  <c r="J414" i="9"/>
  <c r="J415" i="9"/>
  <c r="J416" i="9"/>
  <c r="J417" i="9"/>
  <c r="J418" i="9"/>
  <c r="J419" i="9"/>
  <c r="J420" i="9"/>
  <c r="J421" i="9"/>
  <c r="J422" i="9"/>
  <c r="J423" i="9"/>
  <c r="J424" i="9"/>
  <c r="J425" i="9"/>
  <c r="J426" i="9"/>
  <c r="J427" i="9"/>
  <c r="J428" i="9"/>
  <c r="J429" i="9"/>
  <c r="J430" i="9"/>
  <c r="J431" i="9"/>
  <c r="J432" i="9"/>
  <c r="J433" i="9"/>
  <c r="J434" i="9"/>
  <c r="J435" i="9"/>
  <c r="J436" i="9"/>
  <c r="J437" i="9"/>
  <c r="J438" i="9"/>
  <c r="J439" i="9"/>
  <c r="J440" i="9"/>
  <c r="J441" i="9"/>
  <c r="J442" i="9"/>
  <c r="J443" i="9"/>
  <c r="J444" i="9"/>
  <c r="J445" i="9"/>
  <c r="J446" i="9"/>
  <c r="J447" i="9"/>
  <c r="J448" i="9"/>
  <c r="J449" i="9"/>
  <c r="J450" i="9"/>
  <c r="J451" i="9"/>
  <c r="J452" i="9"/>
  <c r="J453" i="9"/>
  <c r="J454" i="9"/>
  <c r="J455" i="9"/>
  <c r="J456" i="9"/>
  <c r="J457" i="9"/>
  <c r="J458" i="9"/>
  <c r="J459" i="9"/>
  <c r="J460" i="9"/>
  <c r="J461" i="9"/>
  <c r="J462" i="9"/>
  <c r="J463" i="9"/>
  <c r="J464" i="9"/>
  <c r="J465" i="9"/>
  <c r="J466" i="9"/>
  <c r="J467" i="9"/>
  <c r="J468" i="9"/>
  <c r="J469" i="9"/>
  <c r="J470" i="9"/>
  <c r="J471" i="9"/>
  <c r="J472" i="9"/>
  <c r="J473" i="9"/>
  <c r="J474" i="9"/>
  <c r="J475" i="9"/>
  <c r="J476" i="9"/>
  <c r="J477" i="9"/>
  <c r="J478" i="9"/>
  <c r="J479" i="9"/>
  <c r="J480" i="9"/>
  <c r="J481" i="9"/>
  <c r="J482" i="9"/>
  <c r="J483" i="9"/>
  <c r="J484" i="9"/>
  <c r="J485" i="9"/>
  <c r="J486" i="9"/>
  <c r="J487" i="9"/>
  <c r="J488" i="9"/>
  <c r="J489" i="9"/>
  <c r="J490" i="9"/>
  <c r="J491" i="9"/>
  <c r="J492" i="9"/>
  <c r="J493" i="9"/>
  <c r="J494" i="9"/>
  <c r="J495" i="9"/>
  <c r="J496" i="9"/>
  <c r="J497" i="9"/>
  <c r="J498" i="9"/>
  <c r="J499" i="9"/>
  <c r="J500" i="9"/>
  <c r="J2" i="9"/>
  <c r="A2" i="9"/>
  <c r="B2" i="9"/>
  <c r="C2" i="9"/>
  <c r="D2" i="9"/>
  <c r="E2" i="9"/>
  <c r="F2" i="9"/>
  <c r="G2" i="9"/>
  <c r="H2" i="9"/>
  <c r="I2" i="9"/>
  <c r="K2" i="9"/>
  <c r="L2" i="9"/>
  <c r="M2" i="9"/>
  <c r="N2" i="9"/>
  <c r="O2" i="9"/>
  <c r="P2" i="9"/>
  <c r="Q2" i="9"/>
  <c r="R2" i="9"/>
  <c r="S2" i="9"/>
  <c r="T2" i="9"/>
  <c r="U2" i="9"/>
  <c r="V2" i="9"/>
  <c r="W2" i="9"/>
  <c r="Y2" i="9" s="1"/>
  <c r="AC2" i="9"/>
  <c r="AD2" i="9"/>
  <c r="AE2" i="9"/>
  <c r="AF2" i="9"/>
  <c r="AG2" i="9"/>
  <c r="AH2" i="9"/>
  <c r="A3" i="9"/>
  <c r="B3" i="9"/>
  <c r="C3" i="9"/>
  <c r="D3" i="9"/>
  <c r="E3" i="9"/>
  <c r="F3" i="9"/>
  <c r="G3" i="9"/>
  <c r="H3" i="9"/>
  <c r="I3" i="9"/>
  <c r="K3" i="9"/>
  <c r="L3" i="9"/>
  <c r="M3" i="9"/>
  <c r="N3" i="9"/>
  <c r="O3" i="9"/>
  <c r="P3" i="9"/>
  <c r="Q3" i="9"/>
  <c r="R3" i="9"/>
  <c r="S3" i="9"/>
  <c r="T3" i="9"/>
  <c r="U3" i="9"/>
  <c r="V3" i="9"/>
  <c r="W3" i="9"/>
  <c r="X3" i="9" s="1"/>
  <c r="AC3" i="9"/>
  <c r="AD3" i="9"/>
  <c r="AE3" i="9"/>
  <c r="AF3" i="9"/>
  <c r="AG3" i="9"/>
  <c r="AH3" i="9"/>
  <c r="A4" i="9"/>
  <c r="B4" i="9"/>
  <c r="C4" i="9"/>
  <c r="D4" i="9"/>
  <c r="E4" i="9"/>
  <c r="F4" i="9"/>
  <c r="G4" i="9"/>
  <c r="H4" i="9"/>
  <c r="I4" i="9"/>
  <c r="K4" i="9"/>
  <c r="L4" i="9"/>
  <c r="M4" i="9"/>
  <c r="N4" i="9"/>
  <c r="O4" i="9"/>
  <c r="P4" i="9"/>
  <c r="Q4" i="9"/>
  <c r="R4" i="9"/>
  <c r="S4" i="9"/>
  <c r="T4" i="9"/>
  <c r="U4" i="9"/>
  <c r="V4" i="9"/>
  <c r="W4" i="9"/>
  <c r="X4" i="9" s="1"/>
  <c r="AC4" i="9"/>
  <c r="AD4" i="9"/>
  <c r="AE4" i="9"/>
  <c r="AF4" i="9"/>
  <c r="AG4" i="9"/>
  <c r="AH4" i="9"/>
  <c r="AB4" i="9" l="1"/>
  <c r="AA4" i="9"/>
  <c r="Z4" i="9"/>
  <c r="Y4" i="9"/>
  <c r="X2" i="9"/>
  <c r="AB3" i="9"/>
  <c r="AA3" i="9"/>
  <c r="Z3" i="9"/>
  <c r="Y3" i="9"/>
  <c r="AB2" i="9"/>
  <c r="AA2" i="9"/>
  <c r="Z2" i="9"/>
  <c r="H30" i="17" l="1"/>
  <c r="K31" i="17"/>
  <c r="K29" i="17"/>
  <c r="H40" i="17"/>
  <c r="H37" i="17"/>
  <c r="H31" i="17"/>
  <c r="H29" i="17"/>
  <c r="H27" i="17" s="1"/>
  <c r="E41" i="17"/>
  <c r="E40" i="17"/>
  <c r="E39" i="17"/>
  <c r="E38" i="17"/>
  <c r="E37" i="17"/>
  <c r="H35" i="17" l="1"/>
  <c r="AG3" i="12" s="1"/>
  <c r="K27" i="17"/>
  <c r="E35" i="17"/>
  <c r="B46" i="9"/>
  <c r="C46" i="9"/>
  <c r="D46" i="9"/>
  <c r="E46" i="9"/>
  <c r="F46" i="9"/>
  <c r="G46" i="9"/>
  <c r="H46" i="9"/>
  <c r="I46" i="9"/>
  <c r="K46" i="9"/>
  <c r="L46" i="9"/>
  <c r="M46" i="9"/>
  <c r="N46" i="9"/>
  <c r="O46" i="9"/>
  <c r="P46" i="9"/>
  <c r="Q46" i="9"/>
  <c r="R46" i="9"/>
  <c r="S46" i="9"/>
  <c r="T46" i="9"/>
  <c r="U46" i="9"/>
  <c r="V46" i="9"/>
  <c r="W46" i="9"/>
  <c r="Z46" i="9" s="1"/>
  <c r="AC46" i="9"/>
  <c r="AD46" i="9"/>
  <c r="AE46" i="9"/>
  <c r="AF46" i="9"/>
  <c r="AG46" i="9"/>
  <c r="AH46" i="9"/>
  <c r="B47" i="9"/>
  <c r="C47" i="9"/>
  <c r="D47" i="9"/>
  <c r="E47" i="9"/>
  <c r="F47" i="9"/>
  <c r="G47" i="9"/>
  <c r="H47" i="9"/>
  <c r="I47" i="9"/>
  <c r="K47" i="9"/>
  <c r="L47" i="9"/>
  <c r="M47" i="9"/>
  <c r="N47" i="9"/>
  <c r="O47" i="9"/>
  <c r="P47" i="9"/>
  <c r="Q47" i="9"/>
  <c r="R47" i="9"/>
  <c r="S47" i="9"/>
  <c r="T47" i="9"/>
  <c r="U47" i="9"/>
  <c r="V47" i="9"/>
  <c r="W47" i="9"/>
  <c r="Y47" i="9" s="1"/>
  <c r="Z47" i="9"/>
  <c r="AB47" i="9"/>
  <c r="AC47" i="9"/>
  <c r="AD47" i="9"/>
  <c r="AE47" i="9"/>
  <c r="AF47" i="9"/>
  <c r="AG47" i="9"/>
  <c r="AH47" i="9"/>
  <c r="B48" i="9"/>
  <c r="C48" i="9"/>
  <c r="D48" i="9"/>
  <c r="E48" i="9"/>
  <c r="F48" i="9"/>
  <c r="G48" i="9"/>
  <c r="H48" i="9"/>
  <c r="I48" i="9"/>
  <c r="K48" i="9"/>
  <c r="L48" i="9"/>
  <c r="M48" i="9"/>
  <c r="N48" i="9"/>
  <c r="O48" i="9"/>
  <c r="P48" i="9"/>
  <c r="Q48" i="9"/>
  <c r="R48" i="9"/>
  <c r="S48" i="9"/>
  <c r="T48" i="9"/>
  <c r="U48" i="9"/>
  <c r="V48" i="9"/>
  <c r="W48" i="9"/>
  <c r="Y48" i="9" s="1"/>
  <c r="X48" i="9"/>
  <c r="Z48" i="9"/>
  <c r="AB48" i="9"/>
  <c r="AC48" i="9"/>
  <c r="AD48" i="9"/>
  <c r="AE48" i="9"/>
  <c r="AF48" i="9"/>
  <c r="AG48" i="9"/>
  <c r="AH48" i="9"/>
  <c r="B49" i="9"/>
  <c r="C49" i="9"/>
  <c r="D49" i="9"/>
  <c r="E49" i="9"/>
  <c r="F49" i="9"/>
  <c r="G49" i="9"/>
  <c r="H49" i="9"/>
  <c r="I49" i="9"/>
  <c r="K49" i="9"/>
  <c r="L49" i="9"/>
  <c r="M49" i="9"/>
  <c r="N49" i="9"/>
  <c r="O49" i="9"/>
  <c r="P49" i="9"/>
  <c r="Q49" i="9"/>
  <c r="R49" i="9"/>
  <c r="S49" i="9"/>
  <c r="T49" i="9"/>
  <c r="U49" i="9"/>
  <c r="V49" i="9"/>
  <c r="W49" i="9"/>
  <c r="AA49" i="9" s="1"/>
  <c r="X49" i="9"/>
  <c r="Y49" i="9"/>
  <c r="AB49" i="9"/>
  <c r="AC49" i="9"/>
  <c r="AD49" i="9"/>
  <c r="AE49" i="9"/>
  <c r="AF49" i="9"/>
  <c r="AG49" i="9"/>
  <c r="AH49" i="9"/>
  <c r="B50" i="9"/>
  <c r="C50" i="9"/>
  <c r="D50" i="9"/>
  <c r="E50" i="9"/>
  <c r="F50" i="9"/>
  <c r="G50" i="9"/>
  <c r="H50" i="9"/>
  <c r="I50" i="9"/>
  <c r="K50" i="9"/>
  <c r="L50" i="9"/>
  <c r="M50" i="9"/>
  <c r="N50" i="9"/>
  <c r="O50" i="9"/>
  <c r="P50" i="9"/>
  <c r="Q50" i="9"/>
  <c r="R50" i="9"/>
  <c r="S50" i="9"/>
  <c r="T50" i="9"/>
  <c r="U50" i="9"/>
  <c r="V50" i="9"/>
  <c r="W50" i="9"/>
  <c r="Z50" i="9" s="1"/>
  <c r="AB50" i="9"/>
  <c r="AC50" i="9"/>
  <c r="AD50" i="9"/>
  <c r="AE50" i="9"/>
  <c r="AF50" i="9"/>
  <c r="AG50" i="9"/>
  <c r="AH50" i="9"/>
  <c r="B51" i="9"/>
  <c r="C51" i="9"/>
  <c r="D51" i="9"/>
  <c r="E51" i="9"/>
  <c r="F51" i="9"/>
  <c r="G51" i="9"/>
  <c r="H51" i="9"/>
  <c r="I51" i="9"/>
  <c r="K51" i="9"/>
  <c r="L51" i="9"/>
  <c r="M51" i="9"/>
  <c r="N51" i="9"/>
  <c r="O51" i="9"/>
  <c r="P51" i="9"/>
  <c r="Q51" i="9"/>
  <c r="R51" i="9"/>
  <c r="S51" i="9"/>
  <c r="T51" i="9"/>
  <c r="U51" i="9"/>
  <c r="V51" i="9"/>
  <c r="W51" i="9"/>
  <c r="X51" i="9"/>
  <c r="Y51" i="9"/>
  <c r="Z51" i="9"/>
  <c r="AA51" i="9"/>
  <c r="AB51" i="9"/>
  <c r="AC51" i="9"/>
  <c r="AD51" i="9"/>
  <c r="AE51" i="9"/>
  <c r="AF51" i="9"/>
  <c r="AG51" i="9"/>
  <c r="AH51" i="9"/>
  <c r="B52" i="9"/>
  <c r="C52" i="9"/>
  <c r="D52" i="9"/>
  <c r="E52" i="9"/>
  <c r="F52" i="9"/>
  <c r="G52" i="9"/>
  <c r="H52" i="9"/>
  <c r="I52" i="9"/>
  <c r="K52" i="9"/>
  <c r="L52" i="9"/>
  <c r="M52" i="9"/>
  <c r="N52" i="9"/>
  <c r="O52" i="9"/>
  <c r="P52" i="9"/>
  <c r="Q52" i="9"/>
  <c r="R52" i="9"/>
  <c r="S52" i="9"/>
  <c r="T52" i="9"/>
  <c r="U52" i="9"/>
  <c r="V52" i="9"/>
  <c r="W52" i="9"/>
  <c r="X52" i="9"/>
  <c r="Y52" i="9"/>
  <c r="Z52" i="9"/>
  <c r="AA52" i="9"/>
  <c r="AB52" i="9"/>
  <c r="AC52" i="9"/>
  <c r="AD52" i="9"/>
  <c r="AE52" i="9"/>
  <c r="AF52" i="9"/>
  <c r="AG52" i="9"/>
  <c r="AH52" i="9"/>
  <c r="B53" i="9"/>
  <c r="C53" i="9"/>
  <c r="D53" i="9"/>
  <c r="E53" i="9"/>
  <c r="F53" i="9"/>
  <c r="G53" i="9"/>
  <c r="H53" i="9"/>
  <c r="I53" i="9"/>
  <c r="K53" i="9"/>
  <c r="L53" i="9"/>
  <c r="M53" i="9"/>
  <c r="N53" i="9"/>
  <c r="O53" i="9"/>
  <c r="P53" i="9"/>
  <c r="Q53" i="9"/>
  <c r="R53" i="9"/>
  <c r="S53" i="9"/>
  <c r="T53" i="9"/>
  <c r="U53" i="9"/>
  <c r="V53" i="9"/>
  <c r="W53" i="9"/>
  <c r="X53" i="9"/>
  <c r="Y53" i="9"/>
  <c r="Z53" i="9"/>
  <c r="AA53" i="9"/>
  <c r="AB53" i="9"/>
  <c r="AC53" i="9"/>
  <c r="AD53" i="9"/>
  <c r="AE53" i="9"/>
  <c r="AF53" i="9"/>
  <c r="AG53" i="9"/>
  <c r="AH53" i="9"/>
  <c r="B54" i="9"/>
  <c r="C54" i="9"/>
  <c r="D54" i="9"/>
  <c r="E54" i="9"/>
  <c r="F54" i="9"/>
  <c r="G54" i="9"/>
  <c r="H54" i="9"/>
  <c r="I54" i="9"/>
  <c r="K54" i="9"/>
  <c r="L54" i="9"/>
  <c r="M54" i="9"/>
  <c r="N54" i="9"/>
  <c r="O54" i="9"/>
  <c r="P54" i="9"/>
  <c r="Q54" i="9"/>
  <c r="R54" i="9"/>
  <c r="S54" i="9"/>
  <c r="T54" i="9"/>
  <c r="U54" i="9"/>
  <c r="V54" i="9"/>
  <c r="W54" i="9"/>
  <c r="Z54" i="9" s="1"/>
  <c r="Y54" i="9"/>
  <c r="AA54" i="9"/>
  <c r="AC54" i="9"/>
  <c r="AD54" i="9"/>
  <c r="AE54" i="9"/>
  <c r="AF54" i="9"/>
  <c r="AG54" i="9"/>
  <c r="AH54" i="9"/>
  <c r="B55" i="9"/>
  <c r="C55" i="9"/>
  <c r="D55" i="9"/>
  <c r="E55" i="9"/>
  <c r="F55" i="9"/>
  <c r="G55" i="9"/>
  <c r="H55" i="9"/>
  <c r="I55" i="9"/>
  <c r="K55" i="9"/>
  <c r="L55" i="9"/>
  <c r="M55" i="9"/>
  <c r="N55" i="9"/>
  <c r="O55" i="9"/>
  <c r="P55" i="9"/>
  <c r="Q55" i="9"/>
  <c r="R55" i="9"/>
  <c r="S55" i="9"/>
  <c r="T55" i="9"/>
  <c r="U55" i="9"/>
  <c r="V55" i="9"/>
  <c r="W55" i="9"/>
  <c r="X55" i="9"/>
  <c r="Y55" i="9"/>
  <c r="Z55" i="9"/>
  <c r="AA55" i="9"/>
  <c r="AB55" i="9"/>
  <c r="AC55" i="9"/>
  <c r="AD55" i="9"/>
  <c r="AE55" i="9"/>
  <c r="AF55" i="9"/>
  <c r="AG55" i="9"/>
  <c r="AH55" i="9"/>
  <c r="B56" i="9"/>
  <c r="C56" i="9"/>
  <c r="D56" i="9"/>
  <c r="E56" i="9"/>
  <c r="F56" i="9"/>
  <c r="G56" i="9"/>
  <c r="H56" i="9"/>
  <c r="I56" i="9"/>
  <c r="K56" i="9"/>
  <c r="L56" i="9"/>
  <c r="M56" i="9"/>
  <c r="N56" i="9"/>
  <c r="O56" i="9"/>
  <c r="P56" i="9"/>
  <c r="Q56" i="9"/>
  <c r="R56" i="9"/>
  <c r="S56" i="9"/>
  <c r="T56" i="9"/>
  <c r="U56" i="9"/>
  <c r="V56" i="9"/>
  <c r="W56" i="9"/>
  <c r="X56" i="9"/>
  <c r="Y56" i="9"/>
  <c r="Z56" i="9"/>
  <c r="AA56" i="9"/>
  <c r="AB56" i="9"/>
  <c r="AC56" i="9"/>
  <c r="AD56" i="9"/>
  <c r="AE56" i="9"/>
  <c r="AF56" i="9"/>
  <c r="AG56" i="9"/>
  <c r="AH56" i="9"/>
  <c r="B57" i="9"/>
  <c r="C57" i="9"/>
  <c r="D57" i="9"/>
  <c r="E57" i="9"/>
  <c r="F57" i="9"/>
  <c r="G57" i="9"/>
  <c r="H57" i="9"/>
  <c r="I57" i="9"/>
  <c r="K57" i="9"/>
  <c r="L57" i="9"/>
  <c r="M57" i="9"/>
  <c r="N57" i="9"/>
  <c r="O57" i="9"/>
  <c r="P57" i="9"/>
  <c r="Q57" i="9"/>
  <c r="R57" i="9"/>
  <c r="S57" i="9"/>
  <c r="T57" i="9"/>
  <c r="U57" i="9"/>
  <c r="V57" i="9"/>
  <c r="W57" i="9"/>
  <c r="AA57" i="9" s="1"/>
  <c r="X57" i="9"/>
  <c r="AB57" i="9"/>
  <c r="AC57" i="9"/>
  <c r="AD57" i="9"/>
  <c r="AE57" i="9"/>
  <c r="AF57" i="9"/>
  <c r="AG57" i="9"/>
  <c r="AH57" i="9"/>
  <c r="B58" i="9"/>
  <c r="C58" i="9"/>
  <c r="D58" i="9"/>
  <c r="E58" i="9"/>
  <c r="F58" i="9"/>
  <c r="G58" i="9"/>
  <c r="H58" i="9"/>
  <c r="I58" i="9"/>
  <c r="K58" i="9"/>
  <c r="L58" i="9"/>
  <c r="M58" i="9"/>
  <c r="N58" i="9"/>
  <c r="O58" i="9"/>
  <c r="P58" i="9"/>
  <c r="Q58" i="9"/>
  <c r="R58" i="9"/>
  <c r="S58" i="9"/>
  <c r="T58" i="9"/>
  <c r="U58" i="9"/>
  <c r="V58" i="9"/>
  <c r="W58" i="9"/>
  <c r="X58" i="9"/>
  <c r="Y58" i="9"/>
  <c r="Z58" i="9"/>
  <c r="AA58" i="9"/>
  <c r="AB58" i="9"/>
  <c r="AC58" i="9"/>
  <c r="AD58" i="9"/>
  <c r="AE58" i="9"/>
  <c r="AF58" i="9"/>
  <c r="AG58" i="9"/>
  <c r="AH58" i="9"/>
  <c r="B59" i="9"/>
  <c r="C59" i="9"/>
  <c r="D59" i="9"/>
  <c r="E59" i="9"/>
  <c r="F59" i="9"/>
  <c r="G59" i="9"/>
  <c r="H59" i="9"/>
  <c r="I59" i="9"/>
  <c r="K59" i="9"/>
  <c r="L59" i="9"/>
  <c r="M59" i="9"/>
  <c r="N59" i="9"/>
  <c r="O59" i="9"/>
  <c r="P59" i="9"/>
  <c r="Q59" i="9"/>
  <c r="R59" i="9"/>
  <c r="S59" i="9"/>
  <c r="T59" i="9"/>
  <c r="U59" i="9"/>
  <c r="V59" i="9"/>
  <c r="W59" i="9"/>
  <c r="X59" i="9"/>
  <c r="Y59" i="9"/>
  <c r="Z59" i="9"/>
  <c r="AA59" i="9"/>
  <c r="AB59" i="9"/>
  <c r="AC59" i="9"/>
  <c r="AD59" i="9"/>
  <c r="AE59" i="9"/>
  <c r="AF59" i="9"/>
  <c r="AG59" i="9"/>
  <c r="AH59" i="9"/>
  <c r="B60" i="9"/>
  <c r="C60" i="9"/>
  <c r="D60" i="9"/>
  <c r="E60" i="9"/>
  <c r="F60" i="9"/>
  <c r="G60" i="9"/>
  <c r="H60" i="9"/>
  <c r="I60" i="9"/>
  <c r="K60" i="9"/>
  <c r="L60" i="9"/>
  <c r="M60" i="9"/>
  <c r="N60" i="9"/>
  <c r="O60" i="9"/>
  <c r="P60" i="9"/>
  <c r="Q60" i="9"/>
  <c r="R60" i="9"/>
  <c r="S60" i="9"/>
  <c r="T60" i="9"/>
  <c r="U60" i="9"/>
  <c r="V60" i="9"/>
  <c r="W60" i="9"/>
  <c r="X60" i="9"/>
  <c r="Y60" i="9"/>
  <c r="Z60" i="9"/>
  <c r="AA60" i="9"/>
  <c r="AB60" i="9"/>
  <c r="AC60" i="9"/>
  <c r="AD60" i="9"/>
  <c r="AE60" i="9"/>
  <c r="AF60" i="9"/>
  <c r="AG60" i="9"/>
  <c r="AH60" i="9"/>
  <c r="B61" i="9"/>
  <c r="C61" i="9"/>
  <c r="D61" i="9"/>
  <c r="E61" i="9"/>
  <c r="F61" i="9"/>
  <c r="G61" i="9"/>
  <c r="H61" i="9"/>
  <c r="I61" i="9"/>
  <c r="K61" i="9"/>
  <c r="L61" i="9"/>
  <c r="M61" i="9"/>
  <c r="N61" i="9"/>
  <c r="O61" i="9"/>
  <c r="P61" i="9"/>
  <c r="Q61" i="9"/>
  <c r="R61" i="9"/>
  <c r="S61" i="9"/>
  <c r="T61" i="9"/>
  <c r="U61" i="9"/>
  <c r="V61" i="9"/>
  <c r="W61" i="9"/>
  <c r="X61" i="9"/>
  <c r="Y61" i="9"/>
  <c r="Z61" i="9"/>
  <c r="AA61" i="9"/>
  <c r="AB61" i="9"/>
  <c r="AC61" i="9"/>
  <c r="AD61" i="9"/>
  <c r="AE61" i="9"/>
  <c r="AF61" i="9"/>
  <c r="AG61" i="9"/>
  <c r="AH61" i="9"/>
  <c r="B62" i="9"/>
  <c r="C62" i="9"/>
  <c r="D62" i="9"/>
  <c r="E62" i="9"/>
  <c r="F62" i="9"/>
  <c r="G62" i="9"/>
  <c r="H62" i="9"/>
  <c r="I62" i="9"/>
  <c r="K62" i="9"/>
  <c r="L62" i="9"/>
  <c r="M62" i="9"/>
  <c r="N62" i="9"/>
  <c r="O62" i="9"/>
  <c r="P62" i="9"/>
  <c r="Q62" i="9"/>
  <c r="R62" i="9"/>
  <c r="S62" i="9"/>
  <c r="T62" i="9"/>
  <c r="U62" i="9"/>
  <c r="V62" i="9"/>
  <c r="W62" i="9"/>
  <c r="X62" i="9"/>
  <c r="Y62" i="9"/>
  <c r="Z62" i="9"/>
  <c r="AA62" i="9"/>
  <c r="AB62" i="9"/>
  <c r="AC62" i="9"/>
  <c r="AD62" i="9"/>
  <c r="AE62" i="9"/>
  <c r="AF62" i="9"/>
  <c r="AG62" i="9"/>
  <c r="AH62" i="9"/>
  <c r="B63" i="9"/>
  <c r="C63" i="9"/>
  <c r="D63" i="9"/>
  <c r="E63" i="9"/>
  <c r="F63" i="9"/>
  <c r="G63" i="9"/>
  <c r="H63" i="9"/>
  <c r="I63" i="9"/>
  <c r="K63" i="9"/>
  <c r="L63" i="9"/>
  <c r="M63" i="9"/>
  <c r="N63" i="9"/>
  <c r="O63" i="9"/>
  <c r="P63" i="9"/>
  <c r="Q63" i="9"/>
  <c r="R63" i="9"/>
  <c r="S63" i="9"/>
  <c r="T63" i="9"/>
  <c r="U63" i="9"/>
  <c r="V63" i="9"/>
  <c r="W63" i="9"/>
  <c r="X63" i="9"/>
  <c r="Y63" i="9"/>
  <c r="Z63" i="9"/>
  <c r="AA63" i="9"/>
  <c r="AB63" i="9"/>
  <c r="AC63" i="9"/>
  <c r="AD63" i="9"/>
  <c r="AE63" i="9"/>
  <c r="AF63" i="9"/>
  <c r="AG63" i="9"/>
  <c r="AH63" i="9"/>
  <c r="B64" i="9"/>
  <c r="C64" i="9"/>
  <c r="D64" i="9"/>
  <c r="E64" i="9"/>
  <c r="F64" i="9"/>
  <c r="G64" i="9"/>
  <c r="H64" i="9"/>
  <c r="I64" i="9"/>
  <c r="K64" i="9"/>
  <c r="L64" i="9"/>
  <c r="M64" i="9"/>
  <c r="N64" i="9"/>
  <c r="O64" i="9"/>
  <c r="P64" i="9"/>
  <c r="Q64" i="9"/>
  <c r="R64" i="9"/>
  <c r="S64" i="9"/>
  <c r="T64" i="9"/>
  <c r="U64" i="9"/>
  <c r="V64" i="9"/>
  <c r="W64" i="9"/>
  <c r="X64" i="9"/>
  <c r="Y64" i="9"/>
  <c r="Z64" i="9"/>
  <c r="AA64" i="9"/>
  <c r="AB64" i="9"/>
  <c r="AC64" i="9"/>
  <c r="AD64" i="9"/>
  <c r="AE64" i="9"/>
  <c r="AF64" i="9"/>
  <c r="AG64" i="9"/>
  <c r="AH64" i="9"/>
  <c r="B65" i="9"/>
  <c r="C65" i="9"/>
  <c r="D65" i="9"/>
  <c r="E65" i="9"/>
  <c r="F65" i="9"/>
  <c r="G65" i="9"/>
  <c r="H65" i="9"/>
  <c r="I65" i="9"/>
  <c r="K65" i="9"/>
  <c r="L65" i="9"/>
  <c r="M65" i="9"/>
  <c r="N65" i="9"/>
  <c r="O65" i="9"/>
  <c r="P65" i="9"/>
  <c r="Q65" i="9"/>
  <c r="R65" i="9"/>
  <c r="S65" i="9"/>
  <c r="T65" i="9"/>
  <c r="U65" i="9"/>
  <c r="V65" i="9"/>
  <c r="W65" i="9"/>
  <c r="X65" i="9"/>
  <c r="Y65" i="9"/>
  <c r="Z65" i="9"/>
  <c r="AA65" i="9"/>
  <c r="AB65" i="9"/>
  <c r="AC65" i="9"/>
  <c r="AD65" i="9"/>
  <c r="AE65" i="9"/>
  <c r="AF65" i="9"/>
  <c r="AG65" i="9"/>
  <c r="AH65" i="9"/>
  <c r="B66" i="9"/>
  <c r="C66" i="9"/>
  <c r="D66" i="9"/>
  <c r="E66" i="9"/>
  <c r="F66" i="9"/>
  <c r="G66" i="9"/>
  <c r="H66" i="9"/>
  <c r="I66" i="9"/>
  <c r="K66" i="9"/>
  <c r="L66" i="9"/>
  <c r="M66" i="9"/>
  <c r="N66" i="9"/>
  <c r="O66" i="9"/>
  <c r="P66" i="9"/>
  <c r="Q66" i="9"/>
  <c r="R66" i="9"/>
  <c r="S66" i="9"/>
  <c r="T66" i="9"/>
  <c r="U66" i="9"/>
  <c r="V66" i="9"/>
  <c r="W66" i="9"/>
  <c r="X66" i="9"/>
  <c r="Y66" i="9"/>
  <c r="Z66" i="9"/>
  <c r="AA66" i="9"/>
  <c r="AB66" i="9"/>
  <c r="AC66" i="9"/>
  <c r="AD66" i="9"/>
  <c r="AE66" i="9"/>
  <c r="AF66" i="9"/>
  <c r="AG66" i="9"/>
  <c r="AH66" i="9"/>
  <c r="B67" i="9"/>
  <c r="C67" i="9"/>
  <c r="D67" i="9"/>
  <c r="E67" i="9"/>
  <c r="F67" i="9"/>
  <c r="G67" i="9"/>
  <c r="H67" i="9"/>
  <c r="I67" i="9"/>
  <c r="K67" i="9"/>
  <c r="L67" i="9"/>
  <c r="M67" i="9"/>
  <c r="N67" i="9"/>
  <c r="O67" i="9"/>
  <c r="P67" i="9"/>
  <c r="Q67" i="9"/>
  <c r="R67" i="9"/>
  <c r="S67" i="9"/>
  <c r="T67" i="9"/>
  <c r="U67" i="9"/>
  <c r="V67" i="9"/>
  <c r="W67" i="9"/>
  <c r="X67" i="9"/>
  <c r="Y67" i="9"/>
  <c r="Z67" i="9"/>
  <c r="AA67" i="9"/>
  <c r="AB67" i="9"/>
  <c r="AC67" i="9"/>
  <c r="AD67" i="9"/>
  <c r="AE67" i="9"/>
  <c r="AF67" i="9"/>
  <c r="AG67" i="9"/>
  <c r="AH67" i="9"/>
  <c r="B68" i="9"/>
  <c r="C68" i="9"/>
  <c r="D68" i="9"/>
  <c r="E68" i="9"/>
  <c r="F68" i="9"/>
  <c r="G68" i="9"/>
  <c r="H68" i="9"/>
  <c r="I68" i="9"/>
  <c r="K68" i="9"/>
  <c r="L68" i="9"/>
  <c r="M68" i="9"/>
  <c r="N68" i="9"/>
  <c r="O68" i="9"/>
  <c r="P68" i="9"/>
  <c r="Q68" i="9"/>
  <c r="R68" i="9"/>
  <c r="S68" i="9"/>
  <c r="T68" i="9"/>
  <c r="U68" i="9"/>
  <c r="V68" i="9"/>
  <c r="W68" i="9"/>
  <c r="X68" i="9"/>
  <c r="Y68" i="9"/>
  <c r="Z68" i="9"/>
  <c r="AA68" i="9"/>
  <c r="AB68" i="9"/>
  <c r="AC68" i="9"/>
  <c r="AD68" i="9"/>
  <c r="AE68" i="9"/>
  <c r="AF68" i="9"/>
  <c r="AG68" i="9"/>
  <c r="AH68" i="9"/>
  <c r="B69" i="9"/>
  <c r="C69" i="9"/>
  <c r="D69" i="9"/>
  <c r="E69" i="9"/>
  <c r="F69" i="9"/>
  <c r="G69" i="9"/>
  <c r="H69" i="9"/>
  <c r="I69" i="9"/>
  <c r="K69" i="9"/>
  <c r="L69" i="9"/>
  <c r="M69" i="9"/>
  <c r="N69" i="9"/>
  <c r="O69" i="9"/>
  <c r="P69" i="9"/>
  <c r="Q69" i="9"/>
  <c r="R69" i="9"/>
  <c r="S69" i="9"/>
  <c r="T69" i="9"/>
  <c r="U69" i="9"/>
  <c r="V69" i="9"/>
  <c r="W69" i="9"/>
  <c r="X69" i="9"/>
  <c r="Y69" i="9"/>
  <c r="Z69" i="9"/>
  <c r="AA69" i="9"/>
  <c r="AB69" i="9"/>
  <c r="AC69" i="9"/>
  <c r="AD69" i="9"/>
  <c r="AE69" i="9"/>
  <c r="AF69" i="9"/>
  <c r="AG69" i="9"/>
  <c r="AH69" i="9"/>
  <c r="B70" i="9"/>
  <c r="C70" i="9"/>
  <c r="D70" i="9"/>
  <c r="E70" i="9"/>
  <c r="F70" i="9"/>
  <c r="G70" i="9"/>
  <c r="H70" i="9"/>
  <c r="I70" i="9"/>
  <c r="K70" i="9"/>
  <c r="L70" i="9"/>
  <c r="M70" i="9"/>
  <c r="N70" i="9"/>
  <c r="O70" i="9"/>
  <c r="P70" i="9"/>
  <c r="Q70" i="9"/>
  <c r="R70" i="9"/>
  <c r="S70" i="9"/>
  <c r="T70" i="9"/>
  <c r="U70" i="9"/>
  <c r="V70" i="9"/>
  <c r="W70" i="9"/>
  <c r="X70" i="9"/>
  <c r="Y70" i="9"/>
  <c r="Z70" i="9"/>
  <c r="AA70" i="9"/>
  <c r="AB70" i="9"/>
  <c r="AC70" i="9"/>
  <c r="AD70" i="9"/>
  <c r="AE70" i="9"/>
  <c r="AF70" i="9"/>
  <c r="AG70" i="9"/>
  <c r="AH70" i="9"/>
  <c r="B71" i="9"/>
  <c r="C71" i="9"/>
  <c r="D71" i="9"/>
  <c r="E71" i="9"/>
  <c r="F71" i="9"/>
  <c r="G71" i="9"/>
  <c r="H71" i="9"/>
  <c r="I71" i="9"/>
  <c r="K71" i="9"/>
  <c r="L71" i="9"/>
  <c r="M71" i="9"/>
  <c r="N71" i="9"/>
  <c r="O71" i="9"/>
  <c r="P71" i="9"/>
  <c r="Q71" i="9"/>
  <c r="R71" i="9"/>
  <c r="S71" i="9"/>
  <c r="T71" i="9"/>
  <c r="U71" i="9"/>
  <c r="V71" i="9"/>
  <c r="W71" i="9"/>
  <c r="X71" i="9"/>
  <c r="Y71" i="9"/>
  <c r="Z71" i="9"/>
  <c r="AA71" i="9"/>
  <c r="AB71" i="9"/>
  <c r="AC71" i="9"/>
  <c r="AD71" i="9"/>
  <c r="AE71" i="9"/>
  <c r="AF71" i="9"/>
  <c r="AG71" i="9"/>
  <c r="AH71" i="9"/>
  <c r="B72" i="9"/>
  <c r="C72" i="9"/>
  <c r="D72" i="9"/>
  <c r="E72" i="9"/>
  <c r="F72" i="9"/>
  <c r="G72" i="9"/>
  <c r="H72" i="9"/>
  <c r="I72" i="9"/>
  <c r="K72" i="9"/>
  <c r="L72" i="9"/>
  <c r="M72" i="9"/>
  <c r="N72" i="9"/>
  <c r="O72" i="9"/>
  <c r="P72" i="9"/>
  <c r="Q72" i="9"/>
  <c r="R72" i="9"/>
  <c r="S72" i="9"/>
  <c r="T72" i="9"/>
  <c r="U72" i="9"/>
  <c r="V72" i="9"/>
  <c r="W72" i="9"/>
  <c r="X72" i="9"/>
  <c r="Y72" i="9"/>
  <c r="Z72" i="9"/>
  <c r="AA72" i="9"/>
  <c r="AB72" i="9"/>
  <c r="AC72" i="9"/>
  <c r="AD72" i="9"/>
  <c r="AE72" i="9"/>
  <c r="AF72" i="9"/>
  <c r="AG72" i="9"/>
  <c r="AH72" i="9"/>
  <c r="B73" i="9"/>
  <c r="C73" i="9"/>
  <c r="D73" i="9"/>
  <c r="E73" i="9"/>
  <c r="F73" i="9"/>
  <c r="G73" i="9"/>
  <c r="H73" i="9"/>
  <c r="I73" i="9"/>
  <c r="K73" i="9"/>
  <c r="L73" i="9"/>
  <c r="M73" i="9"/>
  <c r="N73" i="9"/>
  <c r="O73" i="9"/>
  <c r="P73" i="9"/>
  <c r="Q73" i="9"/>
  <c r="R73" i="9"/>
  <c r="S73" i="9"/>
  <c r="T73" i="9"/>
  <c r="U73" i="9"/>
  <c r="V73" i="9"/>
  <c r="W73" i="9"/>
  <c r="X73" i="9"/>
  <c r="Y73" i="9"/>
  <c r="Z73" i="9"/>
  <c r="AA73" i="9"/>
  <c r="AB73" i="9"/>
  <c r="AC73" i="9"/>
  <c r="AD73" i="9"/>
  <c r="AE73" i="9"/>
  <c r="AF73" i="9"/>
  <c r="AG73" i="9"/>
  <c r="AH73" i="9"/>
  <c r="B74" i="9"/>
  <c r="C74" i="9"/>
  <c r="D74" i="9"/>
  <c r="E74" i="9"/>
  <c r="F74" i="9"/>
  <c r="G74" i="9"/>
  <c r="H74" i="9"/>
  <c r="I74" i="9"/>
  <c r="K74" i="9"/>
  <c r="L74" i="9"/>
  <c r="M74" i="9"/>
  <c r="N74" i="9"/>
  <c r="O74" i="9"/>
  <c r="P74" i="9"/>
  <c r="Q74" i="9"/>
  <c r="R74" i="9"/>
  <c r="S74" i="9"/>
  <c r="T74" i="9"/>
  <c r="U74" i="9"/>
  <c r="V74" i="9"/>
  <c r="W74" i="9"/>
  <c r="X74" i="9"/>
  <c r="Y74" i="9"/>
  <c r="Z74" i="9"/>
  <c r="AA74" i="9"/>
  <c r="AB74" i="9"/>
  <c r="AC74" i="9"/>
  <c r="AD74" i="9"/>
  <c r="AE74" i="9"/>
  <c r="AF74" i="9"/>
  <c r="AG74" i="9"/>
  <c r="AH74" i="9"/>
  <c r="B75" i="9"/>
  <c r="C75" i="9"/>
  <c r="D75" i="9"/>
  <c r="E75" i="9"/>
  <c r="F75" i="9"/>
  <c r="G75" i="9"/>
  <c r="H75" i="9"/>
  <c r="I75" i="9"/>
  <c r="K75" i="9"/>
  <c r="L75" i="9"/>
  <c r="M75" i="9"/>
  <c r="N75" i="9"/>
  <c r="O75" i="9"/>
  <c r="P75" i="9"/>
  <c r="Q75" i="9"/>
  <c r="R75" i="9"/>
  <c r="S75" i="9"/>
  <c r="T75" i="9"/>
  <c r="U75" i="9"/>
  <c r="V75" i="9"/>
  <c r="W75" i="9"/>
  <c r="X75" i="9"/>
  <c r="Y75" i="9"/>
  <c r="Z75" i="9"/>
  <c r="AA75" i="9"/>
  <c r="AB75" i="9"/>
  <c r="AC75" i="9"/>
  <c r="AD75" i="9"/>
  <c r="AE75" i="9"/>
  <c r="AF75" i="9"/>
  <c r="AG75" i="9"/>
  <c r="AH75" i="9"/>
  <c r="B76" i="9"/>
  <c r="C76" i="9"/>
  <c r="D76" i="9"/>
  <c r="E76" i="9"/>
  <c r="F76" i="9"/>
  <c r="G76" i="9"/>
  <c r="H76" i="9"/>
  <c r="I76" i="9"/>
  <c r="K76" i="9"/>
  <c r="L76" i="9"/>
  <c r="M76" i="9"/>
  <c r="N76" i="9"/>
  <c r="O76" i="9"/>
  <c r="P76" i="9"/>
  <c r="Q76" i="9"/>
  <c r="R76" i="9"/>
  <c r="S76" i="9"/>
  <c r="T76" i="9"/>
  <c r="U76" i="9"/>
  <c r="V76" i="9"/>
  <c r="W76" i="9"/>
  <c r="X76" i="9"/>
  <c r="Y76" i="9"/>
  <c r="Z76" i="9"/>
  <c r="AA76" i="9"/>
  <c r="AB76" i="9"/>
  <c r="AC76" i="9"/>
  <c r="AD76" i="9"/>
  <c r="AE76" i="9"/>
  <c r="AF76" i="9"/>
  <c r="AG76" i="9"/>
  <c r="AH76" i="9"/>
  <c r="B77" i="9"/>
  <c r="C77" i="9"/>
  <c r="D77" i="9"/>
  <c r="E77" i="9"/>
  <c r="F77" i="9"/>
  <c r="G77" i="9"/>
  <c r="H77" i="9"/>
  <c r="I77" i="9"/>
  <c r="K77" i="9"/>
  <c r="L77" i="9"/>
  <c r="M77" i="9"/>
  <c r="N77" i="9"/>
  <c r="O77" i="9"/>
  <c r="P77" i="9"/>
  <c r="Q77" i="9"/>
  <c r="R77" i="9"/>
  <c r="S77" i="9"/>
  <c r="T77" i="9"/>
  <c r="U77" i="9"/>
  <c r="V77" i="9"/>
  <c r="W77" i="9"/>
  <c r="X77" i="9"/>
  <c r="Y77" i="9"/>
  <c r="Z77" i="9"/>
  <c r="AA77" i="9"/>
  <c r="AB77" i="9"/>
  <c r="AC77" i="9"/>
  <c r="AD77" i="9"/>
  <c r="AE77" i="9"/>
  <c r="AF77" i="9"/>
  <c r="AG77" i="9"/>
  <c r="AH77" i="9"/>
  <c r="B78" i="9"/>
  <c r="C78" i="9"/>
  <c r="D78" i="9"/>
  <c r="E78" i="9"/>
  <c r="F78" i="9"/>
  <c r="G78" i="9"/>
  <c r="H78" i="9"/>
  <c r="I78" i="9"/>
  <c r="K78" i="9"/>
  <c r="L78" i="9"/>
  <c r="M78" i="9"/>
  <c r="N78" i="9"/>
  <c r="O78" i="9"/>
  <c r="P78" i="9"/>
  <c r="Q78" i="9"/>
  <c r="R78" i="9"/>
  <c r="S78" i="9"/>
  <c r="T78" i="9"/>
  <c r="U78" i="9"/>
  <c r="V78" i="9"/>
  <c r="W78" i="9"/>
  <c r="X78" i="9"/>
  <c r="Y78" i="9"/>
  <c r="Z78" i="9"/>
  <c r="AA78" i="9"/>
  <c r="AB78" i="9"/>
  <c r="AC78" i="9"/>
  <c r="AD78" i="9"/>
  <c r="AE78" i="9"/>
  <c r="AF78" i="9"/>
  <c r="AG78" i="9"/>
  <c r="AH78" i="9"/>
  <c r="B79" i="9"/>
  <c r="C79" i="9"/>
  <c r="D79" i="9"/>
  <c r="E79" i="9"/>
  <c r="F79" i="9"/>
  <c r="G79" i="9"/>
  <c r="H79" i="9"/>
  <c r="I79" i="9"/>
  <c r="K79" i="9"/>
  <c r="L79" i="9"/>
  <c r="M79" i="9"/>
  <c r="N79" i="9"/>
  <c r="O79" i="9"/>
  <c r="P79" i="9"/>
  <c r="Q79" i="9"/>
  <c r="R79" i="9"/>
  <c r="S79" i="9"/>
  <c r="T79" i="9"/>
  <c r="U79" i="9"/>
  <c r="V79" i="9"/>
  <c r="W79" i="9"/>
  <c r="X79" i="9"/>
  <c r="Y79" i="9"/>
  <c r="Z79" i="9"/>
  <c r="AA79" i="9"/>
  <c r="AB79" i="9"/>
  <c r="AC79" i="9"/>
  <c r="AD79" i="9"/>
  <c r="AE79" i="9"/>
  <c r="AF79" i="9"/>
  <c r="AG79" i="9"/>
  <c r="AH79" i="9"/>
  <c r="B80" i="9"/>
  <c r="C80" i="9"/>
  <c r="D80" i="9"/>
  <c r="E80" i="9"/>
  <c r="F80" i="9"/>
  <c r="G80" i="9"/>
  <c r="H80" i="9"/>
  <c r="I80" i="9"/>
  <c r="K80" i="9"/>
  <c r="L80" i="9"/>
  <c r="M80" i="9"/>
  <c r="N80" i="9"/>
  <c r="O80" i="9"/>
  <c r="P80" i="9"/>
  <c r="Q80" i="9"/>
  <c r="R80" i="9"/>
  <c r="S80" i="9"/>
  <c r="T80" i="9"/>
  <c r="U80" i="9"/>
  <c r="V80" i="9"/>
  <c r="W80" i="9"/>
  <c r="X80" i="9"/>
  <c r="Y80" i="9"/>
  <c r="Z80" i="9"/>
  <c r="AA80" i="9"/>
  <c r="AB80" i="9"/>
  <c r="AC80" i="9"/>
  <c r="AD80" i="9"/>
  <c r="AE80" i="9"/>
  <c r="AF80" i="9"/>
  <c r="AG80" i="9"/>
  <c r="AH80" i="9"/>
  <c r="B81" i="9"/>
  <c r="C81" i="9"/>
  <c r="D81" i="9"/>
  <c r="E81" i="9"/>
  <c r="F81" i="9"/>
  <c r="G81" i="9"/>
  <c r="H81" i="9"/>
  <c r="I81" i="9"/>
  <c r="K81" i="9"/>
  <c r="L81" i="9"/>
  <c r="M81" i="9"/>
  <c r="N81" i="9"/>
  <c r="O81" i="9"/>
  <c r="P81" i="9"/>
  <c r="Q81" i="9"/>
  <c r="R81" i="9"/>
  <c r="S81" i="9"/>
  <c r="T81" i="9"/>
  <c r="U81" i="9"/>
  <c r="V81" i="9"/>
  <c r="W81" i="9"/>
  <c r="X81" i="9"/>
  <c r="Y81" i="9"/>
  <c r="Z81" i="9"/>
  <c r="AA81" i="9"/>
  <c r="AB81" i="9"/>
  <c r="AC81" i="9"/>
  <c r="AD81" i="9"/>
  <c r="AE81" i="9"/>
  <c r="AF81" i="9"/>
  <c r="AG81" i="9"/>
  <c r="AH81" i="9"/>
  <c r="B82" i="9"/>
  <c r="C82" i="9"/>
  <c r="D82" i="9"/>
  <c r="E82" i="9"/>
  <c r="F82" i="9"/>
  <c r="G82" i="9"/>
  <c r="H82" i="9"/>
  <c r="I82" i="9"/>
  <c r="K82" i="9"/>
  <c r="L82" i="9"/>
  <c r="M82" i="9"/>
  <c r="N82" i="9"/>
  <c r="O82" i="9"/>
  <c r="P82" i="9"/>
  <c r="Q82" i="9"/>
  <c r="R82" i="9"/>
  <c r="S82" i="9"/>
  <c r="T82" i="9"/>
  <c r="U82" i="9"/>
  <c r="V82" i="9"/>
  <c r="W82" i="9"/>
  <c r="X82" i="9"/>
  <c r="Y82" i="9"/>
  <c r="Z82" i="9"/>
  <c r="AA82" i="9"/>
  <c r="AB82" i="9"/>
  <c r="AC82" i="9"/>
  <c r="AD82" i="9"/>
  <c r="AE82" i="9"/>
  <c r="AF82" i="9"/>
  <c r="AG82" i="9"/>
  <c r="AH82" i="9"/>
  <c r="B83" i="9"/>
  <c r="C83" i="9"/>
  <c r="D83" i="9"/>
  <c r="E83" i="9"/>
  <c r="F83" i="9"/>
  <c r="G83" i="9"/>
  <c r="H83" i="9"/>
  <c r="I83" i="9"/>
  <c r="K83" i="9"/>
  <c r="L83" i="9"/>
  <c r="M83" i="9"/>
  <c r="N83" i="9"/>
  <c r="O83" i="9"/>
  <c r="P83" i="9"/>
  <c r="Q83" i="9"/>
  <c r="R83" i="9"/>
  <c r="S83" i="9"/>
  <c r="T83" i="9"/>
  <c r="U83" i="9"/>
  <c r="V83" i="9"/>
  <c r="W83" i="9"/>
  <c r="X83" i="9"/>
  <c r="Y83" i="9"/>
  <c r="Z83" i="9"/>
  <c r="AA83" i="9"/>
  <c r="AB83" i="9"/>
  <c r="AC83" i="9"/>
  <c r="AD83" i="9"/>
  <c r="AE83" i="9"/>
  <c r="AF83" i="9"/>
  <c r="AG83" i="9"/>
  <c r="AH83" i="9"/>
  <c r="B84" i="9"/>
  <c r="C84" i="9"/>
  <c r="D84" i="9"/>
  <c r="E84" i="9"/>
  <c r="F84" i="9"/>
  <c r="G84" i="9"/>
  <c r="H84" i="9"/>
  <c r="I84" i="9"/>
  <c r="K84" i="9"/>
  <c r="L84" i="9"/>
  <c r="M84" i="9"/>
  <c r="N84" i="9"/>
  <c r="O84" i="9"/>
  <c r="P84" i="9"/>
  <c r="Q84" i="9"/>
  <c r="R84" i="9"/>
  <c r="S84" i="9"/>
  <c r="T84" i="9"/>
  <c r="U84" i="9"/>
  <c r="V84" i="9"/>
  <c r="W84" i="9"/>
  <c r="X84" i="9"/>
  <c r="Y84" i="9"/>
  <c r="Z84" i="9"/>
  <c r="AA84" i="9"/>
  <c r="AB84" i="9"/>
  <c r="AC84" i="9"/>
  <c r="AD84" i="9"/>
  <c r="AE84" i="9"/>
  <c r="AF84" i="9"/>
  <c r="AG84" i="9"/>
  <c r="AH84" i="9"/>
  <c r="B85" i="9"/>
  <c r="C85" i="9"/>
  <c r="D85" i="9"/>
  <c r="E85" i="9"/>
  <c r="F85" i="9"/>
  <c r="G85" i="9"/>
  <c r="H85" i="9"/>
  <c r="I85" i="9"/>
  <c r="K85" i="9"/>
  <c r="L85" i="9"/>
  <c r="M85" i="9"/>
  <c r="N85" i="9"/>
  <c r="O85" i="9"/>
  <c r="P85" i="9"/>
  <c r="Q85" i="9"/>
  <c r="R85" i="9"/>
  <c r="S85" i="9"/>
  <c r="T85" i="9"/>
  <c r="U85" i="9"/>
  <c r="V85" i="9"/>
  <c r="W85" i="9"/>
  <c r="X85" i="9"/>
  <c r="Y85" i="9"/>
  <c r="Z85" i="9"/>
  <c r="AA85" i="9"/>
  <c r="AB85" i="9"/>
  <c r="AC85" i="9"/>
  <c r="AD85" i="9"/>
  <c r="AE85" i="9"/>
  <c r="AF85" i="9"/>
  <c r="AG85" i="9"/>
  <c r="AH85" i="9"/>
  <c r="B86" i="9"/>
  <c r="C86" i="9"/>
  <c r="D86" i="9"/>
  <c r="E86" i="9"/>
  <c r="F86" i="9"/>
  <c r="G86" i="9"/>
  <c r="H86" i="9"/>
  <c r="I86" i="9"/>
  <c r="K86" i="9"/>
  <c r="L86" i="9"/>
  <c r="M86" i="9"/>
  <c r="N86" i="9"/>
  <c r="O86" i="9"/>
  <c r="P86" i="9"/>
  <c r="Q86" i="9"/>
  <c r="R86" i="9"/>
  <c r="S86" i="9"/>
  <c r="T86" i="9"/>
  <c r="U86" i="9"/>
  <c r="V86" i="9"/>
  <c r="W86" i="9"/>
  <c r="X86" i="9"/>
  <c r="Y86" i="9"/>
  <c r="Z86" i="9"/>
  <c r="AA86" i="9"/>
  <c r="AB86" i="9"/>
  <c r="AC86" i="9"/>
  <c r="AD86" i="9"/>
  <c r="AE86" i="9"/>
  <c r="AF86" i="9"/>
  <c r="AG86" i="9"/>
  <c r="AH86" i="9"/>
  <c r="B87" i="9"/>
  <c r="C87" i="9"/>
  <c r="D87" i="9"/>
  <c r="E87" i="9"/>
  <c r="F87" i="9"/>
  <c r="G87" i="9"/>
  <c r="H87" i="9"/>
  <c r="I87" i="9"/>
  <c r="K87" i="9"/>
  <c r="L87" i="9"/>
  <c r="M87" i="9"/>
  <c r="N87" i="9"/>
  <c r="O87" i="9"/>
  <c r="P87" i="9"/>
  <c r="Q87" i="9"/>
  <c r="R87" i="9"/>
  <c r="S87" i="9"/>
  <c r="T87" i="9"/>
  <c r="U87" i="9"/>
  <c r="V87" i="9"/>
  <c r="W87" i="9"/>
  <c r="X87" i="9"/>
  <c r="Y87" i="9"/>
  <c r="Z87" i="9"/>
  <c r="AA87" i="9"/>
  <c r="AB87" i="9"/>
  <c r="AC87" i="9"/>
  <c r="AD87" i="9"/>
  <c r="AE87" i="9"/>
  <c r="AF87" i="9"/>
  <c r="AG87" i="9"/>
  <c r="AH87" i="9"/>
  <c r="B88" i="9"/>
  <c r="C88" i="9"/>
  <c r="D88" i="9"/>
  <c r="E88" i="9"/>
  <c r="F88" i="9"/>
  <c r="G88" i="9"/>
  <c r="H88" i="9"/>
  <c r="I88" i="9"/>
  <c r="K88" i="9"/>
  <c r="L88" i="9"/>
  <c r="M88" i="9"/>
  <c r="N88" i="9"/>
  <c r="O88" i="9"/>
  <c r="P88" i="9"/>
  <c r="Q88" i="9"/>
  <c r="R88" i="9"/>
  <c r="S88" i="9"/>
  <c r="T88" i="9"/>
  <c r="U88" i="9"/>
  <c r="V88" i="9"/>
  <c r="W88" i="9"/>
  <c r="X88" i="9"/>
  <c r="Y88" i="9"/>
  <c r="Z88" i="9"/>
  <c r="AA88" i="9"/>
  <c r="AB88" i="9"/>
  <c r="AC88" i="9"/>
  <c r="AD88" i="9"/>
  <c r="AE88" i="9"/>
  <c r="AF88" i="9"/>
  <c r="AG88" i="9"/>
  <c r="AH88" i="9"/>
  <c r="B89" i="9"/>
  <c r="C89" i="9"/>
  <c r="D89" i="9"/>
  <c r="E89" i="9"/>
  <c r="F89" i="9"/>
  <c r="G89" i="9"/>
  <c r="H89" i="9"/>
  <c r="I89" i="9"/>
  <c r="K89" i="9"/>
  <c r="L89" i="9"/>
  <c r="M89" i="9"/>
  <c r="N89" i="9"/>
  <c r="O89" i="9"/>
  <c r="P89" i="9"/>
  <c r="Q89" i="9"/>
  <c r="R89" i="9"/>
  <c r="S89" i="9"/>
  <c r="T89" i="9"/>
  <c r="U89" i="9"/>
  <c r="V89" i="9"/>
  <c r="W89" i="9"/>
  <c r="X89" i="9"/>
  <c r="Y89" i="9"/>
  <c r="Z89" i="9"/>
  <c r="AA89" i="9"/>
  <c r="AB89" i="9"/>
  <c r="AC89" i="9"/>
  <c r="AD89" i="9"/>
  <c r="AE89" i="9"/>
  <c r="AF89" i="9"/>
  <c r="AG89" i="9"/>
  <c r="AH89" i="9"/>
  <c r="B90" i="9"/>
  <c r="C90" i="9"/>
  <c r="D90" i="9"/>
  <c r="E90" i="9"/>
  <c r="F90" i="9"/>
  <c r="G90" i="9"/>
  <c r="H90" i="9"/>
  <c r="I90" i="9"/>
  <c r="K90" i="9"/>
  <c r="L90" i="9"/>
  <c r="M90" i="9"/>
  <c r="N90" i="9"/>
  <c r="O90" i="9"/>
  <c r="P90" i="9"/>
  <c r="Q90" i="9"/>
  <c r="R90" i="9"/>
  <c r="S90" i="9"/>
  <c r="T90" i="9"/>
  <c r="U90" i="9"/>
  <c r="V90" i="9"/>
  <c r="W90" i="9"/>
  <c r="X90" i="9"/>
  <c r="Y90" i="9"/>
  <c r="Z90" i="9"/>
  <c r="AA90" i="9"/>
  <c r="AB90" i="9"/>
  <c r="AC90" i="9"/>
  <c r="AD90" i="9"/>
  <c r="AE90" i="9"/>
  <c r="AF90" i="9"/>
  <c r="AG90" i="9"/>
  <c r="AH90" i="9"/>
  <c r="B91" i="9"/>
  <c r="C91" i="9"/>
  <c r="D91" i="9"/>
  <c r="E91" i="9"/>
  <c r="F91" i="9"/>
  <c r="G91" i="9"/>
  <c r="H91" i="9"/>
  <c r="I91" i="9"/>
  <c r="K91" i="9"/>
  <c r="L91" i="9"/>
  <c r="M91" i="9"/>
  <c r="N91" i="9"/>
  <c r="O91" i="9"/>
  <c r="P91" i="9"/>
  <c r="Q91" i="9"/>
  <c r="R91" i="9"/>
  <c r="S91" i="9"/>
  <c r="T91" i="9"/>
  <c r="U91" i="9"/>
  <c r="V91" i="9"/>
  <c r="W91" i="9"/>
  <c r="X91" i="9"/>
  <c r="Y91" i="9"/>
  <c r="Z91" i="9"/>
  <c r="AA91" i="9"/>
  <c r="AB91" i="9"/>
  <c r="AC91" i="9"/>
  <c r="AD91" i="9"/>
  <c r="AE91" i="9"/>
  <c r="AF91" i="9"/>
  <c r="AG91" i="9"/>
  <c r="AH91" i="9"/>
  <c r="B92" i="9"/>
  <c r="C92" i="9"/>
  <c r="D92" i="9"/>
  <c r="E92" i="9"/>
  <c r="F92" i="9"/>
  <c r="G92" i="9"/>
  <c r="H92" i="9"/>
  <c r="I92" i="9"/>
  <c r="K92" i="9"/>
  <c r="L92" i="9"/>
  <c r="M92" i="9"/>
  <c r="N92" i="9"/>
  <c r="O92" i="9"/>
  <c r="P92" i="9"/>
  <c r="Q92" i="9"/>
  <c r="R92" i="9"/>
  <c r="S92" i="9"/>
  <c r="T92" i="9"/>
  <c r="U92" i="9"/>
  <c r="V92" i="9"/>
  <c r="W92" i="9"/>
  <c r="X92" i="9"/>
  <c r="Y92" i="9"/>
  <c r="Z92" i="9"/>
  <c r="AA92" i="9"/>
  <c r="AB92" i="9"/>
  <c r="AC92" i="9"/>
  <c r="AD92" i="9"/>
  <c r="AE92" i="9"/>
  <c r="AF92" i="9"/>
  <c r="AG92" i="9"/>
  <c r="AH92" i="9"/>
  <c r="B93" i="9"/>
  <c r="C93" i="9"/>
  <c r="D93" i="9"/>
  <c r="E93" i="9"/>
  <c r="F93" i="9"/>
  <c r="G93" i="9"/>
  <c r="H93" i="9"/>
  <c r="I93" i="9"/>
  <c r="K93" i="9"/>
  <c r="L93" i="9"/>
  <c r="M93" i="9"/>
  <c r="N93" i="9"/>
  <c r="O93" i="9"/>
  <c r="P93" i="9"/>
  <c r="Q93" i="9"/>
  <c r="R93" i="9"/>
  <c r="S93" i="9"/>
  <c r="T93" i="9"/>
  <c r="U93" i="9"/>
  <c r="V93" i="9"/>
  <c r="W93" i="9"/>
  <c r="X93" i="9"/>
  <c r="Y93" i="9"/>
  <c r="Z93" i="9"/>
  <c r="AA93" i="9"/>
  <c r="AB93" i="9"/>
  <c r="AC93" i="9"/>
  <c r="AD93" i="9"/>
  <c r="AE93" i="9"/>
  <c r="AF93" i="9"/>
  <c r="AG93" i="9"/>
  <c r="AH93" i="9"/>
  <c r="B94" i="9"/>
  <c r="C94" i="9"/>
  <c r="D94" i="9"/>
  <c r="E94" i="9"/>
  <c r="F94" i="9"/>
  <c r="G94" i="9"/>
  <c r="H94" i="9"/>
  <c r="I94" i="9"/>
  <c r="K94" i="9"/>
  <c r="L94" i="9"/>
  <c r="M94" i="9"/>
  <c r="N94" i="9"/>
  <c r="O94" i="9"/>
  <c r="P94" i="9"/>
  <c r="Q94" i="9"/>
  <c r="R94" i="9"/>
  <c r="S94" i="9"/>
  <c r="T94" i="9"/>
  <c r="U94" i="9"/>
  <c r="V94" i="9"/>
  <c r="W94" i="9"/>
  <c r="X94" i="9"/>
  <c r="Y94" i="9"/>
  <c r="Z94" i="9"/>
  <c r="AA94" i="9"/>
  <c r="AB94" i="9"/>
  <c r="AC94" i="9"/>
  <c r="AD94" i="9"/>
  <c r="AE94" i="9"/>
  <c r="AF94" i="9"/>
  <c r="AG94" i="9"/>
  <c r="AH94" i="9"/>
  <c r="B95" i="9"/>
  <c r="C95" i="9"/>
  <c r="D95" i="9"/>
  <c r="E95" i="9"/>
  <c r="F95" i="9"/>
  <c r="G95" i="9"/>
  <c r="H95" i="9"/>
  <c r="I95" i="9"/>
  <c r="K95" i="9"/>
  <c r="L95" i="9"/>
  <c r="M95" i="9"/>
  <c r="N95" i="9"/>
  <c r="O95" i="9"/>
  <c r="P95" i="9"/>
  <c r="Q95" i="9"/>
  <c r="R95" i="9"/>
  <c r="S95" i="9"/>
  <c r="T95" i="9"/>
  <c r="U95" i="9"/>
  <c r="V95" i="9"/>
  <c r="W95" i="9"/>
  <c r="X95" i="9"/>
  <c r="Y95" i="9"/>
  <c r="Z95" i="9"/>
  <c r="AA95" i="9"/>
  <c r="AB95" i="9"/>
  <c r="AC95" i="9"/>
  <c r="AD95" i="9"/>
  <c r="AE95" i="9"/>
  <c r="AF95" i="9"/>
  <c r="AG95" i="9"/>
  <c r="AH95" i="9"/>
  <c r="B96" i="9"/>
  <c r="C96" i="9"/>
  <c r="D96" i="9"/>
  <c r="E96" i="9"/>
  <c r="F96" i="9"/>
  <c r="G96" i="9"/>
  <c r="H96" i="9"/>
  <c r="I96" i="9"/>
  <c r="K96" i="9"/>
  <c r="L96" i="9"/>
  <c r="M96" i="9"/>
  <c r="N96" i="9"/>
  <c r="O96" i="9"/>
  <c r="P96" i="9"/>
  <c r="Q96" i="9"/>
  <c r="R96" i="9"/>
  <c r="S96" i="9"/>
  <c r="T96" i="9"/>
  <c r="U96" i="9"/>
  <c r="V96" i="9"/>
  <c r="W96" i="9"/>
  <c r="X96" i="9"/>
  <c r="Y96" i="9"/>
  <c r="Z96" i="9"/>
  <c r="AA96" i="9"/>
  <c r="AB96" i="9"/>
  <c r="AC96" i="9"/>
  <c r="AD96" i="9"/>
  <c r="AE96" i="9"/>
  <c r="AF96" i="9"/>
  <c r="AG96" i="9"/>
  <c r="AH96" i="9"/>
  <c r="B97" i="9"/>
  <c r="C97" i="9"/>
  <c r="D97" i="9"/>
  <c r="E97" i="9"/>
  <c r="F97" i="9"/>
  <c r="G97" i="9"/>
  <c r="H97" i="9"/>
  <c r="I97" i="9"/>
  <c r="K97" i="9"/>
  <c r="L97" i="9"/>
  <c r="M97" i="9"/>
  <c r="N97" i="9"/>
  <c r="O97" i="9"/>
  <c r="P97" i="9"/>
  <c r="Q97" i="9"/>
  <c r="R97" i="9"/>
  <c r="S97" i="9"/>
  <c r="T97" i="9"/>
  <c r="U97" i="9"/>
  <c r="V97" i="9"/>
  <c r="W97" i="9"/>
  <c r="X97" i="9"/>
  <c r="Y97" i="9"/>
  <c r="Z97" i="9"/>
  <c r="AA97" i="9"/>
  <c r="AB97" i="9"/>
  <c r="AC97" i="9"/>
  <c r="AD97" i="9"/>
  <c r="AE97" i="9"/>
  <c r="AF97" i="9"/>
  <c r="AG97" i="9"/>
  <c r="AH97" i="9"/>
  <c r="B98" i="9"/>
  <c r="C98" i="9"/>
  <c r="D98" i="9"/>
  <c r="E98" i="9"/>
  <c r="F98" i="9"/>
  <c r="G98" i="9"/>
  <c r="H98" i="9"/>
  <c r="I98" i="9"/>
  <c r="K98" i="9"/>
  <c r="L98" i="9"/>
  <c r="M98" i="9"/>
  <c r="N98" i="9"/>
  <c r="O98" i="9"/>
  <c r="P98" i="9"/>
  <c r="Q98" i="9"/>
  <c r="R98" i="9"/>
  <c r="S98" i="9"/>
  <c r="T98" i="9"/>
  <c r="U98" i="9"/>
  <c r="V98" i="9"/>
  <c r="W98" i="9"/>
  <c r="X98" i="9"/>
  <c r="Y98" i="9"/>
  <c r="Z98" i="9"/>
  <c r="AA98" i="9"/>
  <c r="AB98" i="9"/>
  <c r="AC98" i="9"/>
  <c r="AD98" i="9"/>
  <c r="AE98" i="9"/>
  <c r="AF98" i="9"/>
  <c r="AG98" i="9"/>
  <c r="AH98" i="9"/>
  <c r="B99" i="9"/>
  <c r="C99" i="9"/>
  <c r="D99" i="9"/>
  <c r="E99" i="9"/>
  <c r="F99" i="9"/>
  <c r="G99" i="9"/>
  <c r="H99" i="9"/>
  <c r="I99" i="9"/>
  <c r="K99" i="9"/>
  <c r="L99" i="9"/>
  <c r="M99" i="9"/>
  <c r="N99" i="9"/>
  <c r="O99" i="9"/>
  <c r="P99" i="9"/>
  <c r="Q99" i="9"/>
  <c r="R99" i="9"/>
  <c r="S99" i="9"/>
  <c r="T99" i="9"/>
  <c r="U99" i="9"/>
  <c r="V99" i="9"/>
  <c r="W99" i="9"/>
  <c r="X99" i="9"/>
  <c r="Y99" i="9"/>
  <c r="Z99" i="9"/>
  <c r="AA99" i="9"/>
  <c r="AB99" i="9"/>
  <c r="AC99" i="9"/>
  <c r="AD99" i="9"/>
  <c r="AE99" i="9"/>
  <c r="AF99" i="9"/>
  <c r="AG99" i="9"/>
  <c r="AH99" i="9"/>
  <c r="B100" i="9"/>
  <c r="C100" i="9"/>
  <c r="D100" i="9"/>
  <c r="E100" i="9"/>
  <c r="F100" i="9"/>
  <c r="G100" i="9"/>
  <c r="H100" i="9"/>
  <c r="I100" i="9"/>
  <c r="K100" i="9"/>
  <c r="L100" i="9"/>
  <c r="M100" i="9"/>
  <c r="N100" i="9"/>
  <c r="O100" i="9"/>
  <c r="P100" i="9"/>
  <c r="Q100" i="9"/>
  <c r="R100" i="9"/>
  <c r="S100" i="9"/>
  <c r="T100" i="9"/>
  <c r="U100" i="9"/>
  <c r="V100" i="9"/>
  <c r="W100" i="9"/>
  <c r="X100" i="9"/>
  <c r="Y100" i="9"/>
  <c r="Z100" i="9"/>
  <c r="AA100" i="9"/>
  <c r="AB100" i="9"/>
  <c r="AC100" i="9"/>
  <c r="AD100" i="9"/>
  <c r="AE100" i="9"/>
  <c r="AF100" i="9"/>
  <c r="AG100" i="9"/>
  <c r="AH100" i="9"/>
  <c r="B101" i="9"/>
  <c r="C101" i="9"/>
  <c r="D101" i="9"/>
  <c r="E101" i="9"/>
  <c r="F101" i="9"/>
  <c r="G101" i="9"/>
  <c r="H101" i="9"/>
  <c r="I101" i="9"/>
  <c r="K101" i="9"/>
  <c r="L101" i="9"/>
  <c r="M101" i="9"/>
  <c r="N101" i="9"/>
  <c r="O101" i="9"/>
  <c r="P101" i="9"/>
  <c r="Q101" i="9"/>
  <c r="R101" i="9"/>
  <c r="S101" i="9"/>
  <c r="T101" i="9"/>
  <c r="U101" i="9"/>
  <c r="V101" i="9"/>
  <c r="W101" i="9"/>
  <c r="X101" i="9"/>
  <c r="Y101" i="9"/>
  <c r="Z101" i="9"/>
  <c r="AA101" i="9"/>
  <c r="AB101" i="9"/>
  <c r="AC101" i="9"/>
  <c r="AD101" i="9"/>
  <c r="AE101" i="9"/>
  <c r="AF101" i="9"/>
  <c r="AG101" i="9"/>
  <c r="AH101" i="9"/>
  <c r="B102" i="9"/>
  <c r="C102" i="9"/>
  <c r="D102" i="9"/>
  <c r="E102" i="9"/>
  <c r="F102" i="9"/>
  <c r="G102" i="9"/>
  <c r="H102" i="9"/>
  <c r="I102" i="9"/>
  <c r="K102" i="9"/>
  <c r="L102" i="9"/>
  <c r="M102" i="9"/>
  <c r="N102" i="9"/>
  <c r="O102" i="9"/>
  <c r="P102" i="9"/>
  <c r="Q102" i="9"/>
  <c r="R102" i="9"/>
  <c r="S102" i="9"/>
  <c r="T102" i="9"/>
  <c r="U102" i="9"/>
  <c r="V102" i="9"/>
  <c r="W102" i="9"/>
  <c r="X102" i="9"/>
  <c r="Y102" i="9"/>
  <c r="Z102" i="9"/>
  <c r="AA102" i="9"/>
  <c r="AB102" i="9"/>
  <c r="AC102" i="9"/>
  <c r="AD102" i="9"/>
  <c r="AE102" i="9"/>
  <c r="AF102" i="9"/>
  <c r="AG102" i="9"/>
  <c r="AH102" i="9"/>
  <c r="B103" i="9"/>
  <c r="C103" i="9"/>
  <c r="D103" i="9"/>
  <c r="E103" i="9"/>
  <c r="F103" i="9"/>
  <c r="G103" i="9"/>
  <c r="H103" i="9"/>
  <c r="I103" i="9"/>
  <c r="K103" i="9"/>
  <c r="L103" i="9"/>
  <c r="M103" i="9"/>
  <c r="N103" i="9"/>
  <c r="O103" i="9"/>
  <c r="P103" i="9"/>
  <c r="Q103" i="9"/>
  <c r="R103" i="9"/>
  <c r="S103" i="9"/>
  <c r="T103" i="9"/>
  <c r="U103" i="9"/>
  <c r="V103" i="9"/>
  <c r="W103" i="9"/>
  <c r="X103" i="9"/>
  <c r="Y103" i="9"/>
  <c r="Z103" i="9"/>
  <c r="AA103" i="9"/>
  <c r="AB103" i="9"/>
  <c r="AC103" i="9"/>
  <c r="AD103" i="9"/>
  <c r="AE103" i="9"/>
  <c r="AF103" i="9"/>
  <c r="AG103" i="9"/>
  <c r="AH103" i="9"/>
  <c r="B104" i="9"/>
  <c r="C104" i="9"/>
  <c r="D104" i="9"/>
  <c r="E104" i="9"/>
  <c r="F104" i="9"/>
  <c r="G104" i="9"/>
  <c r="H104" i="9"/>
  <c r="I104" i="9"/>
  <c r="K104" i="9"/>
  <c r="L104" i="9"/>
  <c r="M104" i="9"/>
  <c r="N104" i="9"/>
  <c r="O104" i="9"/>
  <c r="P104" i="9"/>
  <c r="Q104" i="9"/>
  <c r="R104" i="9"/>
  <c r="S104" i="9"/>
  <c r="T104" i="9"/>
  <c r="U104" i="9"/>
  <c r="V104" i="9"/>
  <c r="W104" i="9"/>
  <c r="X104" i="9"/>
  <c r="Y104" i="9"/>
  <c r="Z104" i="9"/>
  <c r="AA104" i="9"/>
  <c r="AB104" i="9"/>
  <c r="AC104" i="9"/>
  <c r="AD104" i="9"/>
  <c r="AE104" i="9"/>
  <c r="AF104" i="9"/>
  <c r="AG104" i="9"/>
  <c r="AH104" i="9"/>
  <c r="B105" i="9"/>
  <c r="C105" i="9"/>
  <c r="D105" i="9"/>
  <c r="E105" i="9"/>
  <c r="F105" i="9"/>
  <c r="G105" i="9"/>
  <c r="H105" i="9"/>
  <c r="I105" i="9"/>
  <c r="K105" i="9"/>
  <c r="L105" i="9"/>
  <c r="M105" i="9"/>
  <c r="N105" i="9"/>
  <c r="O105" i="9"/>
  <c r="P105" i="9"/>
  <c r="Q105" i="9"/>
  <c r="R105" i="9"/>
  <c r="S105" i="9"/>
  <c r="T105" i="9"/>
  <c r="U105" i="9"/>
  <c r="V105" i="9"/>
  <c r="W105" i="9"/>
  <c r="X105" i="9"/>
  <c r="Y105" i="9"/>
  <c r="Z105" i="9"/>
  <c r="AA105" i="9"/>
  <c r="AB105" i="9"/>
  <c r="AC105" i="9"/>
  <c r="AD105" i="9"/>
  <c r="AE105" i="9"/>
  <c r="AF105" i="9"/>
  <c r="AG105" i="9"/>
  <c r="AH105" i="9"/>
  <c r="B106" i="9"/>
  <c r="C106" i="9"/>
  <c r="D106" i="9"/>
  <c r="E106" i="9"/>
  <c r="F106" i="9"/>
  <c r="G106" i="9"/>
  <c r="H106" i="9"/>
  <c r="I106" i="9"/>
  <c r="K106" i="9"/>
  <c r="L106" i="9"/>
  <c r="M106" i="9"/>
  <c r="N106" i="9"/>
  <c r="O106" i="9"/>
  <c r="P106" i="9"/>
  <c r="Q106" i="9"/>
  <c r="R106" i="9"/>
  <c r="S106" i="9"/>
  <c r="T106" i="9"/>
  <c r="U106" i="9"/>
  <c r="V106" i="9"/>
  <c r="W106" i="9"/>
  <c r="X106" i="9"/>
  <c r="Y106" i="9"/>
  <c r="Z106" i="9"/>
  <c r="AA106" i="9"/>
  <c r="AB106" i="9"/>
  <c r="AC106" i="9"/>
  <c r="AD106" i="9"/>
  <c r="AE106" i="9"/>
  <c r="AF106" i="9"/>
  <c r="AG106" i="9"/>
  <c r="AH106" i="9"/>
  <c r="B107" i="9"/>
  <c r="C107" i="9"/>
  <c r="D107" i="9"/>
  <c r="E107" i="9"/>
  <c r="F107" i="9"/>
  <c r="G107" i="9"/>
  <c r="H107" i="9"/>
  <c r="I107" i="9"/>
  <c r="K107" i="9"/>
  <c r="L107" i="9"/>
  <c r="M107" i="9"/>
  <c r="N107" i="9"/>
  <c r="O107" i="9"/>
  <c r="P107" i="9"/>
  <c r="Q107" i="9"/>
  <c r="R107" i="9"/>
  <c r="S107" i="9"/>
  <c r="T107" i="9"/>
  <c r="U107" i="9"/>
  <c r="V107" i="9"/>
  <c r="W107" i="9"/>
  <c r="X107" i="9"/>
  <c r="Y107" i="9"/>
  <c r="Z107" i="9"/>
  <c r="AA107" i="9"/>
  <c r="AB107" i="9"/>
  <c r="AC107" i="9"/>
  <c r="AD107" i="9"/>
  <c r="AE107" i="9"/>
  <c r="AF107" i="9"/>
  <c r="AG107" i="9"/>
  <c r="AH107" i="9"/>
  <c r="B108" i="9"/>
  <c r="C108" i="9"/>
  <c r="D108" i="9"/>
  <c r="E108" i="9"/>
  <c r="F108" i="9"/>
  <c r="G108" i="9"/>
  <c r="H108" i="9"/>
  <c r="I108" i="9"/>
  <c r="K108" i="9"/>
  <c r="L108" i="9"/>
  <c r="M108" i="9"/>
  <c r="N108" i="9"/>
  <c r="O108" i="9"/>
  <c r="P108" i="9"/>
  <c r="Q108" i="9"/>
  <c r="R108" i="9"/>
  <c r="S108" i="9"/>
  <c r="T108" i="9"/>
  <c r="U108" i="9"/>
  <c r="V108" i="9"/>
  <c r="W108" i="9"/>
  <c r="X108" i="9"/>
  <c r="Y108" i="9"/>
  <c r="Z108" i="9"/>
  <c r="AA108" i="9"/>
  <c r="AB108" i="9"/>
  <c r="AC108" i="9"/>
  <c r="AD108" i="9"/>
  <c r="AE108" i="9"/>
  <c r="AF108" i="9"/>
  <c r="AG108" i="9"/>
  <c r="AH108" i="9"/>
  <c r="B109" i="9"/>
  <c r="C109" i="9"/>
  <c r="D109" i="9"/>
  <c r="E109" i="9"/>
  <c r="F109" i="9"/>
  <c r="G109" i="9"/>
  <c r="H109" i="9"/>
  <c r="I109" i="9"/>
  <c r="K109" i="9"/>
  <c r="L109" i="9"/>
  <c r="M109" i="9"/>
  <c r="N109" i="9"/>
  <c r="O109" i="9"/>
  <c r="P109" i="9"/>
  <c r="Q109" i="9"/>
  <c r="R109" i="9"/>
  <c r="S109" i="9"/>
  <c r="T109" i="9"/>
  <c r="U109" i="9"/>
  <c r="V109" i="9"/>
  <c r="W109" i="9"/>
  <c r="X109" i="9"/>
  <c r="Y109" i="9"/>
  <c r="Z109" i="9"/>
  <c r="AA109" i="9"/>
  <c r="AB109" i="9"/>
  <c r="AC109" i="9"/>
  <c r="AD109" i="9"/>
  <c r="AE109" i="9"/>
  <c r="AF109" i="9"/>
  <c r="AG109" i="9"/>
  <c r="AH109" i="9"/>
  <c r="B110" i="9"/>
  <c r="C110" i="9"/>
  <c r="D110" i="9"/>
  <c r="E110" i="9"/>
  <c r="F110" i="9"/>
  <c r="G110" i="9"/>
  <c r="H110" i="9"/>
  <c r="I110" i="9"/>
  <c r="K110" i="9"/>
  <c r="L110" i="9"/>
  <c r="M110" i="9"/>
  <c r="N110" i="9"/>
  <c r="O110" i="9"/>
  <c r="P110" i="9"/>
  <c r="Q110" i="9"/>
  <c r="R110" i="9"/>
  <c r="S110" i="9"/>
  <c r="T110" i="9"/>
  <c r="U110" i="9"/>
  <c r="V110" i="9"/>
  <c r="W110" i="9"/>
  <c r="X110" i="9"/>
  <c r="Y110" i="9"/>
  <c r="Z110" i="9"/>
  <c r="AA110" i="9"/>
  <c r="AB110" i="9"/>
  <c r="AC110" i="9"/>
  <c r="AD110" i="9"/>
  <c r="AE110" i="9"/>
  <c r="AF110" i="9"/>
  <c r="AG110" i="9"/>
  <c r="AH110" i="9"/>
  <c r="B111" i="9"/>
  <c r="C111" i="9"/>
  <c r="D111" i="9"/>
  <c r="E111" i="9"/>
  <c r="F111" i="9"/>
  <c r="G111" i="9"/>
  <c r="H111" i="9"/>
  <c r="I111" i="9"/>
  <c r="K111" i="9"/>
  <c r="L111" i="9"/>
  <c r="M111" i="9"/>
  <c r="N111" i="9"/>
  <c r="O111" i="9"/>
  <c r="P111" i="9"/>
  <c r="Q111" i="9"/>
  <c r="R111" i="9"/>
  <c r="S111" i="9"/>
  <c r="T111" i="9"/>
  <c r="U111" i="9"/>
  <c r="V111" i="9"/>
  <c r="W111" i="9"/>
  <c r="X111" i="9"/>
  <c r="Y111" i="9"/>
  <c r="Z111" i="9"/>
  <c r="AA111" i="9"/>
  <c r="AB111" i="9"/>
  <c r="AC111" i="9"/>
  <c r="AD111" i="9"/>
  <c r="AE111" i="9"/>
  <c r="AF111" i="9"/>
  <c r="AG111" i="9"/>
  <c r="AH111" i="9"/>
  <c r="B112" i="9"/>
  <c r="C112" i="9"/>
  <c r="D112" i="9"/>
  <c r="E112" i="9"/>
  <c r="F112" i="9"/>
  <c r="G112" i="9"/>
  <c r="H112" i="9"/>
  <c r="I112" i="9"/>
  <c r="K112" i="9"/>
  <c r="L112" i="9"/>
  <c r="M112" i="9"/>
  <c r="N112" i="9"/>
  <c r="O112" i="9"/>
  <c r="P112" i="9"/>
  <c r="Q112" i="9"/>
  <c r="R112" i="9"/>
  <c r="S112" i="9"/>
  <c r="T112" i="9"/>
  <c r="U112" i="9"/>
  <c r="V112" i="9"/>
  <c r="W112" i="9"/>
  <c r="X112" i="9"/>
  <c r="Y112" i="9"/>
  <c r="Z112" i="9"/>
  <c r="AA112" i="9"/>
  <c r="AB112" i="9"/>
  <c r="AC112" i="9"/>
  <c r="AD112" i="9"/>
  <c r="AE112" i="9"/>
  <c r="AF112" i="9"/>
  <c r="AG112" i="9"/>
  <c r="AH112" i="9"/>
  <c r="B113" i="9"/>
  <c r="C113" i="9"/>
  <c r="D113" i="9"/>
  <c r="E113" i="9"/>
  <c r="F113" i="9"/>
  <c r="G113" i="9"/>
  <c r="H113" i="9"/>
  <c r="I113" i="9"/>
  <c r="K113" i="9"/>
  <c r="L113" i="9"/>
  <c r="M113" i="9"/>
  <c r="N113" i="9"/>
  <c r="O113" i="9"/>
  <c r="P113" i="9"/>
  <c r="Q113" i="9"/>
  <c r="R113" i="9"/>
  <c r="S113" i="9"/>
  <c r="T113" i="9"/>
  <c r="U113" i="9"/>
  <c r="V113" i="9"/>
  <c r="W113" i="9"/>
  <c r="X113" i="9"/>
  <c r="Y113" i="9"/>
  <c r="Z113" i="9"/>
  <c r="AA113" i="9"/>
  <c r="AB113" i="9"/>
  <c r="AC113" i="9"/>
  <c r="AD113" i="9"/>
  <c r="AE113" i="9"/>
  <c r="AF113" i="9"/>
  <c r="AG113" i="9"/>
  <c r="AH113" i="9"/>
  <c r="B114" i="9"/>
  <c r="C114" i="9"/>
  <c r="D114" i="9"/>
  <c r="E114" i="9"/>
  <c r="F114" i="9"/>
  <c r="G114" i="9"/>
  <c r="H114" i="9"/>
  <c r="I114" i="9"/>
  <c r="K114" i="9"/>
  <c r="L114" i="9"/>
  <c r="M114" i="9"/>
  <c r="N114" i="9"/>
  <c r="O114" i="9"/>
  <c r="P114" i="9"/>
  <c r="Q114" i="9"/>
  <c r="R114" i="9"/>
  <c r="S114" i="9"/>
  <c r="T114" i="9"/>
  <c r="U114" i="9"/>
  <c r="V114" i="9"/>
  <c r="W114" i="9"/>
  <c r="X114" i="9"/>
  <c r="Y114" i="9"/>
  <c r="Z114" i="9"/>
  <c r="AA114" i="9"/>
  <c r="AB114" i="9"/>
  <c r="AC114" i="9"/>
  <c r="AD114" i="9"/>
  <c r="AE114" i="9"/>
  <c r="AF114" i="9"/>
  <c r="AG114" i="9"/>
  <c r="AH114" i="9"/>
  <c r="B115" i="9"/>
  <c r="C115" i="9"/>
  <c r="D115" i="9"/>
  <c r="E115" i="9"/>
  <c r="F115" i="9"/>
  <c r="G115" i="9"/>
  <c r="H115" i="9"/>
  <c r="I115" i="9"/>
  <c r="K115" i="9"/>
  <c r="L115" i="9"/>
  <c r="M115" i="9"/>
  <c r="N115" i="9"/>
  <c r="O115" i="9"/>
  <c r="P115" i="9"/>
  <c r="Q115" i="9"/>
  <c r="R115" i="9"/>
  <c r="S115" i="9"/>
  <c r="T115" i="9"/>
  <c r="U115" i="9"/>
  <c r="V115" i="9"/>
  <c r="W115" i="9"/>
  <c r="X115" i="9"/>
  <c r="Y115" i="9"/>
  <c r="Z115" i="9"/>
  <c r="AA115" i="9"/>
  <c r="AB115" i="9"/>
  <c r="AC115" i="9"/>
  <c r="AD115" i="9"/>
  <c r="AE115" i="9"/>
  <c r="AF115" i="9"/>
  <c r="AG115" i="9"/>
  <c r="AH115" i="9"/>
  <c r="B116" i="9"/>
  <c r="C116" i="9"/>
  <c r="D116" i="9"/>
  <c r="E116" i="9"/>
  <c r="F116" i="9"/>
  <c r="G116" i="9"/>
  <c r="H116" i="9"/>
  <c r="I116" i="9"/>
  <c r="K116" i="9"/>
  <c r="L116" i="9"/>
  <c r="M116" i="9"/>
  <c r="N116" i="9"/>
  <c r="O116" i="9"/>
  <c r="P116" i="9"/>
  <c r="Q116" i="9"/>
  <c r="R116" i="9"/>
  <c r="S116" i="9"/>
  <c r="T116" i="9"/>
  <c r="U116" i="9"/>
  <c r="V116" i="9"/>
  <c r="W116" i="9"/>
  <c r="X116" i="9"/>
  <c r="Y116" i="9"/>
  <c r="Z116" i="9"/>
  <c r="AA116" i="9"/>
  <c r="AB116" i="9"/>
  <c r="AC116" i="9"/>
  <c r="AD116" i="9"/>
  <c r="AE116" i="9"/>
  <c r="AF116" i="9"/>
  <c r="AG116" i="9"/>
  <c r="AH116" i="9"/>
  <c r="B117" i="9"/>
  <c r="C117" i="9"/>
  <c r="D117" i="9"/>
  <c r="E117" i="9"/>
  <c r="F117" i="9"/>
  <c r="G117" i="9"/>
  <c r="H117" i="9"/>
  <c r="I117" i="9"/>
  <c r="K117" i="9"/>
  <c r="L117" i="9"/>
  <c r="M117" i="9"/>
  <c r="N117" i="9"/>
  <c r="O117" i="9"/>
  <c r="P117" i="9"/>
  <c r="Q117" i="9"/>
  <c r="R117" i="9"/>
  <c r="S117" i="9"/>
  <c r="T117" i="9"/>
  <c r="U117" i="9"/>
  <c r="V117" i="9"/>
  <c r="W117" i="9"/>
  <c r="X117" i="9"/>
  <c r="Y117" i="9"/>
  <c r="Z117" i="9"/>
  <c r="AA117" i="9"/>
  <c r="AB117" i="9"/>
  <c r="AC117" i="9"/>
  <c r="AD117" i="9"/>
  <c r="AE117" i="9"/>
  <c r="AF117" i="9"/>
  <c r="AG117" i="9"/>
  <c r="AH117" i="9"/>
  <c r="B118" i="9"/>
  <c r="C118" i="9"/>
  <c r="D118" i="9"/>
  <c r="E118" i="9"/>
  <c r="F118" i="9"/>
  <c r="G118" i="9"/>
  <c r="H118" i="9"/>
  <c r="I118" i="9"/>
  <c r="K118" i="9"/>
  <c r="L118" i="9"/>
  <c r="M118" i="9"/>
  <c r="N118" i="9"/>
  <c r="O118" i="9"/>
  <c r="P118" i="9"/>
  <c r="Q118" i="9"/>
  <c r="R118" i="9"/>
  <c r="S118" i="9"/>
  <c r="T118" i="9"/>
  <c r="U118" i="9"/>
  <c r="V118" i="9"/>
  <c r="W118" i="9"/>
  <c r="X118" i="9"/>
  <c r="Y118" i="9"/>
  <c r="Z118" i="9"/>
  <c r="AA118" i="9"/>
  <c r="AB118" i="9"/>
  <c r="AC118" i="9"/>
  <c r="AD118" i="9"/>
  <c r="AE118" i="9"/>
  <c r="AF118" i="9"/>
  <c r="AG118" i="9"/>
  <c r="AH118" i="9"/>
  <c r="B119" i="9"/>
  <c r="C119" i="9"/>
  <c r="D119" i="9"/>
  <c r="E119" i="9"/>
  <c r="F119" i="9"/>
  <c r="G119" i="9"/>
  <c r="H119" i="9"/>
  <c r="I119" i="9"/>
  <c r="K119" i="9"/>
  <c r="L119" i="9"/>
  <c r="M119" i="9"/>
  <c r="N119" i="9"/>
  <c r="O119" i="9"/>
  <c r="P119" i="9"/>
  <c r="Q119" i="9"/>
  <c r="R119" i="9"/>
  <c r="S119" i="9"/>
  <c r="T119" i="9"/>
  <c r="U119" i="9"/>
  <c r="V119" i="9"/>
  <c r="W119" i="9"/>
  <c r="X119" i="9"/>
  <c r="Y119" i="9"/>
  <c r="Z119" i="9"/>
  <c r="AA119" i="9"/>
  <c r="AB119" i="9"/>
  <c r="AC119" i="9"/>
  <c r="AD119" i="9"/>
  <c r="AE119" i="9"/>
  <c r="AF119" i="9"/>
  <c r="AG119" i="9"/>
  <c r="AH119" i="9"/>
  <c r="B120" i="9"/>
  <c r="C120" i="9"/>
  <c r="D120" i="9"/>
  <c r="E120" i="9"/>
  <c r="F120" i="9"/>
  <c r="G120" i="9"/>
  <c r="H120" i="9"/>
  <c r="I120" i="9"/>
  <c r="K120" i="9"/>
  <c r="L120" i="9"/>
  <c r="M120" i="9"/>
  <c r="N120" i="9"/>
  <c r="O120" i="9"/>
  <c r="P120" i="9"/>
  <c r="Q120" i="9"/>
  <c r="R120" i="9"/>
  <c r="S120" i="9"/>
  <c r="T120" i="9"/>
  <c r="U120" i="9"/>
  <c r="V120" i="9"/>
  <c r="W120" i="9"/>
  <c r="X120" i="9"/>
  <c r="Y120" i="9"/>
  <c r="Z120" i="9"/>
  <c r="AA120" i="9"/>
  <c r="AB120" i="9"/>
  <c r="AC120" i="9"/>
  <c r="AD120" i="9"/>
  <c r="AE120" i="9"/>
  <c r="AF120" i="9"/>
  <c r="AG120" i="9"/>
  <c r="AH120" i="9"/>
  <c r="B121" i="9"/>
  <c r="C121" i="9"/>
  <c r="D121" i="9"/>
  <c r="E121" i="9"/>
  <c r="F121" i="9"/>
  <c r="G121" i="9"/>
  <c r="H121" i="9"/>
  <c r="I121" i="9"/>
  <c r="K121" i="9"/>
  <c r="L121" i="9"/>
  <c r="M121" i="9"/>
  <c r="N121" i="9"/>
  <c r="O121" i="9"/>
  <c r="P121" i="9"/>
  <c r="Q121" i="9"/>
  <c r="R121" i="9"/>
  <c r="S121" i="9"/>
  <c r="T121" i="9"/>
  <c r="U121" i="9"/>
  <c r="V121" i="9"/>
  <c r="W121" i="9"/>
  <c r="X121" i="9"/>
  <c r="Y121" i="9"/>
  <c r="Z121" i="9"/>
  <c r="AA121" i="9"/>
  <c r="AB121" i="9"/>
  <c r="AC121" i="9"/>
  <c r="AD121" i="9"/>
  <c r="AE121" i="9"/>
  <c r="AF121" i="9"/>
  <c r="AG121" i="9"/>
  <c r="AH121" i="9"/>
  <c r="B122" i="9"/>
  <c r="C122" i="9"/>
  <c r="D122" i="9"/>
  <c r="E122" i="9"/>
  <c r="F122" i="9"/>
  <c r="G122" i="9"/>
  <c r="H122" i="9"/>
  <c r="I122" i="9"/>
  <c r="K122" i="9"/>
  <c r="L122" i="9"/>
  <c r="M122" i="9"/>
  <c r="N122" i="9"/>
  <c r="O122" i="9"/>
  <c r="P122" i="9"/>
  <c r="Q122" i="9"/>
  <c r="R122" i="9"/>
  <c r="S122" i="9"/>
  <c r="T122" i="9"/>
  <c r="U122" i="9"/>
  <c r="V122" i="9"/>
  <c r="W122" i="9"/>
  <c r="X122" i="9"/>
  <c r="Y122" i="9"/>
  <c r="Z122" i="9"/>
  <c r="AA122" i="9"/>
  <c r="AB122" i="9"/>
  <c r="AC122" i="9"/>
  <c r="AD122" i="9"/>
  <c r="AE122" i="9"/>
  <c r="AF122" i="9"/>
  <c r="AG122" i="9"/>
  <c r="AH122" i="9"/>
  <c r="B123" i="9"/>
  <c r="C123" i="9"/>
  <c r="D123" i="9"/>
  <c r="E123" i="9"/>
  <c r="F123" i="9"/>
  <c r="G123" i="9"/>
  <c r="H123" i="9"/>
  <c r="I123" i="9"/>
  <c r="K123" i="9"/>
  <c r="L123" i="9"/>
  <c r="M123" i="9"/>
  <c r="N123" i="9"/>
  <c r="O123" i="9"/>
  <c r="P123" i="9"/>
  <c r="Q123" i="9"/>
  <c r="R123" i="9"/>
  <c r="S123" i="9"/>
  <c r="T123" i="9"/>
  <c r="U123" i="9"/>
  <c r="V123" i="9"/>
  <c r="W123" i="9"/>
  <c r="X123" i="9"/>
  <c r="Y123" i="9"/>
  <c r="Z123" i="9"/>
  <c r="AA123" i="9"/>
  <c r="AB123" i="9"/>
  <c r="AC123" i="9"/>
  <c r="AD123" i="9"/>
  <c r="AE123" i="9"/>
  <c r="AF123" i="9"/>
  <c r="AG123" i="9"/>
  <c r="AH123" i="9"/>
  <c r="B124" i="9"/>
  <c r="C124" i="9"/>
  <c r="D124" i="9"/>
  <c r="E124" i="9"/>
  <c r="F124" i="9"/>
  <c r="G124" i="9"/>
  <c r="H124" i="9"/>
  <c r="I124" i="9"/>
  <c r="K124" i="9"/>
  <c r="L124" i="9"/>
  <c r="M124" i="9"/>
  <c r="N124" i="9"/>
  <c r="O124" i="9"/>
  <c r="P124" i="9"/>
  <c r="Q124" i="9"/>
  <c r="R124" i="9"/>
  <c r="S124" i="9"/>
  <c r="T124" i="9"/>
  <c r="U124" i="9"/>
  <c r="V124" i="9"/>
  <c r="W124" i="9"/>
  <c r="X124" i="9"/>
  <c r="Y124" i="9"/>
  <c r="Z124" i="9"/>
  <c r="AA124" i="9"/>
  <c r="AB124" i="9"/>
  <c r="AC124" i="9"/>
  <c r="AD124" i="9"/>
  <c r="AE124" i="9"/>
  <c r="AF124" i="9"/>
  <c r="AG124" i="9"/>
  <c r="AH124" i="9"/>
  <c r="B125" i="9"/>
  <c r="C125" i="9"/>
  <c r="D125" i="9"/>
  <c r="E125" i="9"/>
  <c r="F125" i="9"/>
  <c r="G125" i="9"/>
  <c r="H125" i="9"/>
  <c r="I125" i="9"/>
  <c r="K125" i="9"/>
  <c r="L125" i="9"/>
  <c r="M125" i="9"/>
  <c r="N125" i="9"/>
  <c r="O125" i="9"/>
  <c r="P125" i="9"/>
  <c r="Q125" i="9"/>
  <c r="R125" i="9"/>
  <c r="S125" i="9"/>
  <c r="T125" i="9"/>
  <c r="U125" i="9"/>
  <c r="V125" i="9"/>
  <c r="W125" i="9"/>
  <c r="X125" i="9"/>
  <c r="Y125" i="9"/>
  <c r="Z125" i="9"/>
  <c r="AA125" i="9"/>
  <c r="AB125" i="9"/>
  <c r="AC125" i="9"/>
  <c r="AD125" i="9"/>
  <c r="AE125" i="9"/>
  <c r="AF125" i="9"/>
  <c r="AG125" i="9"/>
  <c r="AH125" i="9"/>
  <c r="B126" i="9"/>
  <c r="C126" i="9"/>
  <c r="D126" i="9"/>
  <c r="E126" i="9"/>
  <c r="F126" i="9"/>
  <c r="G126" i="9"/>
  <c r="H126" i="9"/>
  <c r="I126" i="9"/>
  <c r="K126" i="9"/>
  <c r="L126" i="9"/>
  <c r="M126" i="9"/>
  <c r="N126" i="9"/>
  <c r="O126" i="9"/>
  <c r="P126" i="9"/>
  <c r="Q126" i="9"/>
  <c r="R126" i="9"/>
  <c r="S126" i="9"/>
  <c r="T126" i="9"/>
  <c r="U126" i="9"/>
  <c r="V126" i="9"/>
  <c r="W126" i="9"/>
  <c r="X126" i="9"/>
  <c r="Y126" i="9"/>
  <c r="Z126" i="9"/>
  <c r="AA126" i="9"/>
  <c r="AB126" i="9"/>
  <c r="AC126" i="9"/>
  <c r="AD126" i="9"/>
  <c r="AE126" i="9"/>
  <c r="AF126" i="9"/>
  <c r="AG126" i="9"/>
  <c r="AH126" i="9"/>
  <c r="B127" i="9"/>
  <c r="C127" i="9"/>
  <c r="D127" i="9"/>
  <c r="E127" i="9"/>
  <c r="F127" i="9"/>
  <c r="G127" i="9"/>
  <c r="H127" i="9"/>
  <c r="I127" i="9"/>
  <c r="K127" i="9"/>
  <c r="L127" i="9"/>
  <c r="M127" i="9"/>
  <c r="N127" i="9"/>
  <c r="O127" i="9"/>
  <c r="P127" i="9"/>
  <c r="Q127" i="9"/>
  <c r="R127" i="9"/>
  <c r="S127" i="9"/>
  <c r="T127" i="9"/>
  <c r="U127" i="9"/>
  <c r="V127" i="9"/>
  <c r="W127" i="9"/>
  <c r="X127" i="9"/>
  <c r="Y127" i="9"/>
  <c r="Z127" i="9"/>
  <c r="AA127" i="9"/>
  <c r="AB127" i="9"/>
  <c r="AC127" i="9"/>
  <c r="AD127" i="9"/>
  <c r="AE127" i="9"/>
  <c r="AF127" i="9"/>
  <c r="AG127" i="9"/>
  <c r="AH127" i="9"/>
  <c r="B128" i="9"/>
  <c r="C128" i="9"/>
  <c r="D128" i="9"/>
  <c r="E128" i="9"/>
  <c r="F128" i="9"/>
  <c r="G128" i="9"/>
  <c r="H128" i="9"/>
  <c r="I128" i="9"/>
  <c r="K128" i="9"/>
  <c r="L128" i="9"/>
  <c r="M128" i="9"/>
  <c r="N128" i="9"/>
  <c r="O128" i="9"/>
  <c r="P128" i="9"/>
  <c r="Q128" i="9"/>
  <c r="R128" i="9"/>
  <c r="S128" i="9"/>
  <c r="T128" i="9"/>
  <c r="U128" i="9"/>
  <c r="V128" i="9"/>
  <c r="W128" i="9"/>
  <c r="X128" i="9"/>
  <c r="Y128" i="9"/>
  <c r="Z128" i="9"/>
  <c r="AA128" i="9"/>
  <c r="AB128" i="9"/>
  <c r="AC128" i="9"/>
  <c r="AD128" i="9"/>
  <c r="AE128" i="9"/>
  <c r="AF128" i="9"/>
  <c r="AG128" i="9"/>
  <c r="AH128" i="9"/>
  <c r="B129" i="9"/>
  <c r="C129" i="9"/>
  <c r="D129" i="9"/>
  <c r="E129" i="9"/>
  <c r="F129" i="9"/>
  <c r="G129" i="9"/>
  <c r="H129" i="9"/>
  <c r="I129" i="9"/>
  <c r="K129" i="9"/>
  <c r="L129" i="9"/>
  <c r="M129" i="9"/>
  <c r="N129" i="9"/>
  <c r="O129" i="9"/>
  <c r="P129" i="9"/>
  <c r="Q129" i="9"/>
  <c r="R129" i="9"/>
  <c r="S129" i="9"/>
  <c r="T129" i="9"/>
  <c r="U129" i="9"/>
  <c r="V129" i="9"/>
  <c r="W129" i="9"/>
  <c r="X129" i="9"/>
  <c r="Y129" i="9"/>
  <c r="Z129" i="9"/>
  <c r="AA129" i="9"/>
  <c r="AB129" i="9"/>
  <c r="AC129" i="9"/>
  <c r="AD129" i="9"/>
  <c r="AE129" i="9"/>
  <c r="AF129" i="9"/>
  <c r="AG129" i="9"/>
  <c r="AH129" i="9"/>
  <c r="B130" i="9"/>
  <c r="C130" i="9"/>
  <c r="D130" i="9"/>
  <c r="E130" i="9"/>
  <c r="F130" i="9"/>
  <c r="G130" i="9"/>
  <c r="H130" i="9"/>
  <c r="I130" i="9"/>
  <c r="K130" i="9"/>
  <c r="L130" i="9"/>
  <c r="M130" i="9"/>
  <c r="N130" i="9"/>
  <c r="O130" i="9"/>
  <c r="P130" i="9"/>
  <c r="Q130" i="9"/>
  <c r="R130" i="9"/>
  <c r="S130" i="9"/>
  <c r="T130" i="9"/>
  <c r="U130" i="9"/>
  <c r="V130" i="9"/>
  <c r="W130" i="9"/>
  <c r="X130" i="9"/>
  <c r="Y130" i="9"/>
  <c r="Z130" i="9"/>
  <c r="AA130" i="9"/>
  <c r="AB130" i="9"/>
  <c r="AC130" i="9"/>
  <c r="AD130" i="9"/>
  <c r="AE130" i="9"/>
  <c r="AF130" i="9"/>
  <c r="AG130" i="9"/>
  <c r="AH130" i="9"/>
  <c r="B131" i="9"/>
  <c r="C131" i="9"/>
  <c r="D131" i="9"/>
  <c r="E131" i="9"/>
  <c r="F131" i="9"/>
  <c r="G131" i="9"/>
  <c r="H131" i="9"/>
  <c r="I131" i="9"/>
  <c r="K131" i="9"/>
  <c r="L131" i="9"/>
  <c r="M131" i="9"/>
  <c r="N131" i="9"/>
  <c r="O131" i="9"/>
  <c r="P131" i="9"/>
  <c r="Q131" i="9"/>
  <c r="R131" i="9"/>
  <c r="S131" i="9"/>
  <c r="T131" i="9"/>
  <c r="U131" i="9"/>
  <c r="V131" i="9"/>
  <c r="W131" i="9"/>
  <c r="X131" i="9"/>
  <c r="Y131" i="9"/>
  <c r="Z131" i="9"/>
  <c r="AA131" i="9"/>
  <c r="AB131" i="9"/>
  <c r="AC131" i="9"/>
  <c r="AD131" i="9"/>
  <c r="AE131" i="9"/>
  <c r="AF131" i="9"/>
  <c r="AG131" i="9"/>
  <c r="AH131" i="9"/>
  <c r="B132" i="9"/>
  <c r="C132" i="9"/>
  <c r="D132" i="9"/>
  <c r="E132" i="9"/>
  <c r="F132" i="9"/>
  <c r="G132" i="9"/>
  <c r="H132" i="9"/>
  <c r="I132" i="9"/>
  <c r="K132" i="9"/>
  <c r="L132" i="9"/>
  <c r="M132" i="9"/>
  <c r="N132" i="9"/>
  <c r="O132" i="9"/>
  <c r="P132" i="9"/>
  <c r="Q132" i="9"/>
  <c r="R132" i="9"/>
  <c r="S132" i="9"/>
  <c r="T132" i="9"/>
  <c r="U132" i="9"/>
  <c r="V132" i="9"/>
  <c r="W132" i="9"/>
  <c r="X132" i="9"/>
  <c r="Y132" i="9"/>
  <c r="Z132" i="9"/>
  <c r="AA132" i="9"/>
  <c r="AB132" i="9"/>
  <c r="AC132" i="9"/>
  <c r="AD132" i="9"/>
  <c r="AE132" i="9"/>
  <c r="AF132" i="9"/>
  <c r="AG132" i="9"/>
  <c r="AH132" i="9"/>
  <c r="B133" i="9"/>
  <c r="C133" i="9"/>
  <c r="D133" i="9"/>
  <c r="E133" i="9"/>
  <c r="F133" i="9"/>
  <c r="G133" i="9"/>
  <c r="H133" i="9"/>
  <c r="I133" i="9"/>
  <c r="K133" i="9"/>
  <c r="L133" i="9"/>
  <c r="M133" i="9"/>
  <c r="N133" i="9"/>
  <c r="O133" i="9"/>
  <c r="P133" i="9"/>
  <c r="Q133" i="9"/>
  <c r="R133" i="9"/>
  <c r="S133" i="9"/>
  <c r="T133" i="9"/>
  <c r="U133" i="9"/>
  <c r="V133" i="9"/>
  <c r="W133" i="9"/>
  <c r="X133" i="9"/>
  <c r="Y133" i="9"/>
  <c r="Z133" i="9"/>
  <c r="AA133" i="9"/>
  <c r="AB133" i="9"/>
  <c r="AC133" i="9"/>
  <c r="AD133" i="9"/>
  <c r="AE133" i="9"/>
  <c r="AF133" i="9"/>
  <c r="AG133" i="9"/>
  <c r="AH133" i="9"/>
  <c r="B134" i="9"/>
  <c r="C134" i="9"/>
  <c r="D134" i="9"/>
  <c r="E134" i="9"/>
  <c r="F134" i="9"/>
  <c r="G134" i="9"/>
  <c r="H134" i="9"/>
  <c r="I134" i="9"/>
  <c r="K134" i="9"/>
  <c r="L134" i="9"/>
  <c r="M134" i="9"/>
  <c r="N134" i="9"/>
  <c r="O134" i="9"/>
  <c r="P134" i="9"/>
  <c r="Q134" i="9"/>
  <c r="R134" i="9"/>
  <c r="S134" i="9"/>
  <c r="T134" i="9"/>
  <c r="U134" i="9"/>
  <c r="V134" i="9"/>
  <c r="W134" i="9"/>
  <c r="X134" i="9"/>
  <c r="Y134" i="9"/>
  <c r="Z134" i="9"/>
  <c r="AA134" i="9"/>
  <c r="AB134" i="9"/>
  <c r="AC134" i="9"/>
  <c r="AD134" i="9"/>
  <c r="AE134" i="9"/>
  <c r="AF134" i="9"/>
  <c r="AG134" i="9"/>
  <c r="AH134" i="9"/>
  <c r="B135" i="9"/>
  <c r="C135" i="9"/>
  <c r="D135" i="9"/>
  <c r="E135" i="9"/>
  <c r="F135" i="9"/>
  <c r="G135" i="9"/>
  <c r="H135" i="9"/>
  <c r="I135" i="9"/>
  <c r="K135" i="9"/>
  <c r="L135" i="9"/>
  <c r="M135" i="9"/>
  <c r="N135" i="9"/>
  <c r="O135" i="9"/>
  <c r="P135" i="9"/>
  <c r="Q135" i="9"/>
  <c r="R135" i="9"/>
  <c r="S135" i="9"/>
  <c r="T135" i="9"/>
  <c r="U135" i="9"/>
  <c r="V135" i="9"/>
  <c r="W135" i="9"/>
  <c r="X135" i="9"/>
  <c r="Y135" i="9"/>
  <c r="Z135" i="9"/>
  <c r="AA135" i="9"/>
  <c r="AB135" i="9"/>
  <c r="AC135" i="9"/>
  <c r="AD135" i="9"/>
  <c r="AE135" i="9"/>
  <c r="AF135" i="9"/>
  <c r="AG135" i="9"/>
  <c r="AH135" i="9"/>
  <c r="B136" i="9"/>
  <c r="C136" i="9"/>
  <c r="D136" i="9"/>
  <c r="E136" i="9"/>
  <c r="F136" i="9"/>
  <c r="G136" i="9"/>
  <c r="H136" i="9"/>
  <c r="I136" i="9"/>
  <c r="K136" i="9"/>
  <c r="L136" i="9"/>
  <c r="M136" i="9"/>
  <c r="N136" i="9"/>
  <c r="O136" i="9"/>
  <c r="P136" i="9"/>
  <c r="Q136" i="9"/>
  <c r="R136" i="9"/>
  <c r="S136" i="9"/>
  <c r="T136" i="9"/>
  <c r="U136" i="9"/>
  <c r="V136" i="9"/>
  <c r="W136" i="9"/>
  <c r="X136" i="9"/>
  <c r="Y136" i="9"/>
  <c r="Z136" i="9"/>
  <c r="AA136" i="9"/>
  <c r="AB136" i="9"/>
  <c r="AC136" i="9"/>
  <c r="AD136" i="9"/>
  <c r="AE136" i="9"/>
  <c r="AF136" i="9"/>
  <c r="AG136" i="9"/>
  <c r="AH136" i="9"/>
  <c r="B137" i="9"/>
  <c r="C137" i="9"/>
  <c r="D137" i="9"/>
  <c r="E137" i="9"/>
  <c r="F137" i="9"/>
  <c r="G137" i="9"/>
  <c r="H137" i="9"/>
  <c r="I137" i="9"/>
  <c r="K137" i="9"/>
  <c r="L137" i="9"/>
  <c r="M137" i="9"/>
  <c r="N137" i="9"/>
  <c r="O137" i="9"/>
  <c r="P137" i="9"/>
  <c r="Q137" i="9"/>
  <c r="R137" i="9"/>
  <c r="S137" i="9"/>
  <c r="T137" i="9"/>
  <c r="U137" i="9"/>
  <c r="V137" i="9"/>
  <c r="W137" i="9"/>
  <c r="X137" i="9"/>
  <c r="Y137" i="9"/>
  <c r="Z137" i="9"/>
  <c r="AA137" i="9"/>
  <c r="AB137" i="9"/>
  <c r="AC137" i="9"/>
  <c r="AD137" i="9"/>
  <c r="AE137" i="9"/>
  <c r="AF137" i="9"/>
  <c r="AG137" i="9"/>
  <c r="AH137" i="9"/>
  <c r="B138" i="9"/>
  <c r="C138" i="9"/>
  <c r="D138" i="9"/>
  <c r="E138" i="9"/>
  <c r="F138" i="9"/>
  <c r="G138" i="9"/>
  <c r="H138" i="9"/>
  <c r="I138" i="9"/>
  <c r="K138" i="9"/>
  <c r="L138" i="9"/>
  <c r="M138" i="9"/>
  <c r="N138" i="9"/>
  <c r="O138" i="9"/>
  <c r="P138" i="9"/>
  <c r="Q138" i="9"/>
  <c r="R138" i="9"/>
  <c r="S138" i="9"/>
  <c r="T138" i="9"/>
  <c r="U138" i="9"/>
  <c r="V138" i="9"/>
  <c r="W138" i="9"/>
  <c r="X138" i="9"/>
  <c r="Y138" i="9"/>
  <c r="Z138" i="9"/>
  <c r="AA138" i="9"/>
  <c r="AB138" i="9"/>
  <c r="AC138" i="9"/>
  <c r="AD138" i="9"/>
  <c r="AE138" i="9"/>
  <c r="AF138" i="9"/>
  <c r="AG138" i="9"/>
  <c r="AH138" i="9"/>
  <c r="B139" i="9"/>
  <c r="C139" i="9"/>
  <c r="D139" i="9"/>
  <c r="E139" i="9"/>
  <c r="F139" i="9"/>
  <c r="G139" i="9"/>
  <c r="H139" i="9"/>
  <c r="I139" i="9"/>
  <c r="K139" i="9"/>
  <c r="L139" i="9"/>
  <c r="M139" i="9"/>
  <c r="N139" i="9"/>
  <c r="O139" i="9"/>
  <c r="P139" i="9"/>
  <c r="Q139" i="9"/>
  <c r="R139" i="9"/>
  <c r="S139" i="9"/>
  <c r="T139" i="9"/>
  <c r="U139" i="9"/>
  <c r="V139" i="9"/>
  <c r="W139" i="9"/>
  <c r="X139" i="9"/>
  <c r="Y139" i="9"/>
  <c r="Z139" i="9"/>
  <c r="AA139" i="9"/>
  <c r="AB139" i="9"/>
  <c r="AC139" i="9"/>
  <c r="AD139" i="9"/>
  <c r="AE139" i="9"/>
  <c r="AF139" i="9"/>
  <c r="AG139" i="9"/>
  <c r="AH139" i="9"/>
  <c r="B140" i="9"/>
  <c r="C140" i="9"/>
  <c r="D140" i="9"/>
  <c r="E140" i="9"/>
  <c r="F140" i="9"/>
  <c r="G140" i="9"/>
  <c r="H140" i="9"/>
  <c r="I140" i="9"/>
  <c r="K140" i="9"/>
  <c r="L140" i="9"/>
  <c r="M140" i="9"/>
  <c r="N140" i="9"/>
  <c r="O140" i="9"/>
  <c r="P140" i="9"/>
  <c r="Q140" i="9"/>
  <c r="R140" i="9"/>
  <c r="S140" i="9"/>
  <c r="T140" i="9"/>
  <c r="U140" i="9"/>
  <c r="V140" i="9"/>
  <c r="W140" i="9"/>
  <c r="X140" i="9"/>
  <c r="Y140" i="9"/>
  <c r="Z140" i="9"/>
  <c r="AA140" i="9"/>
  <c r="AB140" i="9"/>
  <c r="AC140" i="9"/>
  <c r="AD140" i="9"/>
  <c r="AE140" i="9"/>
  <c r="AF140" i="9"/>
  <c r="AG140" i="9"/>
  <c r="AH140" i="9"/>
  <c r="B141" i="9"/>
  <c r="C141" i="9"/>
  <c r="D141" i="9"/>
  <c r="E141" i="9"/>
  <c r="F141" i="9"/>
  <c r="G141" i="9"/>
  <c r="H141" i="9"/>
  <c r="I141" i="9"/>
  <c r="K141" i="9"/>
  <c r="L141" i="9"/>
  <c r="M141" i="9"/>
  <c r="N141" i="9"/>
  <c r="O141" i="9"/>
  <c r="P141" i="9"/>
  <c r="Q141" i="9"/>
  <c r="R141" i="9"/>
  <c r="S141" i="9"/>
  <c r="T141" i="9"/>
  <c r="U141" i="9"/>
  <c r="V141" i="9"/>
  <c r="W141" i="9"/>
  <c r="X141" i="9"/>
  <c r="Y141" i="9"/>
  <c r="Z141" i="9"/>
  <c r="AA141" i="9"/>
  <c r="AB141" i="9"/>
  <c r="AC141" i="9"/>
  <c r="AD141" i="9"/>
  <c r="AE141" i="9"/>
  <c r="AF141" i="9"/>
  <c r="AG141" i="9"/>
  <c r="AH141" i="9"/>
  <c r="B142" i="9"/>
  <c r="C142" i="9"/>
  <c r="D142" i="9"/>
  <c r="E142" i="9"/>
  <c r="F142" i="9"/>
  <c r="G142" i="9"/>
  <c r="H142" i="9"/>
  <c r="I142" i="9"/>
  <c r="K142" i="9"/>
  <c r="L142" i="9"/>
  <c r="M142" i="9"/>
  <c r="N142" i="9"/>
  <c r="O142" i="9"/>
  <c r="P142" i="9"/>
  <c r="Q142" i="9"/>
  <c r="R142" i="9"/>
  <c r="S142" i="9"/>
  <c r="T142" i="9"/>
  <c r="U142" i="9"/>
  <c r="V142" i="9"/>
  <c r="W142" i="9"/>
  <c r="X142" i="9"/>
  <c r="Y142" i="9"/>
  <c r="Z142" i="9"/>
  <c r="AA142" i="9"/>
  <c r="AB142" i="9"/>
  <c r="AC142" i="9"/>
  <c r="AD142" i="9"/>
  <c r="AE142" i="9"/>
  <c r="AF142" i="9"/>
  <c r="AG142" i="9"/>
  <c r="AH142" i="9"/>
  <c r="B143" i="9"/>
  <c r="C143" i="9"/>
  <c r="D143" i="9"/>
  <c r="E143" i="9"/>
  <c r="F143" i="9"/>
  <c r="G143" i="9"/>
  <c r="H143" i="9"/>
  <c r="I143" i="9"/>
  <c r="K143" i="9"/>
  <c r="L143" i="9"/>
  <c r="M143" i="9"/>
  <c r="N143" i="9"/>
  <c r="O143" i="9"/>
  <c r="P143" i="9"/>
  <c r="Q143" i="9"/>
  <c r="R143" i="9"/>
  <c r="S143" i="9"/>
  <c r="T143" i="9"/>
  <c r="U143" i="9"/>
  <c r="V143" i="9"/>
  <c r="W143" i="9"/>
  <c r="X143" i="9"/>
  <c r="Y143" i="9"/>
  <c r="Z143" i="9"/>
  <c r="AA143" i="9"/>
  <c r="AB143" i="9"/>
  <c r="AC143" i="9"/>
  <c r="AD143" i="9"/>
  <c r="AE143" i="9"/>
  <c r="AF143" i="9"/>
  <c r="AG143" i="9"/>
  <c r="AH143" i="9"/>
  <c r="B144" i="9"/>
  <c r="C144" i="9"/>
  <c r="D144" i="9"/>
  <c r="E144" i="9"/>
  <c r="F144" i="9"/>
  <c r="G144" i="9"/>
  <c r="H144" i="9"/>
  <c r="I144" i="9"/>
  <c r="K144" i="9"/>
  <c r="L144" i="9"/>
  <c r="M144" i="9"/>
  <c r="N144" i="9"/>
  <c r="O144" i="9"/>
  <c r="P144" i="9"/>
  <c r="Q144" i="9"/>
  <c r="R144" i="9"/>
  <c r="S144" i="9"/>
  <c r="T144" i="9"/>
  <c r="U144" i="9"/>
  <c r="V144" i="9"/>
  <c r="W144" i="9"/>
  <c r="X144" i="9"/>
  <c r="Y144" i="9"/>
  <c r="Z144" i="9"/>
  <c r="AA144" i="9"/>
  <c r="AB144" i="9"/>
  <c r="AC144" i="9"/>
  <c r="AD144" i="9"/>
  <c r="AE144" i="9"/>
  <c r="AF144" i="9"/>
  <c r="AG144" i="9"/>
  <c r="AH144" i="9"/>
  <c r="B145" i="9"/>
  <c r="C145" i="9"/>
  <c r="D145" i="9"/>
  <c r="E145" i="9"/>
  <c r="F145" i="9"/>
  <c r="G145" i="9"/>
  <c r="H145" i="9"/>
  <c r="I145" i="9"/>
  <c r="K145" i="9"/>
  <c r="L145" i="9"/>
  <c r="M145" i="9"/>
  <c r="N145" i="9"/>
  <c r="O145" i="9"/>
  <c r="P145" i="9"/>
  <c r="Q145" i="9"/>
  <c r="R145" i="9"/>
  <c r="S145" i="9"/>
  <c r="T145" i="9"/>
  <c r="U145" i="9"/>
  <c r="V145" i="9"/>
  <c r="W145" i="9"/>
  <c r="X145" i="9"/>
  <c r="Y145" i="9"/>
  <c r="Z145" i="9"/>
  <c r="AA145" i="9"/>
  <c r="AB145" i="9"/>
  <c r="AC145" i="9"/>
  <c r="AD145" i="9"/>
  <c r="AE145" i="9"/>
  <c r="AF145" i="9"/>
  <c r="AG145" i="9"/>
  <c r="AH145" i="9"/>
  <c r="B146" i="9"/>
  <c r="C146" i="9"/>
  <c r="D146" i="9"/>
  <c r="E146" i="9"/>
  <c r="F146" i="9"/>
  <c r="G146" i="9"/>
  <c r="H146" i="9"/>
  <c r="I146" i="9"/>
  <c r="K146" i="9"/>
  <c r="L146" i="9"/>
  <c r="M146" i="9"/>
  <c r="N146" i="9"/>
  <c r="O146" i="9"/>
  <c r="P146" i="9"/>
  <c r="Q146" i="9"/>
  <c r="R146" i="9"/>
  <c r="S146" i="9"/>
  <c r="T146" i="9"/>
  <c r="U146" i="9"/>
  <c r="V146" i="9"/>
  <c r="W146" i="9"/>
  <c r="X146" i="9"/>
  <c r="Y146" i="9"/>
  <c r="Z146" i="9"/>
  <c r="AA146" i="9"/>
  <c r="AB146" i="9"/>
  <c r="AC146" i="9"/>
  <c r="AD146" i="9"/>
  <c r="AE146" i="9"/>
  <c r="AF146" i="9"/>
  <c r="AG146" i="9"/>
  <c r="AH146" i="9"/>
  <c r="B147" i="9"/>
  <c r="C147" i="9"/>
  <c r="D147" i="9"/>
  <c r="E147" i="9"/>
  <c r="F147" i="9"/>
  <c r="G147" i="9"/>
  <c r="H147" i="9"/>
  <c r="I147" i="9"/>
  <c r="K147" i="9"/>
  <c r="L147" i="9"/>
  <c r="M147" i="9"/>
  <c r="N147" i="9"/>
  <c r="O147" i="9"/>
  <c r="P147" i="9"/>
  <c r="Q147" i="9"/>
  <c r="R147" i="9"/>
  <c r="S147" i="9"/>
  <c r="T147" i="9"/>
  <c r="U147" i="9"/>
  <c r="V147" i="9"/>
  <c r="W147" i="9"/>
  <c r="X147" i="9"/>
  <c r="Y147" i="9"/>
  <c r="Z147" i="9"/>
  <c r="AA147" i="9"/>
  <c r="AB147" i="9"/>
  <c r="AC147" i="9"/>
  <c r="AD147" i="9"/>
  <c r="AE147" i="9"/>
  <c r="AF147" i="9"/>
  <c r="AG147" i="9"/>
  <c r="AH147" i="9"/>
  <c r="B148" i="9"/>
  <c r="C148" i="9"/>
  <c r="D148" i="9"/>
  <c r="E148" i="9"/>
  <c r="F148" i="9"/>
  <c r="G148" i="9"/>
  <c r="H148" i="9"/>
  <c r="I148" i="9"/>
  <c r="K148" i="9"/>
  <c r="L148" i="9"/>
  <c r="M148" i="9"/>
  <c r="N148" i="9"/>
  <c r="O148" i="9"/>
  <c r="P148" i="9"/>
  <c r="Q148" i="9"/>
  <c r="R148" i="9"/>
  <c r="S148" i="9"/>
  <c r="T148" i="9"/>
  <c r="U148" i="9"/>
  <c r="V148" i="9"/>
  <c r="W148" i="9"/>
  <c r="X148" i="9"/>
  <c r="Y148" i="9"/>
  <c r="Z148" i="9"/>
  <c r="AA148" i="9"/>
  <c r="AB148" i="9"/>
  <c r="AC148" i="9"/>
  <c r="AD148" i="9"/>
  <c r="AE148" i="9"/>
  <c r="AF148" i="9"/>
  <c r="AG148" i="9"/>
  <c r="AH148" i="9"/>
  <c r="B149" i="9"/>
  <c r="C149" i="9"/>
  <c r="D149" i="9"/>
  <c r="E149" i="9"/>
  <c r="F149" i="9"/>
  <c r="G149" i="9"/>
  <c r="H149" i="9"/>
  <c r="I149" i="9"/>
  <c r="K149" i="9"/>
  <c r="L149" i="9"/>
  <c r="M149" i="9"/>
  <c r="N149" i="9"/>
  <c r="O149" i="9"/>
  <c r="P149" i="9"/>
  <c r="Q149" i="9"/>
  <c r="R149" i="9"/>
  <c r="S149" i="9"/>
  <c r="T149" i="9"/>
  <c r="U149" i="9"/>
  <c r="V149" i="9"/>
  <c r="W149" i="9"/>
  <c r="X149" i="9"/>
  <c r="Y149" i="9"/>
  <c r="Z149" i="9"/>
  <c r="AA149" i="9"/>
  <c r="AB149" i="9"/>
  <c r="AC149" i="9"/>
  <c r="AD149" i="9"/>
  <c r="AE149" i="9"/>
  <c r="AF149" i="9"/>
  <c r="AG149" i="9"/>
  <c r="AH149" i="9"/>
  <c r="B150" i="9"/>
  <c r="C150" i="9"/>
  <c r="D150" i="9"/>
  <c r="E150" i="9"/>
  <c r="F150" i="9"/>
  <c r="G150" i="9"/>
  <c r="H150" i="9"/>
  <c r="I150" i="9"/>
  <c r="K150" i="9"/>
  <c r="L150" i="9"/>
  <c r="M150" i="9"/>
  <c r="N150" i="9"/>
  <c r="O150" i="9"/>
  <c r="P150" i="9"/>
  <c r="Q150" i="9"/>
  <c r="R150" i="9"/>
  <c r="S150" i="9"/>
  <c r="T150" i="9"/>
  <c r="U150" i="9"/>
  <c r="V150" i="9"/>
  <c r="W150" i="9"/>
  <c r="X150" i="9"/>
  <c r="Y150" i="9"/>
  <c r="Z150" i="9"/>
  <c r="AA150" i="9"/>
  <c r="AB150" i="9"/>
  <c r="AC150" i="9"/>
  <c r="AD150" i="9"/>
  <c r="AE150" i="9"/>
  <c r="AF150" i="9"/>
  <c r="AG150" i="9"/>
  <c r="AH150" i="9"/>
  <c r="B151" i="9"/>
  <c r="C151" i="9"/>
  <c r="D151" i="9"/>
  <c r="E151" i="9"/>
  <c r="F151" i="9"/>
  <c r="G151" i="9"/>
  <c r="H151" i="9"/>
  <c r="I151" i="9"/>
  <c r="K151" i="9"/>
  <c r="L151" i="9"/>
  <c r="M151" i="9"/>
  <c r="N151" i="9"/>
  <c r="O151" i="9"/>
  <c r="P151" i="9"/>
  <c r="Q151" i="9"/>
  <c r="R151" i="9"/>
  <c r="S151" i="9"/>
  <c r="T151" i="9"/>
  <c r="U151" i="9"/>
  <c r="V151" i="9"/>
  <c r="W151" i="9"/>
  <c r="X151" i="9"/>
  <c r="Y151" i="9"/>
  <c r="Z151" i="9"/>
  <c r="AA151" i="9"/>
  <c r="AB151" i="9"/>
  <c r="AC151" i="9"/>
  <c r="AD151" i="9"/>
  <c r="AE151" i="9"/>
  <c r="AF151" i="9"/>
  <c r="AG151" i="9"/>
  <c r="AH151" i="9"/>
  <c r="B152" i="9"/>
  <c r="C152" i="9"/>
  <c r="D152" i="9"/>
  <c r="E152" i="9"/>
  <c r="F152" i="9"/>
  <c r="G152" i="9"/>
  <c r="H152" i="9"/>
  <c r="I152" i="9"/>
  <c r="K152" i="9"/>
  <c r="L152" i="9"/>
  <c r="M152" i="9"/>
  <c r="N152" i="9"/>
  <c r="O152" i="9"/>
  <c r="P152" i="9"/>
  <c r="Q152" i="9"/>
  <c r="R152" i="9"/>
  <c r="S152" i="9"/>
  <c r="T152" i="9"/>
  <c r="U152" i="9"/>
  <c r="V152" i="9"/>
  <c r="W152" i="9"/>
  <c r="X152" i="9"/>
  <c r="Y152" i="9"/>
  <c r="Z152" i="9"/>
  <c r="AA152" i="9"/>
  <c r="AB152" i="9"/>
  <c r="AC152" i="9"/>
  <c r="AD152" i="9"/>
  <c r="AE152" i="9"/>
  <c r="AF152" i="9"/>
  <c r="AG152" i="9"/>
  <c r="AH152" i="9"/>
  <c r="B153" i="9"/>
  <c r="C153" i="9"/>
  <c r="D153" i="9"/>
  <c r="E153" i="9"/>
  <c r="F153" i="9"/>
  <c r="G153" i="9"/>
  <c r="H153" i="9"/>
  <c r="I153" i="9"/>
  <c r="K153" i="9"/>
  <c r="L153" i="9"/>
  <c r="M153" i="9"/>
  <c r="N153" i="9"/>
  <c r="O153" i="9"/>
  <c r="P153" i="9"/>
  <c r="Q153" i="9"/>
  <c r="R153" i="9"/>
  <c r="S153" i="9"/>
  <c r="T153" i="9"/>
  <c r="U153" i="9"/>
  <c r="V153" i="9"/>
  <c r="W153" i="9"/>
  <c r="X153" i="9"/>
  <c r="Y153" i="9"/>
  <c r="Z153" i="9"/>
  <c r="AA153" i="9"/>
  <c r="AB153" i="9"/>
  <c r="AC153" i="9"/>
  <c r="AD153" i="9"/>
  <c r="AE153" i="9"/>
  <c r="AF153" i="9"/>
  <c r="AG153" i="9"/>
  <c r="AH153" i="9"/>
  <c r="B154" i="9"/>
  <c r="C154" i="9"/>
  <c r="D154" i="9"/>
  <c r="E154" i="9"/>
  <c r="F154" i="9"/>
  <c r="G154" i="9"/>
  <c r="H154" i="9"/>
  <c r="I154" i="9"/>
  <c r="K154" i="9"/>
  <c r="L154" i="9"/>
  <c r="M154" i="9"/>
  <c r="N154" i="9"/>
  <c r="O154" i="9"/>
  <c r="P154" i="9"/>
  <c r="Q154" i="9"/>
  <c r="R154" i="9"/>
  <c r="S154" i="9"/>
  <c r="T154" i="9"/>
  <c r="U154" i="9"/>
  <c r="V154" i="9"/>
  <c r="W154" i="9"/>
  <c r="X154" i="9"/>
  <c r="Y154" i="9"/>
  <c r="Z154" i="9"/>
  <c r="AA154" i="9"/>
  <c r="AB154" i="9"/>
  <c r="AC154" i="9"/>
  <c r="AD154" i="9"/>
  <c r="AE154" i="9"/>
  <c r="AF154" i="9"/>
  <c r="AG154" i="9"/>
  <c r="AH154" i="9"/>
  <c r="B155" i="9"/>
  <c r="C155" i="9"/>
  <c r="D155" i="9"/>
  <c r="E155" i="9"/>
  <c r="F155" i="9"/>
  <c r="G155" i="9"/>
  <c r="H155" i="9"/>
  <c r="I155" i="9"/>
  <c r="K155" i="9"/>
  <c r="L155" i="9"/>
  <c r="M155" i="9"/>
  <c r="N155" i="9"/>
  <c r="O155" i="9"/>
  <c r="P155" i="9"/>
  <c r="Q155" i="9"/>
  <c r="R155" i="9"/>
  <c r="S155" i="9"/>
  <c r="T155" i="9"/>
  <c r="U155" i="9"/>
  <c r="V155" i="9"/>
  <c r="W155" i="9"/>
  <c r="X155" i="9"/>
  <c r="Y155" i="9"/>
  <c r="Z155" i="9"/>
  <c r="AA155" i="9"/>
  <c r="AB155" i="9"/>
  <c r="AC155" i="9"/>
  <c r="AD155" i="9"/>
  <c r="AE155" i="9"/>
  <c r="AF155" i="9"/>
  <c r="AG155" i="9"/>
  <c r="AH155" i="9"/>
  <c r="B156" i="9"/>
  <c r="C156" i="9"/>
  <c r="D156" i="9"/>
  <c r="E156" i="9"/>
  <c r="F156" i="9"/>
  <c r="G156" i="9"/>
  <c r="H156" i="9"/>
  <c r="I156" i="9"/>
  <c r="K156" i="9"/>
  <c r="L156" i="9"/>
  <c r="M156" i="9"/>
  <c r="N156" i="9"/>
  <c r="O156" i="9"/>
  <c r="P156" i="9"/>
  <c r="Q156" i="9"/>
  <c r="R156" i="9"/>
  <c r="S156" i="9"/>
  <c r="T156" i="9"/>
  <c r="U156" i="9"/>
  <c r="V156" i="9"/>
  <c r="W156" i="9"/>
  <c r="X156" i="9"/>
  <c r="Y156" i="9"/>
  <c r="Z156" i="9"/>
  <c r="AA156" i="9"/>
  <c r="AB156" i="9"/>
  <c r="AC156" i="9"/>
  <c r="AD156" i="9"/>
  <c r="AE156" i="9"/>
  <c r="AF156" i="9"/>
  <c r="AG156" i="9"/>
  <c r="AH156" i="9"/>
  <c r="B157" i="9"/>
  <c r="C157" i="9"/>
  <c r="D157" i="9"/>
  <c r="E157" i="9"/>
  <c r="F157" i="9"/>
  <c r="G157" i="9"/>
  <c r="H157" i="9"/>
  <c r="I157" i="9"/>
  <c r="K157" i="9"/>
  <c r="L157" i="9"/>
  <c r="M157" i="9"/>
  <c r="N157" i="9"/>
  <c r="O157" i="9"/>
  <c r="P157" i="9"/>
  <c r="Q157" i="9"/>
  <c r="R157" i="9"/>
  <c r="S157" i="9"/>
  <c r="T157" i="9"/>
  <c r="U157" i="9"/>
  <c r="V157" i="9"/>
  <c r="W157" i="9"/>
  <c r="X157" i="9"/>
  <c r="Y157" i="9"/>
  <c r="Z157" i="9"/>
  <c r="AA157" i="9"/>
  <c r="AB157" i="9"/>
  <c r="AC157" i="9"/>
  <c r="AD157" i="9"/>
  <c r="AE157" i="9"/>
  <c r="AF157" i="9"/>
  <c r="AG157" i="9"/>
  <c r="AH157" i="9"/>
  <c r="B158" i="9"/>
  <c r="C158" i="9"/>
  <c r="D158" i="9"/>
  <c r="E158" i="9"/>
  <c r="F158" i="9"/>
  <c r="G158" i="9"/>
  <c r="H158" i="9"/>
  <c r="I158" i="9"/>
  <c r="K158" i="9"/>
  <c r="L158" i="9"/>
  <c r="M158" i="9"/>
  <c r="N158" i="9"/>
  <c r="O158" i="9"/>
  <c r="P158" i="9"/>
  <c r="Q158" i="9"/>
  <c r="R158" i="9"/>
  <c r="S158" i="9"/>
  <c r="T158" i="9"/>
  <c r="U158" i="9"/>
  <c r="V158" i="9"/>
  <c r="W158" i="9"/>
  <c r="X158" i="9"/>
  <c r="Y158" i="9"/>
  <c r="Z158" i="9"/>
  <c r="AA158" i="9"/>
  <c r="AB158" i="9"/>
  <c r="AC158" i="9"/>
  <c r="AD158" i="9"/>
  <c r="AE158" i="9"/>
  <c r="AF158" i="9"/>
  <c r="AG158" i="9"/>
  <c r="AH158" i="9"/>
  <c r="B159" i="9"/>
  <c r="C159" i="9"/>
  <c r="D159" i="9"/>
  <c r="E159" i="9"/>
  <c r="F159" i="9"/>
  <c r="G159" i="9"/>
  <c r="H159" i="9"/>
  <c r="I159" i="9"/>
  <c r="K159" i="9"/>
  <c r="L159" i="9"/>
  <c r="M159" i="9"/>
  <c r="N159" i="9"/>
  <c r="O159" i="9"/>
  <c r="P159" i="9"/>
  <c r="Q159" i="9"/>
  <c r="R159" i="9"/>
  <c r="S159" i="9"/>
  <c r="T159" i="9"/>
  <c r="U159" i="9"/>
  <c r="V159" i="9"/>
  <c r="W159" i="9"/>
  <c r="X159" i="9"/>
  <c r="Y159" i="9"/>
  <c r="Z159" i="9"/>
  <c r="AA159" i="9"/>
  <c r="AB159" i="9"/>
  <c r="AC159" i="9"/>
  <c r="AD159" i="9"/>
  <c r="AE159" i="9"/>
  <c r="AF159" i="9"/>
  <c r="AG159" i="9"/>
  <c r="AH159" i="9"/>
  <c r="B160" i="9"/>
  <c r="C160" i="9"/>
  <c r="D160" i="9"/>
  <c r="E160" i="9"/>
  <c r="F160" i="9"/>
  <c r="G160" i="9"/>
  <c r="H160" i="9"/>
  <c r="I160" i="9"/>
  <c r="K160" i="9"/>
  <c r="L160" i="9"/>
  <c r="M160" i="9"/>
  <c r="N160" i="9"/>
  <c r="O160" i="9"/>
  <c r="P160" i="9"/>
  <c r="Q160" i="9"/>
  <c r="R160" i="9"/>
  <c r="S160" i="9"/>
  <c r="T160" i="9"/>
  <c r="U160" i="9"/>
  <c r="V160" i="9"/>
  <c r="W160" i="9"/>
  <c r="X160" i="9"/>
  <c r="Y160" i="9"/>
  <c r="Z160" i="9"/>
  <c r="AA160" i="9"/>
  <c r="AB160" i="9"/>
  <c r="AC160" i="9"/>
  <c r="AD160" i="9"/>
  <c r="AE160" i="9"/>
  <c r="AF160" i="9"/>
  <c r="AG160" i="9"/>
  <c r="AH160" i="9"/>
  <c r="B161" i="9"/>
  <c r="C161" i="9"/>
  <c r="D161" i="9"/>
  <c r="E161" i="9"/>
  <c r="F161" i="9"/>
  <c r="G161" i="9"/>
  <c r="H161" i="9"/>
  <c r="I161" i="9"/>
  <c r="K161" i="9"/>
  <c r="L161" i="9"/>
  <c r="M161" i="9"/>
  <c r="N161" i="9"/>
  <c r="O161" i="9"/>
  <c r="P161" i="9"/>
  <c r="Q161" i="9"/>
  <c r="R161" i="9"/>
  <c r="S161" i="9"/>
  <c r="T161" i="9"/>
  <c r="U161" i="9"/>
  <c r="V161" i="9"/>
  <c r="W161" i="9"/>
  <c r="X161" i="9"/>
  <c r="Y161" i="9"/>
  <c r="Z161" i="9"/>
  <c r="AA161" i="9"/>
  <c r="AB161" i="9"/>
  <c r="AC161" i="9"/>
  <c r="AD161" i="9"/>
  <c r="AE161" i="9"/>
  <c r="AF161" i="9"/>
  <c r="AG161" i="9"/>
  <c r="AH161" i="9"/>
  <c r="B162" i="9"/>
  <c r="C162" i="9"/>
  <c r="D162" i="9"/>
  <c r="E162" i="9"/>
  <c r="F162" i="9"/>
  <c r="G162" i="9"/>
  <c r="H162" i="9"/>
  <c r="I162" i="9"/>
  <c r="K162" i="9"/>
  <c r="L162" i="9"/>
  <c r="M162" i="9"/>
  <c r="N162" i="9"/>
  <c r="O162" i="9"/>
  <c r="P162" i="9"/>
  <c r="Q162" i="9"/>
  <c r="R162" i="9"/>
  <c r="S162" i="9"/>
  <c r="T162" i="9"/>
  <c r="U162" i="9"/>
  <c r="V162" i="9"/>
  <c r="W162" i="9"/>
  <c r="X162" i="9"/>
  <c r="Y162" i="9"/>
  <c r="Z162" i="9"/>
  <c r="AA162" i="9"/>
  <c r="AB162" i="9"/>
  <c r="AC162" i="9"/>
  <c r="AD162" i="9"/>
  <c r="AE162" i="9"/>
  <c r="AF162" i="9"/>
  <c r="AG162" i="9"/>
  <c r="AH162" i="9"/>
  <c r="B163" i="9"/>
  <c r="C163" i="9"/>
  <c r="D163" i="9"/>
  <c r="E163" i="9"/>
  <c r="F163" i="9"/>
  <c r="G163" i="9"/>
  <c r="H163" i="9"/>
  <c r="I163" i="9"/>
  <c r="K163" i="9"/>
  <c r="L163" i="9"/>
  <c r="M163" i="9"/>
  <c r="N163" i="9"/>
  <c r="O163" i="9"/>
  <c r="P163" i="9"/>
  <c r="Q163" i="9"/>
  <c r="R163" i="9"/>
  <c r="S163" i="9"/>
  <c r="T163" i="9"/>
  <c r="U163" i="9"/>
  <c r="V163" i="9"/>
  <c r="W163" i="9"/>
  <c r="X163" i="9"/>
  <c r="Y163" i="9"/>
  <c r="Z163" i="9"/>
  <c r="AA163" i="9"/>
  <c r="AB163" i="9"/>
  <c r="AC163" i="9"/>
  <c r="AD163" i="9"/>
  <c r="AE163" i="9"/>
  <c r="AF163" i="9"/>
  <c r="AG163" i="9"/>
  <c r="AH163" i="9"/>
  <c r="B164" i="9"/>
  <c r="C164" i="9"/>
  <c r="D164" i="9"/>
  <c r="E164" i="9"/>
  <c r="F164" i="9"/>
  <c r="G164" i="9"/>
  <c r="H164" i="9"/>
  <c r="I164" i="9"/>
  <c r="K164" i="9"/>
  <c r="L164" i="9"/>
  <c r="M164" i="9"/>
  <c r="N164" i="9"/>
  <c r="O164" i="9"/>
  <c r="P164" i="9"/>
  <c r="Q164" i="9"/>
  <c r="R164" i="9"/>
  <c r="S164" i="9"/>
  <c r="T164" i="9"/>
  <c r="U164" i="9"/>
  <c r="V164" i="9"/>
  <c r="W164" i="9"/>
  <c r="X164" i="9"/>
  <c r="Y164" i="9"/>
  <c r="Z164" i="9"/>
  <c r="AA164" i="9"/>
  <c r="AB164" i="9"/>
  <c r="AC164" i="9"/>
  <c r="AD164" i="9"/>
  <c r="AE164" i="9"/>
  <c r="AF164" i="9"/>
  <c r="AG164" i="9"/>
  <c r="AH164" i="9"/>
  <c r="B165" i="9"/>
  <c r="C165" i="9"/>
  <c r="D165" i="9"/>
  <c r="E165" i="9"/>
  <c r="F165" i="9"/>
  <c r="G165" i="9"/>
  <c r="H165" i="9"/>
  <c r="I165" i="9"/>
  <c r="K165" i="9"/>
  <c r="L165" i="9"/>
  <c r="M165" i="9"/>
  <c r="N165" i="9"/>
  <c r="O165" i="9"/>
  <c r="P165" i="9"/>
  <c r="Q165" i="9"/>
  <c r="R165" i="9"/>
  <c r="S165" i="9"/>
  <c r="T165" i="9"/>
  <c r="U165" i="9"/>
  <c r="V165" i="9"/>
  <c r="W165" i="9"/>
  <c r="X165" i="9"/>
  <c r="Y165" i="9"/>
  <c r="Z165" i="9"/>
  <c r="AA165" i="9"/>
  <c r="AB165" i="9"/>
  <c r="AC165" i="9"/>
  <c r="AD165" i="9"/>
  <c r="AE165" i="9"/>
  <c r="AF165" i="9"/>
  <c r="AG165" i="9"/>
  <c r="AH165" i="9"/>
  <c r="B166" i="9"/>
  <c r="C166" i="9"/>
  <c r="D166" i="9"/>
  <c r="E166" i="9"/>
  <c r="F166" i="9"/>
  <c r="G166" i="9"/>
  <c r="H166" i="9"/>
  <c r="I166" i="9"/>
  <c r="K166" i="9"/>
  <c r="L166" i="9"/>
  <c r="M166" i="9"/>
  <c r="N166" i="9"/>
  <c r="O166" i="9"/>
  <c r="P166" i="9"/>
  <c r="Q166" i="9"/>
  <c r="R166" i="9"/>
  <c r="S166" i="9"/>
  <c r="T166" i="9"/>
  <c r="U166" i="9"/>
  <c r="V166" i="9"/>
  <c r="W166" i="9"/>
  <c r="X166" i="9"/>
  <c r="Y166" i="9"/>
  <c r="Z166" i="9"/>
  <c r="AA166" i="9"/>
  <c r="AB166" i="9"/>
  <c r="AC166" i="9"/>
  <c r="AD166" i="9"/>
  <c r="AE166" i="9"/>
  <c r="AF166" i="9"/>
  <c r="AG166" i="9"/>
  <c r="AH166" i="9"/>
  <c r="B167" i="9"/>
  <c r="C167" i="9"/>
  <c r="D167" i="9"/>
  <c r="E167" i="9"/>
  <c r="F167" i="9"/>
  <c r="G167" i="9"/>
  <c r="H167" i="9"/>
  <c r="I167" i="9"/>
  <c r="K167" i="9"/>
  <c r="L167" i="9"/>
  <c r="M167" i="9"/>
  <c r="N167" i="9"/>
  <c r="O167" i="9"/>
  <c r="P167" i="9"/>
  <c r="Q167" i="9"/>
  <c r="R167" i="9"/>
  <c r="S167" i="9"/>
  <c r="T167" i="9"/>
  <c r="U167" i="9"/>
  <c r="V167" i="9"/>
  <c r="W167" i="9"/>
  <c r="X167" i="9"/>
  <c r="Y167" i="9"/>
  <c r="Z167" i="9"/>
  <c r="AA167" i="9"/>
  <c r="AB167" i="9"/>
  <c r="AC167" i="9"/>
  <c r="AD167" i="9"/>
  <c r="AE167" i="9"/>
  <c r="AF167" i="9"/>
  <c r="AG167" i="9"/>
  <c r="AH167" i="9"/>
  <c r="B168" i="9"/>
  <c r="C168" i="9"/>
  <c r="D168" i="9"/>
  <c r="E168" i="9"/>
  <c r="F168" i="9"/>
  <c r="G168" i="9"/>
  <c r="H168" i="9"/>
  <c r="I168" i="9"/>
  <c r="K168" i="9"/>
  <c r="L168" i="9"/>
  <c r="M168" i="9"/>
  <c r="N168" i="9"/>
  <c r="O168" i="9"/>
  <c r="P168" i="9"/>
  <c r="Q168" i="9"/>
  <c r="R168" i="9"/>
  <c r="S168" i="9"/>
  <c r="T168" i="9"/>
  <c r="U168" i="9"/>
  <c r="V168" i="9"/>
  <c r="W168" i="9"/>
  <c r="X168" i="9"/>
  <c r="Y168" i="9"/>
  <c r="Z168" i="9"/>
  <c r="AA168" i="9"/>
  <c r="AB168" i="9"/>
  <c r="AC168" i="9"/>
  <c r="AD168" i="9"/>
  <c r="AE168" i="9"/>
  <c r="AF168" i="9"/>
  <c r="AG168" i="9"/>
  <c r="AH168" i="9"/>
  <c r="B169" i="9"/>
  <c r="C169" i="9"/>
  <c r="D169" i="9"/>
  <c r="E169" i="9"/>
  <c r="F169" i="9"/>
  <c r="G169" i="9"/>
  <c r="H169" i="9"/>
  <c r="I169" i="9"/>
  <c r="K169" i="9"/>
  <c r="L169" i="9"/>
  <c r="M169" i="9"/>
  <c r="N169" i="9"/>
  <c r="O169" i="9"/>
  <c r="P169" i="9"/>
  <c r="Q169" i="9"/>
  <c r="R169" i="9"/>
  <c r="S169" i="9"/>
  <c r="T169" i="9"/>
  <c r="U169" i="9"/>
  <c r="V169" i="9"/>
  <c r="W169" i="9"/>
  <c r="X169" i="9"/>
  <c r="Y169" i="9"/>
  <c r="Z169" i="9"/>
  <c r="AA169" i="9"/>
  <c r="AB169" i="9"/>
  <c r="AC169" i="9"/>
  <c r="AD169" i="9"/>
  <c r="AE169" i="9"/>
  <c r="AF169" i="9"/>
  <c r="AG169" i="9"/>
  <c r="AH169" i="9"/>
  <c r="B170" i="9"/>
  <c r="C170" i="9"/>
  <c r="D170" i="9"/>
  <c r="E170" i="9"/>
  <c r="F170" i="9"/>
  <c r="G170" i="9"/>
  <c r="H170" i="9"/>
  <c r="I170" i="9"/>
  <c r="K170" i="9"/>
  <c r="L170" i="9"/>
  <c r="M170" i="9"/>
  <c r="N170" i="9"/>
  <c r="O170" i="9"/>
  <c r="P170" i="9"/>
  <c r="Q170" i="9"/>
  <c r="R170" i="9"/>
  <c r="S170" i="9"/>
  <c r="T170" i="9"/>
  <c r="U170" i="9"/>
  <c r="V170" i="9"/>
  <c r="W170" i="9"/>
  <c r="X170" i="9"/>
  <c r="Y170" i="9"/>
  <c r="Z170" i="9"/>
  <c r="AA170" i="9"/>
  <c r="AB170" i="9"/>
  <c r="AC170" i="9"/>
  <c r="AD170" i="9"/>
  <c r="AE170" i="9"/>
  <c r="AF170" i="9"/>
  <c r="AG170" i="9"/>
  <c r="AH170" i="9"/>
  <c r="B171" i="9"/>
  <c r="C171" i="9"/>
  <c r="D171" i="9"/>
  <c r="E171" i="9"/>
  <c r="F171" i="9"/>
  <c r="G171" i="9"/>
  <c r="H171" i="9"/>
  <c r="I171" i="9"/>
  <c r="K171" i="9"/>
  <c r="L171" i="9"/>
  <c r="M171" i="9"/>
  <c r="N171" i="9"/>
  <c r="O171" i="9"/>
  <c r="P171" i="9"/>
  <c r="Q171" i="9"/>
  <c r="R171" i="9"/>
  <c r="S171" i="9"/>
  <c r="T171" i="9"/>
  <c r="U171" i="9"/>
  <c r="V171" i="9"/>
  <c r="W171" i="9"/>
  <c r="X171" i="9"/>
  <c r="Y171" i="9"/>
  <c r="Z171" i="9"/>
  <c r="AA171" i="9"/>
  <c r="AB171" i="9"/>
  <c r="AC171" i="9"/>
  <c r="AD171" i="9"/>
  <c r="AE171" i="9"/>
  <c r="AF171" i="9"/>
  <c r="AG171" i="9"/>
  <c r="AH171" i="9"/>
  <c r="B172" i="9"/>
  <c r="C172" i="9"/>
  <c r="D172" i="9"/>
  <c r="E172" i="9"/>
  <c r="F172" i="9"/>
  <c r="G172" i="9"/>
  <c r="H172" i="9"/>
  <c r="I172" i="9"/>
  <c r="K172" i="9"/>
  <c r="L172" i="9"/>
  <c r="M172" i="9"/>
  <c r="N172" i="9"/>
  <c r="O172" i="9"/>
  <c r="P172" i="9"/>
  <c r="Q172" i="9"/>
  <c r="R172" i="9"/>
  <c r="S172" i="9"/>
  <c r="T172" i="9"/>
  <c r="U172" i="9"/>
  <c r="V172" i="9"/>
  <c r="W172" i="9"/>
  <c r="X172" i="9"/>
  <c r="Y172" i="9"/>
  <c r="Z172" i="9"/>
  <c r="AA172" i="9"/>
  <c r="AB172" i="9"/>
  <c r="AC172" i="9"/>
  <c r="AD172" i="9"/>
  <c r="AE172" i="9"/>
  <c r="AF172" i="9"/>
  <c r="AG172" i="9"/>
  <c r="AH172" i="9"/>
  <c r="B173" i="9"/>
  <c r="C173" i="9"/>
  <c r="D173" i="9"/>
  <c r="E173" i="9"/>
  <c r="F173" i="9"/>
  <c r="G173" i="9"/>
  <c r="H173" i="9"/>
  <c r="I173" i="9"/>
  <c r="K173" i="9"/>
  <c r="L173" i="9"/>
  <c r="M173" i="9"/>
  <c r="N173" i="9"/>
  <c r="O173" i="9"/>
  <c r="P173" i="9"/>
  <c r="Q173" i="9"/>
  <c r="R173" i="9"/>
  <c r="S173" i="9"/>
  <c r="T173" i="9"/>
  <c r="U173" i="9"/>
  <c r="V173" i="9"/>
  <c r="W173" i="9"/>
  <c r="X173" i="9"/>
  <c r="Y173" i="9"/>
  <c r="Z173" i="9"/>
  <c r="AA173" i="9"/>
  <c r="AB173" i="9"/>
  <c r="AC173" i="9"/>
  <c r="AD173" i="9"/>
  <c r="AE173" i="9"/>
  <c r="AF173" i="9"/>
  <c r="AG173" i="9"/>
  <c r="AH173" i="9"/>
  <c r="B174" i="9"/>
  <c r="C174" i="9"/>
  <c r="D174" i="9"/>
  <c r="E174" i="9"/>
  <c r="F174" i="9"/>
  <c r="G174" i="9"/>
  <c r="H174" i="9"/>
  <c r="I174" i="9"/>
  <c r="K174" i="9"/>
  <c r="L174" i="9"/>
  <c r="M174" i="9"/>
  <c r="N174" i="9"/>
  <c r="O174" i="9"/>
  <c r="P174" i="9"/>
  <c r="Q174" i="9"/>
  <c r="R174" i="9"/>
  <c r="S174" i="9"/>
  <c r="T174" i="9"/>
  <c r="U174" i="9"/>
  <c r="V174" i="9"/>
  <c r="W174" i="9"/>
  <c r="X174" i="9"/>
  <c r="Y174" i="9"/>
  <c r="Z174" i="9"/>
  <c r="AA174" i="9"/>
  <c r="AB174" i="9"/>
  <c r="AC174" i="9"/>
  <c r="AD174" i="9"/>
  <c r="AE174" i="9"/>
  <c r="AF174" i="9"/>
  <c r="AG174" i="9"/>
  <c r="AH174" i="9"/>
  <c r="B175" i="9"/>
  <c r="C175" i="9"/>
  <c r="D175" i="9"/>
  <c r="E175" i="9"/>
  <c r="F175" i="9"/>
  <c r="G175" i="9"/>
  <c r="H175" i="9"/>
  <c r="I175" i="9"/>
  <c r="K175" i="9"/>
  <c r="L175" i="9"/>
  <c r="M175" i="9"/>
  <c r="N175" i="9"/>
  <c r="O175" i="9"/>
  <c r="P175" i="9"/>
  <c r="Q175" i="9"/>
  <c r="R175" i="9"/>
  <c r="S175" i="9"/>
  <c r="T175" i="9"/>
  <c r="U175" i="9"/>
  <c r="V175" i="9"/>
  <c r="W175" i="9"/>
  <c r="X175" i="9"/>
  <c r="Y175" i="9"/>
  <c r="Z175" i="9"/>
  <c r="AA175" i="9"/>
  <c r="AB175" i="9"/>
  <c r="AC175" i="9"/>
  <c r="AD175" i="9"/>
  <c r="AE175" i="9"/>
  <c r="AF175" i="9"/>
  <c r="AG175" i="9"/>
  <c r="AH175" i="9"/>
  <c r="B176" i="9"/>
  <c r="C176" i="9"/>
  <c r="D176" i="9"/>
  <c r="E176" i="9"/>
  <c r="F176" i="9"/>
  <c r="G176" i="9"/>
  <c r="H176" i="9"/>
  <c r="I176" i="9"/>
  <c r="K176" i="9"/>
  <c r="L176" i="9"/>
  <c r="M176" i="9"/>
  <c r="N176" i="9"/>
  <c r="O176" i="9"/>
  <c r="P176" i="9"/>
  <c r="Q176" i="9"/>
  <c r="R176" i="9"/>
  <c r="S176" i="9"/>
  <c r="T176" i="9"/>
  <c r="U176" i="9"/>
  <c r="V176" i="9"/>
  <c r="W176" i="9"/>
  <c r="X176" i="9"/>
  <c r="Y176" i="9"/>
  <c r="Z176" i="9"/>
  <c r="AA176" i="9"/>
  <c r="AB176" i="9"/>
  <c r="AC176" i="9"/>
  <c r="AD176" i="9"/>
  <c r="AE176" i="9"/>
  <c r="AF176" i="9"/>
  <c r="AG176" i="9"/>
  <c r="AH176" i="9"/>
  <c r="B177" i="9"/>
  <c r="C177" i="9"/>
  <c r="D177" i="9"/>
  <c r="E177" i="9"/>
  <c r="F177" i="9"/>
  <c r="G177" i="9"/>
  <c r="H177" i="9"/>
  <c r="I177" i="9"/>
  <c r="K177" i="9"/>
  <c r="L177" i="9"/>
  <c r="M177" i="9"/>
  <c r="N177" i="9"/>
  <c r="O177" i="9"/>
  <c r="P177" i="9"/>
  <c r="Q177" i="9"/>
  <c r="R177" i="9"/>
  <c r="S177" i="9"/>
  <c r="T177" i="9"/>
  <c r="U177" i="9"/>
  <c r="V177" i="9"/>
  <c r="W177" i="9"/>
  <c r="X177" i="9"/>
  <c r="Y177" i="9"/>
  <c r="Z177" i="9"/>
  <c r="AA177" i="9"/>
  <c r="AB177" i="9"/>
  <c r="AC177" i="9"/>
  <c r="AD177" i="9"/>
  <c r="AE177" i="9"/>
  <c r="AF177" i="9"/>
  <c r="AG177" i="9"/>
  <c r="AH177" i="9"/>
  <c r="B178" i="9"/>
  <c r="C178" i="9"/>
  <c r="D178" i="9"/>
  <c r="E178" i="9"/>
  <c r="F178" i="9"/>
  <c r="G178" i="9"/>
  <c r="H178" i="9"/>
  <c r="I178" i="9"/>
  <c r="K178" i="9"/>
  <c r="L178" i="9"/>
  <c r="M178" i="9"/>
  <c r="N178" i="9"/>
  <c r="O178" i="9"/>
  <c r="P178" i="9"/>
  <c r="Q178" i="9"/>
  <c r="R178" i="9"/>
  <c r="S178" i="9"/>
  <c r="T178" i="9"/>
  <c r="U178" i="9"/>
  <c r="V178" i="9"/>
  <c r="W178" i="9"/>
  <c r="X178" i="9"/>
  <c r="Y178" i="9"/>
  <c r="Z178" i="9"/>
  <c r="AA178" i="9"/>
  <c r="AB178" i="9"/>
  <c r="AC178" i="9"/>
  <c r="AD178" i="9"/>
  <c r="AE178" i="9"/>
  <c r="AF178" i="9"/>
  <c r="AG178" i="9"/>
  <c r="AH178" i="9"/>
  <c r="B179" i="9"/>
  <c r="C179" i="9"/>
  <c r="D179" i="9"/>
  <c r="E179" i="9"/>
  <c r="F179" i="9"/>
  <c r="G179" i="9"/>
  <c r="H179" i="9"/>
  <c r="I179" i="9"/>
  <c r="K179" i="9"/>
  <c r="L179" i="9"/>
  <c r="M179" i="9"/>
  <c r="N179" i="9"/>
  <c r="O179" i="9"/>
  <c r="P179" i="9"/>
  <c r="Q179" i="9"/>
  <c r="R179" i="9"/>
  <c r="S179" i="9"/>
  <c r="T179" i="9"/>
  <c r="U179" i="9"/>
  <c r="V179" i="9"/>
  <c r="W179" i="9"/>
  <c r="X179" i="9"/>
  <c r="Y179" i="9"/>
  <c r="Z179" i="9"/>
  <c r="AA179" i="9"/>
  <c r="AB179" i="9"/>
  <c r="AC179" i="9"/>
  <c r="AD179" i="9"/>
  <c r="AE179" i="9"/>
  <c r="AF179" i="9"/>
  <c r="AG179" i="9"/>
  <c r="AH179" i="9"/>
  <c r="B180" i="9"/>
  <c r="C180" i="9"/>
  <c r="D180" i="9"/>
  <c r="E180" i="9"/>
  <c r="F180" i="9"/>
  <c r="G180" i="9"/>
  <c r="H180" i="9"/>
  <c r="I180" i="9"/>
  <c r="K180" i="9"/>
  <c r="L180" i="9"/>
  <c r="M180" i="9"/>
  <c r="N180" i="9"/>
  <c r="O180" i="9"/>
  <c r="P180" i="9"/>
  <c r="Q180" i="9"/>
  <c r="R180" i="9"/>
  <c r="S180" i="9"/>
  <c r="T180" i="9"/>
  <c r="U180" i="9"/>
  <c r="V180" i="9"/>
  <c r="W180" i="9"/>
  <c r="X180" i="9"/>
  <c r="Y180" i="9"/>
  <c r="Z180" i="9"/>
  <c r="AA180" i="9"/>
  <c r="AB180" i="9"/>
  <c r="AC180" i="9"/>
  <c r="AD180" i="9"/>
  <c r="AE180" i="9"/>
  <c r="AF180" i="9"/>
  <c r="AG180" i="9"/>
  <c r="AH180" i="9"/>
  <c r="B181" i="9"/>
  <c r="C181" i="9"/>
  <c r="D181" i="9"/>
  <c r="E181" i="9"/>
  <c r="F181" i="9"/>
  <c r="G181" i="9"/>
  <c r="H181" i="9"/>
  <c r="I181" i="9"/>
  <c r="K181" i="9"/>
  <c r="L181" i="9"/>
  <c r="M181" i="9"/>
  <c r="N181" i="9"/>
  <c r="O181" i="9"/>
  <c r="P181" i="9"/>
  <c r="Q181" i="9"/>
  <c r="R181" i="9"/>
  <c r="S181" i="9"/>
  <c r="T181" i="9"/>
  <c r="U181" i="9"/>
  <c r="V181" i="9"/>
  <c r="W181" i="9"/>
  <c r="X181" i="9"/>
  <c r="Y181" i="9"/>
  <c r="Z181" i="9"/>
  <c r="AA181" i="9"/>
  <c r="AB181" i="9"/>
  <c r="AC181" i="9"/>
  <c r="AD181" i="9"/>
  <c r="AE181" i="9"/>
  <c r="AF181" i="9"/>
  <c r="AG181" i="9"/>
  <c r="AH181" i="9"/>
  <c r="B182" i="9"/>
  <c r="C182" i="9"/>
  <c r="D182" i="9"/>
  <c r="E182" i="9"/>
  <c r="F182" i="9"/>
  <c r="G182" i="9"/>
  <c r="H182" i="9"/>
  <c r="I182" i="9"/>
  <c r="K182" i="9"/>
  <c r="L182" i="9"/>
  <c r="M182" i="9"/>
  <c r="N182" i="9"/>
  <c r="O182" i="9"/>
  <c r="P182" i="9"/>
  <c r="Q182" i="9"/>
  <c r="R182" i="9"/>
  <c r="S182" i="9"/>
  <c r="T182" i="9"/>
  <c r="U182" i="9"/>
  <c r="V182" i="9"/>
  <c r="W182" i="9"/>
  <c r="X182" i="9"/>
  <c r="Y182" i="9"/>
  <c r="Z182" i="9"/>
  <c r="AA182" i="9"/>
  <c r="AB182" i="9"/>
  <c r="AC182" i="9"/>
  <c r="AD182" i="9"/>
  <c r="AE182" i="9"/>
  <c r="AF182" i="9"/>
  <c r="AG182" i="9"/>
  <c r="AH182" i="9"/>
  <c r="B183" i="9"/>
  <c r="C183" i="9"/>
  <c r="D183" i="9"/>
  <c r="E183" i="9"/>
  <c r="F183" i="9"/>
  <c r="G183" i="9"/>
  <c r="H183" i="9"/>
  <c r="I183" i="9"/>
  <c r="K183" i="9"/>
  <c r="L183" i="9"/>
  <c r="M183" i="9"/>
  <c r="N183" i="9"/>
  <c r="O183" i="9"/>
  <c r="P183" i="9"/>
  <c r="Q183" i="9"/>
  <c r="R183" i="9"/>
  <c r="S183" i="9"/>
  <c r="T183" i="9"/>
  <c r="U183" i="9"/>
  <c r="V183" i="9"/>
  <c r="W183" i="9"/>
  <c r="X183" i="9"/>
  <c r="Y183" i="9"/>
  <c r="Z183" i="9"/>
  <c r="AA183" i="9"/>
  <c r="AB183" i="9"/>
  <c r="AC183" i="9"/>
  <c r="AD183" i="9"/>
  <c r="AE183" i="9"/>
  <c r="AF183" i="9"/>
  <c r="AG183" i="9"/>
  <c r="AH183" i="9"/>
  <c r="B184" i="9"/>
  <c r="C184" i="9"/>
  <c r="D184" i="9"/>
  <c r="E184" i="9"/>
  <c r="F184" i="9"/>
  <c r="G184" i="9"/>
  <c r="H184" i="9"/>
  <c r="I184" i="9"/>
  <c r="K184" i="9"/>
  <c r="L184" i="9"/>
  <c r="M184" i="9"/>
  <c r="N184" i="9"/>
  <c r="O184" i="9"/>
  <c r="P184" i="9"/>
  <c r="Q184" i="9"/>
  <c r="R184" i="9"/>
  <c r="S184" i="9"/>
  <c r="T184" i="9"/>
  <c r="U184" i="9"/>
  <c r="V184" i="9"/>
  <c r="W184" i="9"/>
  <c r="X184" i="9"/>
  <c r="Y184" i="9"/>
  <c r="Z184" i="9"/>
  <c r="AA184" i="9"/>
  <c r="AB184" i="9"/>
  <c r="AC184" i="9"/>
  <c r="AD184" i="9"/>
  <c r="AE184" i="9"/>
  <c r="AF184" i="9"/>
  <c r="AG184" i="9"/>
  <c r="AH184" i="9"/>
  <c r="B185" i="9"/>
  <c r="C185" i="9"/>
  <c r="D185" i="9"/>
  <c r="E185" i="9"/>
  <c r="F185" i="9"/>
  <c r="G185" i="9"/>
  <c r="H185" i="9"/>
  <c r="I185" i="9"/>
  <c r="K185" i="9"/>
  <c r="L185" i="9"/>
  <c r="M185" i="9"/>
  <c r="N185" i="9"/>
  <c r="O185" i="9"/>
  <c r="P185" i="9"/>
  <c r="Q185" i="9"/>
  <c r="R185" i="9"/>
  <c r="S185" i="9"/>
  <c r="T185" i="9"/>
  <c r="U185" i="9"/>
  <c r="V185" i="9"/>
  <c r="W185" i="9"/>
  <c r="X185" i="9"/>
  <c r="Y185" i="9"/>
  <c r="Z185" i="9"/>
  <c r="AA185" i="9"/>
  <c r="AB185" i="9"/>
  <c r="AC185" i="9"/>
  <c r="AD185" i="9"/>
  <c r="AE185" i="9"/>
  <c r="AF185" i="9"/>
  <c r="AG185" i="9"/>
  <c r="AH185" i="9"/>
  <c r="B186" i="9"/>
  <c r="C186" i="9"/>
  <c r="D186" i="9"/>
  <c r="E186" i="9"/>
  <c r="F186" i="9"/>
  <c r="G186" i="9"/>
  <c r="H186" i="9"/>
  <c r="I186" i="9"/>
  <c r="K186" i="9"/>
  <c r="L186" i="9"/>
  <c r="M186" i="9"/>
  <c r="N186" i="9"/>
  <c r="O186" i="9"/>
  <c r="P186" i="9"/>
  <c r="Q186" i="9"/>
  <c r="R186" i="9"/>
  <c r="S186" i="9"/>
  <c r="T186" i="9"/>
  <c r="U186" i="9"/>
  <c r="V186" i="9"/>
  <c r="W186" i="9"/>
  <c r="X186" i="9"/>
  <c r="Y186" i="9"/>
  <c r="Z186" i="9"/>
  <c r="AA186" i="9"/>
  <c r="AB186" i="9"/>
  <c r="AC186" i="9"/>
  <c r="AD186" i="9"/>
  <c r="AE186" i="9"/>
  <c r="AF186" i="9"/>
  <c r="AG186" i="9"/>
  <c r="AH186" i="9"/>
  <c r="B187" i="9"/>
  <c r="C187" i="9"/>
  <c r="D187" i="9"/>
  <c r="E187" i="9"/>
  <c r="F187" i="9"/>
  <c r="G187" i="9"/>
  <c r="H187" i="9"/>
  <c r="I187" i="9"/>
  <c r="K187" i="9"/>
  <c r="L187" i="9"/>
  <c r="M187" i="9"/>
  <c r="N187" i="9"/>
  <c r="O187" i="9"/>
  <c r="P187" i="9"/>
  <c r="Q187" i="9"/>
  <c r="R187" i="9"/>
  <c r="S187" i="9"/>
  <c r="T187" i="9"/>
  <c r="U187" i="9"/>
  <c r="V187" i="9"/>
  <c r="W187" i="9"/>
  <c r="X187" i="9"/>
  <c r="Y187" i="9"/>
  <c r="Z187" i="9"/>
  <c r="AA187" i="9"/>
  <c r="AB187" i="9"/>
  <c r="AC187" i="9"/>
  <c r="AD187" i="9"/>
  <c r="AE187" i="9"/>
  <c r="AF187" i="9"/>
  <c r="AG187" i="9"/>
  <c r="AH187" i="9"/>
  <c r="B188" i="9"/>
  <c r="C188" i="9"/>
  <c r="D188" i="9"/>
  <c r="E188" i="9"/>
  <c r="F188" i="9"/>
  <c r="G188" i="9"/>
  <c r="H188" i="9"/>
  <c r="I188" i="9"/>
  <c r="K188" i="9"/>
  <c r="L188" i="9"/>
  <c r="M188" i="9"/>
  <c r="N188" i="9"/>
  <c r="O188" i="9"/>
  <c r="P188" i="9"/>
  <c r="Q188" i="9"/>
  <c r="R188" i="9"/>
  <c r="S188" i="9"/>
  <c r="T188" i="9"/>
  <c r="U188" i="9"/>
  <c r="V188" i="9"/>
  <c r="W188" i="9"/>
  <c r="X188" i="9"/>
  <c r="Y188" i="9"/>
  <c r="Z188" i="9"/>
  <c r="AA188" i="9"/>
  <c r="AB188" i="9"/>
  <c r="AC188" i="9"/>
  <c r="AD188" i="9"/>
  <c r="AE188" i="9"/>
  <c r="AF188" i="9"/>
  <c r="AG188" i="9"/>
  <c r="AH188" i="9"/>
  <c r="B189" i="9"/>
  <c r="C189" i="9"/>
  <c r="D189" i="9"/>
  <c r="E189" i="9"/>
  <c r="F189" i="9"/>
  <c r="G189" i="9"/>
  <c r="H189" i="9"/>
  <c r="I189" i="9"/>
  <c r="K189" i="9"/>
  <c r="L189" i="9"/>
  <c r="M189" i="9"/>
  <c r="N189" i="9"/>
  <c r="O189" i="9"/>
  <c r="P189" i="9"/>
  <c r="Q189" i="9"/>
  <c r="R189" i="9"/>
  <c r="S189" i="9"/>
  <c r="T189" i="9"/>
  <c r="U189" i="9"/>
  <c r="V189" i="9"/>
  <c r="W189" i="9"/>
  <c r="X189" i="9"/>
  <c r="Y189" i="9"/>
  <c r="Z189" i="9"/>
  <c r="AA189" i="9"/>
  <c r="AB189" i="9"/>
  <c r="AC189" i="9"/>
  <c r="AD189" i="9"/>
  <c r="AE189" i="9"/>
  <c r="AF189" i="9"/>
  <c r="AG189" i="9"/>
  <c r="AH189" i="9"/>
  <c r="B190" i="9"/>
  <c r="C190" i="9"/>
  <c r="D190" i="9"/>
  <c r="E190" i="9"/>
  <c r="F190" i="9"/>
  <c r="G190" i="9"/>
  <c r="H190" i="9"/>
  <c r="I190" i="9"/>
  <c r="K190" i="9"/>
  <c r="L190" i="9"/>
  <c r="M190" i="9"/>
  <c r="N190" i="9"/>
  <c r="O190" i="9"/>
  <c r="P190" i="9"/>
  <c r="Q190" i="9"/>
  <c r="R190" i="9"/>
  <c r="S190" i="9"/>
  <c r="T190" i="9"/>
  <c r="U190" i="9"/>
  <c r="V190" i="9"/>
  <c r="W190" i="9"/>
  <c r="X190" i="9"/>
  <c r="Y190" i="9"/>
  <c r="Z190" i="9"/>
  <c r="AA190" i="9"/>
  <c r="AB190" i="9"/>
  <c r="AC190" i="9"/>
  <c r="AD190" i="9"/>
  <c r="AE190" i="9"/>
  <c r="AF190" i="9"/>
  <c r="AG190" i="9"/>
  <c r="AH190" i="9"/>
  <c r="B191" i="9"/>
  <c r="C191" i="9"/>
  <c r="D191" i="9"/>
  <c r="E191" i="9"/>
  <c r="F191" i="9"/>
  <c r="G191" i="9"/>
  <c r="H191" i="9"/>
  <c r="I191" i="9"/>
  <c r="K191" i="9"/>
  <c r="L191" i="9"/>
  <c r="M191" i="9"/>
  <c r="N191" i="9"/>
  <c r="O191" i="9"/>
  <c r="P191" i="9"/>
  <c r="Q191" i="9"/>
  <c r="R191" i="9"/>
  <c r="S191" i="9"/>
  <c r="T191" i="9"/>
  <c r="U191" i="9"/>
  <c r="V191" i="9"/>
  <c r="W191" i="9"/>
  <c r="X191" i="9"/>
  <c r="Y191" i="9"/>
  <c r="Z191" i="9"/>
  <c r="AA191" i="9"/>
  <c r="AB191" i="9"/>
  <c r="AC191" i="9"/>
  <c r="AD191" i="9"/>
  <c r="AE191" i="9"/>
  <c r="AF191" i="9"/>
  <c r="AG191" i="9"/>
  <c r="AH191" i="9"/>
  <c r="B192" i="9"/>
  <c r="C192" i="9"/>
  <c r="D192" i="9"/>
  <c r="E192" i="9"/>
  <c r="F192" i="9"/>
  <c r="G192" i="9"/>
  <c r="H192" i="9"/>
  <c r="I192" i="9"/>
  <c r="K192" i="9"/>
  <c r="L192" i="9"/>
  <c r="M192" i="9"/>
  <c r="N192" i="9"/>
  <c r="O192" i="9"/>
  <c r="P192" i="9"/>
  <c r="Q192" i="9"/>
  <c r="R192" i="9"/>
  <c r="S192" i="9"/>
  <c r="T192" i="9"/>
  <c r="U192" i="9"/>
  <c r="V192" i="9"/>
  <c r="W192" i="9"/>
  <c r="X192" i="9"/>
  <c r="Y192" i="9"/>
  <c r="Z192" i="9"/>
  <c r="AA192" i="9"/>
  <c r="AB192" i="9"/>
  <c r="AC192" i="9"/>
  <c r="AD192" i="9"/>
  <c r="AE192" i="9"/>
  <c r="AF192" i="9"/>
  <c r="AG192" i="9"/>
  <c r="AH192" i="9"/>
  <c r="B193" i="9"/>
  <c r="C193" i="9"/>
  <c r="D193" i="9"/>
  <c r="E193" i="9"/>
  <c r="F193" i="9"/>
  <c r="G193" i="9"/>
  <c r="H193" i="9"/>
  <c r="I193" i="9"/>
  <c r="K193" i="9"/>
  <c r="L193" i="9"/>
  <c r="M193" i="9"/>
  <c r="N193" i="9"/>
  <c r="O193" i="9"/>
  <c r="P193" i="9"/>
  <c r="Q193" i="9"/>
  <c r="R193" i="9"/>
  <c r="S193" i="9"/>
  <c r="T193" i="9"/>
  <c r="U193" i="9"/>
  <c r="V193" i="9"/>
  <c r="W193" i="9"/>
  <c r="X193" i="9"/>
  <c r="Y193" i="9"/>
  <c r="Z193" i="9"/>
  <c r="AA193" i="9"/>
  <c r="AB193" i="9"/>
  <c r="AC193" i="9"/>
  <c r="AD193" i="9"/>
  <c r="AE193" i="9"/>
  <c r="AF193" i="9"/>
  <c r="AG193" i="9"/>
  <c r="AH193" i="9"/>
  <c r="B194" i="9"/>
  <c r="C194" i="9"/>
  <c r="D194" i="9"/>
  <c r="E194" i="9"/>
  <c r="F194" i="9"/>
  <c r="G194" i="9"/>
  <c r="H194" i="9"/>
  <c r="I194" i="9"/>
  <c r="K194" i="9"/>
  <c r="L194" i="9"/>
  <c r="M194" i="9"/>
  <c r="N194" i="9"/>
  <c r="O194" i="9"/>
  <c r="P194" i="9"/>
  <c r="Q194" i="9"/>
  <c r="R194" i="9"/>
  <c r="S194" i="9"/>
  <c r="T194" i="9"/>
  <c r="U194" i="9"/>
  <c r="V194" i="9"/>
  <c r="W194" i="9"/>
  <c r="X194" i="9"/>
  <c r="Y194" i="9"/>
  <c r="Z194" i="9"/>
  <c r="AA194" i="9"/>
  <c r="AB194" i="9"/>
  <c r="AC194" i="9"/>
  <c r="AD194" i="9"/>
  <c r="AE194" i="9"/>
  <c r="AF194" i="9"/>
  <c r="AG194" i="9"/>
  <c r="AH194" i="9"/>
  <c r="B195" i="9"/>
  <c r="C195" i="9"/>
  <c r="D195" i="9"/>
  <c r="E195" i="9"/>
  <c r="F195" i="9"/>
  <c r="G195" i="9"/>
  <c r="H195" i="9"/>
  <c r="I195" i="9"/>
  <c r="K195" i="9"/>
  <c r="L195" i="9"/>
  <c r="M195" i="9"/>
  <c r="N195" i="9"/>
  <c r="O195" i="9"/>
  <c r="P195" i="9"/>
  <c r="Q195" i="9"/>
  <c r="R195" i="9"/>
  <c r="S195" i="9"/>
  <c r="T195" i="9"/>
  <c r="U195" i="9"/>
  <c r="V195" i="9"/>
  <c r="W195" i="9"/>
  <c r="X195" i="9"/>
  <c r="Y195" i="9"/>
  <c r="Z195" i="9"/>
  <c r="AA195" i="9"/>
  <c r="AB195" i="9"/>
  <c r="AC195" i="9"/>
  <c r="AD195" i="9"/>
  <c r="AE195" i="9"/>
  <c r="AF195" i="9"/>
  <c r="AG195" i="9"/>
  <c r="AH195" i="9"/>
  <c r="B196" i="9"/>
  <c r="C196" i="9"/>
  <c r="D196" i="9"/>
  <c r="E196" i="9"/>
  <c r="F196" i="9"/>
  <c r="G196" i="9"/>
  <c r="H196" i="9"/>
  <c r="I196" i="9"/>
  <c r="K196" i="9"/>
  <c r="L196" i="9"/>
  <c r="M196" i="9"/>
  <c r="N196" i="9"/>
  <c r="O196" i="9"/>
  <c r="P196" i="9"/>
  <c r="Q196" i="9"/>
  <c r="R196" i="9"/>
  <c r="S196" i="9"/>
  <c r="T196" i="9"/>
  <c r="U196" i="9"/>
  <c r="V196" i="9"/>
  <c r="W196" i="9"/>
  <c r="X196" i="9"/>
  <c r="Y196" i="9"/>
  <c r="Z196" i="9"/>
  <c r="AA196" i="9"/>
  <c r="AB196" i="9"/>
  <c r="AC196" i="9"/>
  <c r="AD196" i="9"/>
  <c r="AE196" i="9"/>
  <c r="AF196" i="9"/>
  <c r="AG196" i="9"/>
  <c r="AH196" i="9"/>
  <c r="B197" i="9"/>
  <c r="C197" i="9"/>
  <c r="D197" i="9"/>
  <c r="E197" i="9"/>
  <c r="F197" i="9"/>
  <c r="G197" i="9"/>
  <c r="H197" i="9"/>
  <c r="I197" i="9"/>
  <c r="K197" i="9"/>
  <c r="L197" i="9"/>
  <c r="M197" i="9"/>
  <c r="N197" i="9"/>
  <c r="O197" i="9"/>
  <c r="P197" i="9"/>
  <c r="Q197" i="9"/>
  <c r="R197" i="9"/>
  <c r="S197" i="9"/>
  <c r="T197" i="9"/>
  <c r="U197" i="9"/>
  <c r="V197" i="9"/>
  <c r="W197" i="9"/>
  <c r="X197" i="9"/>
  <c r="Y197" i="9"/>
  <c r="Z197" i="9"/>
  <c r="AA197" i="9"/>
  <c r="AB197" i="9"/>
  <c r="AC197" i="9"/>
  <c r="AD197" i="9"/>
  <c r="AE197" i="9"/>
  <c r="AF197" i="9"/>
  <c r="AG197" i="9"/>
  <c r="AH197" i="9"/>
  <c r="B198" i="9"/>
  <c r="C198" i="9"/>
  <c r="D198" i="9"/>
  <c r="E198" i="9"/>
  <c r="F198" i="9"/>
  <c r="G198" i="9"/>
  <c r="H198" i="9"/>
  <c r="I198" i="9"/>
  <c r="K198" i="9"/>
  <c r="L198" i="9"/>
  <c r="M198" i="9"/>
  <c r="N198" i="9"/>
  <c r="O198" i="9"/>
  <c r="P198" i="9"/>
  <c r="Q198" i="9"/>
  <c r="R198" i="9"/>
  <c r="S198" i="9"/>
  <c r="T198" i="9"/>
  <c r="U198" i="9"/>
  <c r="V198" i="9"/>
  <c r="W198" i="9"/>
  <c r="X198" i="9"/>
  <c r="Y198" i="9"/>
  <c r="Z198" i="9"/>
  <c r="AA198" i="9"/>
  <c r="AB198" i="9"/>
  <c r="AC198" i="9"/>
  <c r="AD198" i="9"/>
  <c r="AE198" i="9"/>
  <c r="AF198" i="9"/>
  <c r="AG198" i="9"/>
  <c r="AH198" i="9"/>
  <c r="B199" i="9"/>
  <c r="C199" i="9"/>
  <c r="D199" i="9"/>
  <c r="E199" i="9"/>
  <c r="F199" i="9"/>
  <c r="G199" i="9"/>
  <c r="H199" i="9"/>
  <c r="I199" i="9"/>
  <c r="K199" i="9"/>
  <c r="L199" i="9"/>
  <c r="M199" i="9"/>
  <c r="N199" i="9"/>
  <c r="O199" i="9"/>
  <c r="P199" i="9"/>
  <c r="Q199" i="9"/>
  <c r="R199" i="9"/>
  <c r="S199" i="9"/>
  <c r="T199" i="9"/>
  <c r="U199" i="9"/>
  <c r="V199" i="9"/>
  <c r="W199" i="9"/>
  <c r="X199" i="9"/>
  <c r="Y199" i="9"/>
  <c r="Z199" i="9"/>
  <c r="AA199" i="9"/>
  <c r="AB199" i="9"/>
  <c r="AC199" i="9"/>
  <c r="AD199" i="9"/>
  <c r="AE199" i="9"/>
  <c r="AF199" i="9"/>
  <c r="AG199" i="9"/>
  <c r="AH199" i="9"/>
  <c r="B200" i="9"/>
  <c r="C200" i="9"/>
  <c r="D200" i="9"/>
  <c r="E200" i="9"/>
  <c r="F200" i="9"/>
  <c r="G200" i="9"/>
  <c r="H200" i="9"/>
  <c r="I200" i="9"/>
  <c r="K200" i="9"/>
  <c r="L200" i="9"/>
  <c r="M200" i="9"/>
  <c r="N200" i="9"/>
  <c r="O200" i="9"/>
  <c r="P200" i="9"/>
  <c r="Q200" i="9"/>
  <c r="R200" i="9"/>
  <c r="S200" i="9"/>
  <c r="T200" i="9"/>
  <c r="U200" i="9"/>
  <c r="V200" i="9"/>
  <c r="W200" i="9"/>
  <c r="X200" i="9"/>
  <c r="Y200" i="9"/>
  <c r="Z200" i="9"/>
  <c r="AA200" i="9"/>
  <c r="AB200" i="9"/>
  <c r="AC200" i="9"/>
  <c r="AD200" i="9"/>
  <c r="AE200" i="9"/>
  <c r="AF200" i="9"/>
  <c r="AG200" i="9"/>
  <c r="AH200" i="9"/>
  <c r="B201" i="9"/>
  <c r="C201" i="9"/>
  <c r="D201" i="9"/>
  <c r="E201" i="9"/>
  <c r="F201" i="9"/>
  <c r="G201" i="9"/>
  <c r="H201" i="9"/>
  <c r="I201" i="9"/>
  <c r="K201" i="9"/>
  <c r="L201" i="9"/>
  <c r="M201" i="9"/>
  <c r="N201" i="9"/>
  <c r="O201" i="9"/>
  <c r="P201" i="9"/>
  <c r="Q201" i="9"/>
  <c r="R201" i="9"/>
  <c r="S201" i="9"/>
  <c r="T201" i="9"/>
  <c r="U201" i="9"/>
  <c r="V201" i="9"/>
  <c r="W201" i="9"/>
  <c r="X201" i="9"/>
  <c r="Y201" i="9"/>
  <c r="Z201" i="9"/>
  <c r="AA201" i="9"/>
  <c r="AB201" i="9"/>
  <c r="AC201" i="9"/>
  <c r="AD201" i="9"/>
  <c r="AE201" i="9"/>
  <c r="AF201" i="9"/>
  <c r="AG201" i="9"/>
  <c r="AH201" i="9"/>
  <c r="B202" i="9"/>
  <c r="C202" i="9"/>
  <c r="D202" i="9"/>
  <c r="E202" i="9"/>
  <c r="F202" i="9"/>
  <c r="G202" i="9"/>
  <c r="H202" i="9"/>
  <c r="I202" i="9"/>
  <c r="K202" i="9"/>
  <c r="L202" i="9"/>
  <c r="M202" i="9"/>
  <c r="N202" i="9"/>
  <c r="O202" i="9"/>
  <c r="P202" i="9"/>
  <c r="Q202" i="9"/>
  <c r="R202" i="9"/>
  <c r="S202" i="9"/>
  <c r="T202" i="9"/>
  <c r="U202" i="9"/>
  <c r="V202" i="9"/>
  <c r="W202" i="9"/>
  <c r="X202" i="9"/>
  <c r="Y202" i="9"/>
  <c r="Z202" i="9"/>
  <c r="AA202" i="9"/>
  <c r="AB202" i="9"/>
  <c r="AC202" i="9"/>
  <c r="AD202" i="9"/>
  <c r="AE202" i="9"/>
  <c r="AF202" i="9"/>
  <c r="AG202" i="9"/>
  <c r="AH202" i="9"/>
  <c r="B203" i="9"/>
  <c r="C203" i="9"/>
  <c r="D203" i="9"/>
  <c r="E203" i="9"/>
  <c r="F203" i="9"/>
  <c r="G203" i="9"/>
  <c r="H203" i="9"/>
  <c r="I203" i="9"/>
  <c r="K203" i="9"/>
  <c r="L203" i="9"/>
  <c r="M203" i="9"/>
  <c r="N203" i="9"/>
  <c r="O203" i="9"/>
  <c r="P203" i="9"/>
  <c r="Q203" i="9"/>
  <c r="R203" i="9"/>
  <c r="S203" i="9"/>
  <c r="T203" i="9"/>
  <c r="U203" i="9"/>
  <c r="V203" i="9"/>
  <c r="W203" i="9"/>
  <c r="X203" i="9"/>
  <c r="Y203" i="9"/>
  <c r="Z203" i="9"/>
  <c r="AA203" i="9"/>
  <c r="AB203" i="9"/>
  <c r="AC203" i="9"/>
  <c r="AD203" i="9"/>
  <c r="AE203" i="9"/>
  <c r="AF203" i="9"/>
  <c r="AG203" i="9"/>
  <c r="AH203" i="9"/>
  <c r="B204" i="9"/>
  <c r="C204" i="9"/>
  <c r="D204" i="9"/>
  <c r="E204" i="9"/>
  <c r="F204" i="9"/>
  <c r="G204" i="9"/>
  <c r="H204" i="9"/>
  <c r="I204" i="9"/>
  <c r="K204" i="9"/>
  <c r="L204" i="9"/>
  <c r="M204" i="9"/>
  <c r="N204" i="9"/>
  <c r="O204" i="9"/>
  <c r="P204" i="9"/>
  <c r="Q204" i="9"/>
  <c r="R204" i="9"/>
  <c r="S204" i="9"/>
  <c r="T204" i="9"/>
  <c r="U204" i="9"/>
  <c r="V204" i="9"/>
  <c r="W204" i="9"/>
  <c r="X204" i="9"/>
  <c r="Y204" i="9"/>
  <c r="Z204" i="9"/>
  <c r="AA204" i="9"/>
  <c r="AB204" i="9"/>
  <c r="AC204" i="9"/>
  <c r="AD204" i="9"/>
  <c r="AE204" i="9"/>
  <c r="AF204" i="9"/>
  <c r="AG204" i="9"/>
  <c r="AH204" i="9"/>
  <c r="B205" i="9"/>
  <c r="C205" i="9"/>
  <c r="D205" i="9"/>
  <c r="E205" i="9"/>
  <c r="F205" i="9"/>
  <c r="G205" i="9"/>
  <c r="H205" i="9"/>
  <c r="I205" i="9"/>
  <c r="K205" i="9"/>
  <c r="L205" i="9"/>
  <c r="M205" i="9"/>
  <c r="N205" i="9"/>
  <c r="O205" i="9"/>
  <c r="P205" i="9"/>
  <c r="Q205" i="9"/>
  <c r="R205" i="9"/>
  <c r="S205" i="9"/>
  <c r="T205" i="9"/>
  <c r="U205" i="9"/>
  <c r="V205" i="9"/>
  <c r="W205" i="9"/>
  <c r="X205" i="9"/>
  <c r="Y205" i="9"/>
  <c r="Z205" i="9"/>
  <c r="AA205" i="9"/>
  <c r="AB205" i="9"/>
  <c r="AC205" i="9"/>
  <c r="AD205" i="9"/>
  <c r="AE205" i="9"/>
  <c r="AF205" i="9"/>
  <c r="AG205" i="9"/>
  <c r="AH205" i="9"/>
  <c r="B206" i="9"/>
  <c r="C206" i="9"/>
  <c r="D206" i="9"/>
  <c r="E206" i="9"/>
  <c r="F206" i="9"/>
  <c r="G206" i="9"/>
  <c r="H206" i="9"/>
  <c r="I206" i="9"/>
  <c r="K206" i="9"/>
  <c r="L206" i="9"/>
  <c r="M206" i="9"/>
  <c r="N206" i="9"/>
  <c r="O206" i="9"/>
  <c r="P206" i="9"/>
  <c r="Q206" i="9"/>
  <c r="R206" i="9"/>
  <c r="S206" i="9"/>
  <c r="T206" i="9"/>
  <c r="U206" i="9"/>
  <c r="V206" i="9"/>
  <c r="W206" i="9"/>
  <c r="X206" i="9"/>
  <c r="Y206" i="9"/>
  <c r="Z206" i="9"/>
  <c r="AA206" i="9"/>
  <c r="AB206" i="9"/>
  <c r="AC206" i="9"/>
  <c r="AD206" i="9"/>
  <c r="AE206" i="9"/>
  <c r="AF206" i="9"/>
  <c r="AG206" i="9"/>
  <c r="AH206" i="9"/>
  <c r="B207" i="9"/>
  <c r="C207" i="9"/>
  <c r="D207" i="9"/>
  <c r="E207" i="9"/>
  <c r="F207" i="9"/>
  <c r="G207" i="9"/>
  <c r="H207" i="9"/>
  <c r="I207" i="9"/>
  <c r="K207" i="9"/>
  <c r="L207" i="9"/>
  <c r="M207" i="9"/>
  <c r="N207" i="9"/>
  <c r="O207" i="9"/>
  <c r="P207" i="9"/>
  <c r="Q207" i="9"/>
  <c r="R207" i="9"/>
  <c r="S207" i="9"/>
  <c r="T207" i="9"/>
  <c r="U207" i="9"/>
  <c r="V207" i="9"/>
  <c r="W207" i="9"/>
  <c r="X207" i="9"/>
  <c r="Y207" i="9"/>
  <c r="Z207" i="9"/>
  <c r="AA207" i="9"/>
  <c r="AB207" i="9"/>
  <c r="AC207" i="9"/>
  <c r="AD207" i="9"/>
  <c r="AE207" i="9"/>
  <c r="AF207" i="9"/>
  <c r="AG207" i="9"/>
  <c r="AH207" i="9"/>
  <c r="B208" i="9"/>
  <c r="C208" i="9"/>
  <c r="D208" i="9"/>
  <c r="E208" i="9"/>
  <c r="F208" i="9"/>
  <c r="G208" i="9"/>
  <c r="H208" i="9"/>
  <c r="I208" i="9"/>
  <c r="K208" i="9"/>
  <c r="L208" i="9"/>
  <c r="M208" i="9"/>
  <c r="N208" i="9"/>
  <c r="O208" i="9"/>
  <c r="P208" i="9"/>
  <c r="Q208" i="9"/>
  <c r="R208" i="9"/>
  <c r="S208" i="9"/>
  <c r="T208" i="9"/>
  <c r="U208" i="9"/>
  <c r="V208" i="9"/>
  <c r="W208" i="9"/>
  <c r="X208" i="9"/>
  <c r="Y208" i="9"/>
  <c r="Z208" i="9"/>
  <c r="AA208" i="9"/>
  <c r="AB208" i="9"/>
  <c r="AC208" i="9"/>
  <c r="AD208" i="9"/>
  <c r="AE208" i="9"/>
  <c r="AF208" i="9"/>
  <c r="AG208" i="9"/>
  <c r="AH208" i="9"/>
  <c r="B209" i="9"/>
  <c r="C209" i="9"/>
  <c r="D209" i="9"/>
  <c r="E209" i="9"/>
  <c r="F209" i="9"/>
  <c r="G209" i="9"/>
  <c r="H209" i="9"/>
  <c r="I209" i="9"/>
  <c r="K209" i="9"/>
  <c r="L209" i="9"/>
  <c r="M209" i="9"/>
  <c r="N209" i="9"/>
  <c r="O209" i="9"/>
  <c r="P209" i="9"/>
  <c r="Q209" i="9"/>
  <c r="R209" i="9"/>
  <c r="S209" i="9"/>
  <c r="T209" i="9"/>
  <c r="U209" i="9"/>
  <c r="V209" i="9"/>
  <c r="W209" i="9"/>
  <c r="X209" i="9"/>
  <c r="Y209" i="9"/>
  <c r="Z209" i="9"/>
  <c r="AA209" i="9"/>
  <c r="AB209" i="9"/>
  <c r="AC209" i="9"/>
  <c r="AD209" i="9"/>
  <c r="AE209" i="9"/>
  <c r="AF209" i="9"/>
  <c r="AG209" i="9"/>
  <c r="AH209" i="9"/>
  <c r="B210" i="9"/>
  <c r="C210" i="9"/>
  <c r="D210" i="9"/>
  <c r="E210" i="9"/>
  <c r="F210" i="9"/>
  <c r="G210" i="9"/>
  <c r="H210" i="9"/>
  <c r="I210" i="9"/>
  <c r="K210" i="9"/>
  <c r="L210" i="9"/>
  <c r="M210" i="9"/>
  <c r="N210" i="9"/>
  <c r="O210" i="9"/>
  <c r="P210" i="9"/>
  <c r="Q210" i="9"/>
  <c r="R210" i="9"/>
  <c r="S210" i="9"/>
  <c r="T210" i="9"/>
  <c r="U210" i="9"/>
  <c r="V210" i="9"/>
  <c r="W210" i="9"/>
  <c r="X210" i="9"/>
  <c r="Y210" i="9"/>
  <c r="Z210" i="9"/>
  <c r="AA210" i="9"/>
  <c r="AB210" i="9"/>
  <c r="AC210" i="9"/>
  <c r="AD210" i="9"/>
  <c r="AE210" i="9"/>
  <c r="AF210" i="9"/>
  <c r="AG210" i="9"/>
  <c r="AH210" i="9"/>
  <c r="B211" i="9"/>
  <c r="C211" i="9"/>
  <c r="D211" i="9"/>
  <c r="E211" i="9"/>
  <c r="F211" i="9"/>
  <c r="G211" i="9"/>
  <c r="H211" i="9"/>
  <c r="I211" i="9"/>
  <c r="K211" i="9"/>
  <c r="L211" i="9"/>
  <c r="M211" i="9"/>
  <c r="N211" i="9"/>
  <c r="O211" i="9"/>
  <c r="P211" i="9"/>
  <c r="Q211" i="9"/>
  <c r="R211" i="9"/>
  <c r="S211" i="9"/>
  <c r="T211" i="9"/>
  <c r="U211" i="9"/>
  <c r="V211" i="9"/>
  <c r="W211" i="9"/>
  <c r="X211" i="9"/>
  <c r="Y211" i="9"/>
  <c r="Z211" i="9"/>
  <c r="AA211" i="9"/>
  <c r="AB211" i="9"/>
  <c r="AC211" i="9"/>
  <c r="AD211" i="9"/>
  <c r="AE211" i="9"/>
  <c r="AF211" i="9"/>
  <c r="AG211" i="9"/>
  <c r="AH211" i="9"/>
  <c r="B212" i="9"/>
  <c r="C212" i="9"/>
  <c r="D212" i="9"/>
  <c r="E212" i="9"/>
  <c r="F212" i="9"/>
  <c r="G212" i="9"/>
  <c r="H212" i="9"/>
  <c r="I212" i="9"/>
  <c r="K212" i="9"/>
  <c r="L212" i="9"/>
  <c r="M212" i="9"/>
  <c r="N212" i="9"/>
  <c r="O212" i="9"/>
  <c r="P212" i="9"/>
  <c r="Q212" i="9"/>
  <c r="R212" i="9"/>
  <c r="S212" i="9"/>
  <c r="T212" i="9"/>
  <c r="U212" i="9"/>
  <c r="V212" i="9"/>
  <c r="W212" i="9"/>
  <c r="X212" i="9"/>
  <c r="Y212" i="9"/>
  <c r="Z212" i="9"/>
  <c r="AA212" i="9"/>
  <c r="AB212" i="9"/>
  <c r="AC212" i="9"/>
  <c r="AD212" i="9"/>
  <c r="AE212" i="9"/>
  <c r="AF212" i="9"/>
  <c r="AG212" i="9"/>
  <c r="AH212" i="9"/>
  <c r="B213" i="9"/>
  <c r="C213" i="9"/>
  <c r="D213" i="9"/>
  <c r="E213" i="9"/>
  <c r="F213" i="9"/>
  <c r="G213" i="9"/>
  <c r="H213" i="9"/>
  <c r="I213" i="9"/>
  <c r="K213" i="9"/>
  <c r="L213" i="9"/>
  <c r="M213" i="9"/>
  <c r="N213" i="9"/>
  <c r="O213" i="9"/>
  <c r="P213" i="9"/>
  <c r="Q213" i="9"/>
  <c r="R213" i="9"/>
  <c r="S213" i="9"/>
  <c r="T213" i="9"/>
  <c r="U213" i="9"/>
  <c r="V213" i="9"/>
  <c r="W213" i="9"/>
  <c r="X213" i="9"/>
  <c r="Y213" i="9"/>
  <c r="Z213" i="9"/>
  <c r="AA213" i="9"/>
  <c r="AB213" i="9"/>
  <c r="AC213" i="9"/>
  <c r="AD213" i="9"/>
  <c r="AE213" i="9"/>
  <c r="AF213" i="9"/>
  <c r="AG213" i="9"/>
  <c r="AH213" i="9"/>
  <c r="B214" i="9"/>
  <c r="C214" i="9"/>
  <c r="D214" i="9"/>
  <c r="E214" i="9"/>
  <c r="F214" i="9"/>
  <c r="G214" i="9"/>
  <c r="H214" i="9"/>
  <c r="I214" i="9"/>
  <c r="K214" i="9"/>
  <c r="L214" i="9"/>
  <c r="M214" i="9"/>
  <c r="N214" i="9"/>
  <c r="O214" i="9"/>
  <c r="P214" i="9"/>
  <c r="Q214" i="9"/>
  <c r="R214" i="9"/>
  <c r="S214" i="9"/>
  <c r="T214" i="9"/>
  <c r="U214" i="9"/>
  <c r="V214" i="9"/>
  <c r="W214" i="9"/>
  <c r="X214" i="9"/>
  <c r="Y214" i="9"/>
  <c r="Z214" i="9"/>
  <c r="AA214" i="9"/>
  <c r="AB214" i="9"/>
  <c r="AC214" i="9"/>
  <c r="AD214" i="9"/>
  <c r="AE214" i="9"/>
  <c r="AF214" i="9"/>
  <c r="AG214" i="9"/>
  <c r="AH214" i="9"/>
  <c r="B215" i="9"/>
  <c r="C215" i="9"/>
  <c r="D215" i="9"/>
  <c r="E215" i="9"/>
  <c r="F215" i="9"/>
  <c r="G215" i="9"/>
  <c r="H215" i="9"/>
  <c r="I215" i="9"/>
  <c r="K215" i="9"/>
  <c r="L215" i="9"/>
  <c r="M215" i="9"/>
  <c r="N215" i="9"/>
  <c r="O215" i="9"/>
  <c r="P215" i="9"/>
  <c r="Q215" i="9"/>
  <c r="R215" i="9"/>
  <c r="S215" i="9"/>
  <c r="T215" i="9"/>
  <c r="U215" i="9"/>
  <c r="V215" i="9"/>
  <c r="W215" i="9"/>
  <c r="X215" i="9"/>
  <c r="Y215" i="9"/>
  <c r="Z215" i="9"/>
  <c r="AA215" i="9"/>
  <c r="AB215" i="9"/>
  <c r="AC215" i="9"/>
  <c r="AD215" i="9"/>
  <c r="AE215" i="9"/>
  <c r="AF215" i="9"/>
  <c r="AG215" i="9"/>
  <c r="AH215" i="9"/>
  <c r="B216" i="9"/>
  <c r="C216" i="9"/>
  <c r="D216" i="9"/>
  <c r="E216" i="9"/>
  <c r="F216" i="9"/>
  <c r="G216" i="9"/>
  <c r="H216" i="9"/>
  <c r="I216" i="9"/>
  <c r="K216" i="9"/>
  <c r="L216" i="9"/>
  <c r="M216" i="9"/>
  <c r="N216" i="9"/>
  <c r="O216" i="9"/>
  <c r="P216" i="9"/>
  <c r="Q216" i="9"/>
  <c r="R216" i="9"/>
  <c r="S216" i="9"/>
  <c r="T216" i="9"/>
  <c r="U216" i="9"/>
  <c r="V216" i="9"/>
  <c r="W216" i="9"/>
  <c r="X216" i="9"/>
  <c r="Y216" i="9"/>
  <c r="Z216" i="9"/>
  <c r="AA216" i="9"/>
  <c r="AB216" i="9"/>
  <c r="AC216" i="9"/>
  <c r="AD216" i="9"/>
  <c r="AE216" i="9"/>
  <c r="AF216" i="9"/>
  <c r="AG216" i="9"/>
  <c r="AH216" i="9"/>
  <c r="B217" i="9"/>
  <c r="C217" i="9"/>
  <c r="D217" i="9"/>
  <c r="E217" i="9"/>
  <c r="F217" i="9"/>
  <c r="G217" i="9"/>
  <c r="H217" i="9"/>
  <c r="I217" i="9"/>
  <c r="K217" i="9"/>
  <c r="L217" i="9"/>
  <c r="M217" i="9"/>
  <c r="N217" i="9"/>
  <c r="O217" i="9"/>
  <c r="P217" i="9"/>
  <c r="Q217" i="9"/>
  <c r="R217" i="9"/>
  <c r="S217" i="9"/>
  <c r="T217" i="9"/>
  <c r="U217" i="9"/>
  <c r="V217" i="9"/>
  <c r="W217" i="9"/>
  <c r="X217" i="9"/>
  <c r="Y217" i="9"/>
  <c r="Z217" i="9"/>
  <c r="AA217" i="9"/>
  <c r="AB217" i="9"/>
  <c r="AC217" i="9"/>
  <c r="AD217" i="9"/>
  <c r="AE217" i="9"/>
  <c r="AF217" i="9"/>
  <c r="AG217" i="9"/>
  <c r="AH217" i="9"/>
  <c r="B218" i="9"/>
  <c r="C218" i="9"/>
  <c r="D218" i="9"/>
  <c r="E218" i="9"/>
  <c r="F218" i="9"/>
  <c r="G218" i="9"/>
  <c r="H218" i="9"/>
  <c r="I218" i="9"/>
  <c r="K218" i="9"/>
  <c r="L218" i="9"/>
  <c r="M218" i="9"/>
  <c r="N218" i="9"/>
  <c r="O218" i="9"/>
  <c r="P218" i="9"/>
  <c r="Q218" i="9"/>
  <c r="R218" i="9"/>
  <c r="S218" i="9"/>
  <c r="T218" i="9"/>
  <c r="U218" i="9"/>
  <c r="V218" i="9"/>
  <c r="W218" i="9"/>
  <c r="X218" i="9"/>
  <c r="Y218" i="9"/>
  <c r="Z218" i="9"/>
  <c r="AA218" i="9"/>
  <c r="AB218" i="9"/>
  <c r="AC218" i="9"/>
  <c r="AD218" i="9"/>
  <c r="AE218" i="9"/>
  <c r="AF218" i="9"/>
  <c r="AG218" i="9"/>
  <c r="AH218" i="9"/>
  <c r="B219" i="9"/>
  <c r="C219" i="9"/>
  <c r="D219" i="9"/>
  <c r="E219" i="9"/>
  <c r="F219" i="9"/>
  <c r="G219" i="9"/>
  <c r="H219" i="9"/>
  <c r="I219" i="9"/>
  <c r="K219" i="9"/>
  <c r="L219" i="9"/>
  <c r="M219" i="9"/>
  <c r="N219" i="9"/>
  <c r="O219" i="9"/>
  <c r="P219" i="9"/>
  <c r="Q219" i="9"/>
  <c r="R219" i="9"/>
  <c r="S219" i="9"/>
  <c r="T219" i="9"/>
  <c r="U219" i="9"/>
  <c r="V219" i="9"/>
  <c r="W219" i="9"/>
  <c r="X219" i="9"/>
  <c r="Y219" i="9"/>
  <c r="Z219" i="9"/>
  <c r="AA219" i="9"/>
  <c r="AB219" i="9"/>
  <c r="AC219" i="9"/>
  <c r="AD219" i="9"/>
  <c r="AE219" i="9"/>
  <c r="AF219" i="9"/>
  <c r="AG219" i="9"/>
  <c r="AH219" i="9"/>
  <c r="B220" i="9"/>
  <c r="C220" i="9"/>
  <c r="D220" i="9"/>
  <c r="E220" i="9"/>
  <c r="F220" i="9"/>
  <c r="G220" i="9"/>
  <c r="H220" i="9"/>
  <c r="I220" i="9"/>
  <c r="K220" i="9"/>
  <c r="L220" i="9"/>
  <c r="M220" i="9"/>
  <c r="N220" i="9"/>
  <c r="O220" i="9"/>
  <c r="P220" i="9"/>
  <c r="Q220" i="9"/>
  <c r="R220" i="9"/>
  <c r="S220" i="9"/>
  <c r="T220" i="9"/>
  <c r="U220" i="9"/>
  <c r="V220" i="9"/>
  <c r="W220" i="9"/>
  <c r="X220" i="9"/>
  <c r="Y220" i="9"/>
  <c r="Z220" i="9"/>
  <c r="AA220" i="9"/>
  <c r="AB220" i="9"/>
  <c r="AC220" i="9"/>
  <c r="AD220" i="9"/>
  <c r="AE220" i="9"/>
  <c r="AF220" i="9"/>
  <c r="AG220" i="9"/>
  <c r="AH220" i="9"/>
  <c r="B221" i="9"/>
  <c r="C221" i="9"/>
  <c r="D221" i="9"/>
  <c r="E221" i="9"/>
  <c r="F221" i="9"/>
  <c r="G221" i="9"/>
  <c r="H221" i="9"/>
  <c r="I221" i="9"/>
  <c r="K221" i="9"/>
  <c r="L221" i="9"/>
  <c r="M221" i="9"/>
  <c r="N221" i="9"/>
  <c r="O221" i="9"/>
  <c r="P221" i="9"/>
  <c r="Q221" i="9"/>
  <c r="R221" i="9"/>
  <c r="S221" i="9"/>
  <c r="T221" i="9"/>
  <c r="U221" i="9"/>
  <c r="V221" i="9"/>
  <c r="W221" i="9"/>
  <c r="X221" i="9"/>
  <c r="Y221" i="9"/>
  <c r="Z221" i="9"/>
  <c r="AA221" i="9"/>
  <c r="AB221" i="9"/>
  <c r="AC221" i="9"/>
  <c r="AD221" i="9"/>
  <c r="AE221" i="9"/>
  <c r="AF221" i="9"/>
  <c r="AG221" i="9"/>
  <c r="AH221" i="9"/>
  <c r="B222" i="9"/>
  <c r="C222" i="9"/>
  <c r="D222" i="9"/>
  <c r="E222" i="9"/>
  <c r="F222" i="9"/>
  <c r="G222" i="9"/>
  <c r="H222" i="9"/>
  <c r="I222" i="9"/>
  <c r="K222" i="9"/>
  <c r="L222" i="9"/>
  <c r="M222" i="9"/>
  <c r="N222" i="9"/>
  <c r="O222" i="9"/>
  <c r="P222" i="9"/>
  <c r="Q222" i="9"/>
  <c r="R222" i="9"/>
  <c r="S222" i="9"/>
  <c r="T222" i="9"/>
  <c r="U222" i="9"/>
  <c r="V222" i="9"/>
  <c r="W222" i="9"/>
  <c r="X222" i="9"/>
  <c r="Y222" i="9"/>
  <c r="Z222" i="9"/>
  <c r="AA222" i="9"/>
  <c r="AB222" i="9"/>
  <c r="AC222" i="9"/>
  <c r="AD222" i="9"/>
  <c r="AE222" i="9"/>
  <c r="AF222" i="9"/>
  <c r="AG222" i="9"/>
  <c r="AH222" i="9"/>
  <c r="B223" i="9"/>
  <c r="C223" i="9"/>
  <c r="D223" i="9"/>
  <c r="E223" i="9"/>
  <c r="F223" i="9"/>
  <c r="G223" i="9"/>
  <c r="H223" i="9"/>
  <c r="I223" i="9"/>
  <c r="K223" i="9"/>
  <c r="L223" i="9"/>
  <c r="M223" i="9"/>
  <c r="N223" i="9"/>
  <c r="O223" i="9"/>
  <c r="P223" i="9"/>
  <c r="Q223" i="9"/>
  <c r="R223" i="9"/>
  <c r="S223" i="9"/>
  <c r="T223" i="9"/>
  <c r="U223" i="9"/>
  <c r="V223" i="9"/>
  <c r="W223" i="9"/>
  <c r="X223" i="9"/>
  <c r="Y223" i="9"/>
  <c r="Z223" i="9"/>
  <c r="AA223" i="9"/>
  <c r="AB223" i="9"/>
  <c r="AC223" i="9"/>
  <c r="AD223" i="9"/>
  <c r="AE223" i="9"/>
  <c r="AF223" i="9"/>
  <c r="AG223" i="9"/>
  <c r="AH223" i="9"/>
  <c r="B224" i="9"/>
  <c r="C224" i="9"/>
  <c r="D224" i="9"/>
  <c r="E224" i="9"/>
  <c r="F224" i="9"/>
  <c r="G224" i="9"/>
  <c r="H224" i="9"/>
  <c r="I224" i="9"/>
  <c r="K224" i="9"/>
  <c r="L224" i="9"/>
  <c r="M224" i="9"/>
  <c r="N224" i="9"/>
  <c r="O224" i="9"/>
  <c r="P224" i="9"/>
  <c r="Q224" i="9"/>
  <c r="R224" i="9"/>
  <c r="S224" i="9"/>
  <c r="T224" i="9"/>
  <c r="U224" i="9"/>
  <c r="V224" i="9"/>
  <c r="W224" i="9"/>
  <c r="X224" i="9"/>
  <c r="Y224" i="9"/>
  <c r="Z224" i="9"/>
  <c r="AA224" i="9"/>
  <c r="AB224" i="9"/>
  <c r="AC224" i="9"/>
  <c r="AD224" i="9"/>
  <c r="AE224" i="9"/>
  <c r="AF224" i="9"/>
  <c r="AG224" i="9"/>
  <c r="AH224" i="9"/>
  <c r="B225" i="9"/>
  <c r="C225" i="9"/>
  <c r="D225" i="9"/>
  <c r="E225" i="9"/>
  <c r="F225" i="9"/>
  <c r="G225" i="9"/>
  <c r="H225" i="9"/>
  <c r="I225" i="9"/>
  <c r="K225" i="9"/>
  <c r="L225" i="9"/>
  <c r="M225" i="9"/>
  <c r="N225" i="9"/>
  <c r="O225" i="9"/>
  <c r="P225" i="9"/>
  <c r="Q225" i="9"/>
  <c r="R225" i="9"/>
  <c r="S225" i="9"/>
  <c r="T225" i="9"/>
  <c r="U225" i="9"/>
  <c r="V225" i="9"/>
  <c r="W225" i="9"/>
  <c r="X225" i="9"/>
  <c r="Y225" i="9"/>
  <c r="Z225" i="9"/>
  <c r="AA225" i="9"/>
  <c r="AB225" i="9"/>
  <c r="AC225" i="9"/>
  <c r="AD225" i="9"/>
  <c r="AE225" i="9"/>
  <c r="AF225" i="9"/>
  <c r="AG225" i="9"/>
  <c r="AH225" i="9"/>
  <c r="B226" i="9"/>
  <c r="C226" i="9"/>
  <c r="D226" i="9"/>
  <c r="E226" i="9"/>
  <c r="F226" i="9"/>
  <c r="G226" i="9"/>
  <c r="H226" i="9"/>
  <c r="I226" i="9"/>
  <c r="K226" i="9"/>
  <c r="L226" i="9"/>
  <c r="M226" i="9"/>
  <c r="N226" i="9"/>
  <c r="O226" i="9"/>
  <c r="P226" i="9"/>
  <c r="Q226" i="9"/>
  <c r="R226" i="9"/>
  <c r="S226" i="9"/>
  <c r="T226" i="9"/>
  <c r="U226" i="9"/>
  <c r="V226" i="9"/>
  <c r="W226" i="9"/>
  <c r="X226" i="9"/>
  <c r="Y226" i="9"/>
  <c r="Z226" i="9"/>
  <c r="AA226" i="9"/>
  <c r="AB226" i="9"/>
  <c r="AC226" i="9"/>
  <c r="AD226" i="9"/>
  <c r="AE226" i="9"/>
  <c r="AF226" i="9"/>
  <c r="AG226" i="9"/>
  <c r="AH226" i="9"/>
  <c r="B227" i="9"/>
  <c r="C227" i="9"/>
  <c r="D227" i="9"/>
  <c r="E227" i="9"/>
  <c r="F227" i="9"/>
  <c r="G227" i="9"/>
  <c r="H227" i="9"/>
  <c r="I227" i="9"/>
  <c r="K227" i="9"/>
  <c r="L227" i="9"/>
  <c r="M227" i="9"/>
  <c r="N227" i="9"/>
  <c r="O227" i="9"/>
  <c r="P227" i="9"/>
  <c r="Q227" i="9"/>
  <c r="R227" i="9"/>
  <c r="S227" i="9"/>
  <c r="T227" i="9"/>
  <c r="U227" i="9"/>
  <c r="V227" i="9"/>
  <c r="W227" i="9"/>
  <c r="X227" i="9"/>
  <c r="Y227" i="9"/>
  <c r="Z227" i="9"/>
  <c r="AA227" i="9"/>
  <c r="AB227" i="9"/>
  <c r="AC227" i="9"/>
  <c r="AD227" i="9"/>
  <c r="AE227" i="9"/>
  <c r="AF227" i="9"/>
  <c r="AG227" i="9"/>
  <c r="AH227" i="9"/>
  <c r="B228" i="9"/>
  <c r="C228" i="9"/>
  <c r="D228" i="9"/>
  <c r="E228" i="9"/>
  <c r="F228" i="9"/>
  <c r="G228" i="9"/>
  <c r="H228" i="9"/>
  <c r="I228" i="9"/>
  <c r="K228" i="9"/>
  <c r="L228" i="9"/>
  <c r="M228" i="9"/>
  <c r="N228" i="9"/>
  <c r="O228" i="9"/>
  <c r="P228" i="9"/>
  <c r="Q228" i="9"/>
  <c r="R228" i="9"/>
  <c r="S228" i="9"/>
  <c r="T228" i="9"/>
  <c r="U228" i="9"/>
  <c r="V228" i="9"/>
  <c r="W228" i="9"/>
  <c r="X228" i="9"/>
  <c r="Y228" i="9"/>
  <c r="Z228" i="9"/>
  <c r="AA228" i="9"/>
  <c r="AB228" i="9"/>
  <c r="AC228" i="9"/>
  <c r="AD228" i="9"/>
  <c r="AE228" i="9"/>
  <c r="AF228" i="9"/>
  <c r="AG228" i="9"/>
  <c r="AH228" i="9"/>
  <c r="B229" i="9"/>
  <c r="C229" i="9"/>
  <c r="D229" i="9"/>
  <c r="E229" i="9"/>
  <c r="F229" i="9"/>
  <c r="G229" i="9"/>
  <c r="H229" i="9"/>
  <c r="I229" i="9"/>
  <c r="K229" i="9"/>
  <c r="L229" i="9"/>
  <c r="M229" i="9"/>
  <c r="N229" i="9"/>
  <c r="O229" i="9"/>
  <c r="P229" i="9"/>
  <c r="Q229" i="9"/>
  <c r="R229" i="9"/>
  <c r="S229" i="9"/>
  <c r="T229" i="9"/>
  <c r="U229" i="9"/>
  <c r="V229" i="9"/>
  <c r="W229" i="9"/>
  <c r="X229" i="9"/>
  <c r="Y229" i="9"/>
  <c r="Z229" i="9"/>
  <c r="AA229" i="9"/>
  <c r="AB229" i="9"/>
  <c r="AC229" i="9"/>
  <c r="AD229" i="9"/>
  <c r="AE229" i="9"/>
  <c r="AF229" i="9"/>
  <c r="AG229" i="9"/>
  <c r="AH229" i="9"/>
  <c r="B230" i="9"/>
  <c r="C230" i="9"/>
  <c r="D230" i="9"/>
  <c r="E230" i="9"/>
  <c r="F230" i="9"/>
  <c r="G230" i="9"/>
  <c r="H230" i="9"/>
  <c r="I230" i="9"/>
  <c r="K230" i="9"/>
  <c r="L230" i="9"/>
  <c r="M230" i="9"/>
  <c r="N230" i="9"/>
  <c r="O230" i="9"/>
  <c r="P230" i="9"/>
  <c r="Q230" i="9"/>
  <c r="R230" i="9"/>
  <c r="S230" i="9"/>
  <c r="T230" i="9"/>
  <c r="U230" i="9"/>
  <c r="V230" i="9"/>
  <c r="W230" i="9"/>
  <c r="X230" i="9"/>
  <c r="Y230" i="9"/>
  <c r="Z230" i="9"/>
  <c r="AA230" i="9"/>
  <c r="AB230" i="9"/>
  <c r="AC230" i="9"/>
  <c r="AD230" i="9"/>
  <c r="AE230" i="9"/>
  <c r="AF230" i="9"/>
  <c r="AG230" i="9"/>
  <c r="AH230" i="9"/>
  <c r="B231" i="9"/>
  <c r="C231" i="9"/>
  <c r="D231" i="9"/>
  <c r="E231" i="9"/>
  <c r="F231" i="9"/>
  <c r="G231" i="9"/>
  <c r="H231" i="9"/>
  <c r="I231" i="9"/>
  <c r="K231" i="9"/>
  <c r="L231" i="9"/>
  <c r="M231" i="9"/>
  <c r="N231" i="9"/>
  <c r="O231" i="9"/>
  <c r="P231" i="9"/>
  <c r="Q231" i="9"/>
  <c r="R231" i="9"/>
  <c r="S231" i="9"/>
  <c r="T231" i="9"/>
  <c r="U231" i="9"/>
  <c r="V231" i="9"/>
  <c r="W231" i="9"/>
  <c r="X231" i="9"/>
  <c r="Y231" i="9"/>
  <c r="Z231" i="9"/>
  <c r="AA231" i="9"/>
  <c r="AB231" i="9"/>
  <c r="AC231" i="9"/>
  <c r="AD231" i="9"/>
  <c r="AE231" i="9"/>
  <c r="AF231" i="9"/>
  <c r="AG231" i="9"/>
  <c r="AH231" i="9"/>
  <c r="B232" i="9"/>
  <c r="C232" i="9"/>
  <c r="D232" i="9"/>
  <c r="E232" i="9"/>
  <c r="F232" i="9"/>
  <c r="G232" i="9"/>
  <c r="H232" i="9"/>
  <c r="I232" i="9"/>
  <c r="K232" i="9"/>
  <c r="L232" i="9"/>
  <c r="M232" i="9"/>
  <c r="N232" i="9"/>
  <c r="O232" i="9"/>
  <c r="P232" i="9"/>
  <c r="Q232" i="9"/>
  <c r="R232" i="9"/>
  <c r="S232" i="9"/>
  <c r="T232" i="9"/>
  <c r="U232" i="9"/>
  <c r="V232" i="9"/>
  <c r="W232" i="9"/>
  <c r="X232" i="9"/>
  <c r="Y232" i="9"/>
  <c r="Z232" i="9"/>
  <c r="AA232" i="9"/>
  <c r="AB232" i="9"/>
  <c r="AC232" i="9"/>
  <c r="AD232" i="9"/>
  <c r="AE232" i="9"/>
  <c r="AF232" i="9"/>
  <c r="AG232" i="9"/>
  <c r="AH232" i="9"/>
  <c r="B233" i="9"/>
  <c r="C233" i="9"/>
  <c r="D233" i="9"/>
  <c r="E233" i="9"/>
  <c r="F233" i="9"/>
  <c r="G233" i="9"/>
  <c r="H233" i="9"/>
  <c r="I233" i="9"/>
  <c r="K233" i="9"/>
  <c r="L233" i="9"/>
  <c r="M233" i="9"/>
  <c r="N233" i="9"/>
  <c r="O233" i="9"/>
  <c r="P233" i="9"/>
  <c r="Q233" i="9"/>
  <c r="R233" i="9"/>
  <c r="S233" i="9"/>
  <c r="T233" i="9"/>
  <c r="U233" i="9"/>
  <c r="V233" i="9"/>
  <c r="W233" i="9"/>
  <c r="X233" i="9"/>
  <c r="Y233" i="9"/>
  <c r="Z233" i="9"/>
  <c r="AA233" i="9"/>
  <c r="AB233" i="9"/>
  <c r="AC233" i="9"/>
  <c r="AD233" i="9"/>
  <c r="AE233" i="9"/>
  <c r="AF233" i="9"/>
  <c r="AG233" i="9"/>
  <c r="AH233" i="9"/>
  <c r="B234" i="9"/>
  <c r="C234" i="9"/>
  <c r="D234" i="9"/>
  <c r="E234" i="9"/>
  <c r="F234" i="9"/>
  <c r="G234" i="9"/>
  <c r="H234" i="9"/>
  <c r="I234" i="9"/>
  <c r="K234" i="9"/>
  <c r="L234" i="9"/>
  <c r="M234" i="9"/>
  <c r="N234" i="9"/>
  <c r="O234" i="9"/>
  <c r="P234" i="9"/>
  <c r="Q234" i="9"/>
  <c r="R234" i="9"/>
  <c r="S234" i="9"/>
  <c r="T234" i="9"/>
  <c r="U234" i="9"/>
  <c r="V234" i="9"/>
  <c r="W234" i="9"/>
  <c r="X234" i="9"/>
  <c r="Y234" i="9"/>
  <c r="Z234" i="9"/>
  <c r="AA234" i="9"/>
  <c r="AB234" i="9"/>
  <c r="AC234" i="9"/>
  <c r="AD234" i="9"/>
  <c r="AE234" i="9"/>
  <c r="AF234" i="9"/>
  <c r="AG234" i="9"/>
  <c r="AH234" i="9"/>
  <c r="B235" i="9"/>
  <c r="C235" i="9"/>
  <c r="D235" i="9"/>
  <c r="E235" i="9"/>
  <c r="F235" i="9"/>
  <c r="G235" i="9"/>
  <c r="H235" i="9"/>
  <c r="I235" i="9"/>
  <c r="K235" i="9"/>
  <c r="L235" i="9"/>
  <c r="M235" i="9"/>
  <c r="N235" i="9"/>
  <c r="O235" i="9"/>
  <c r="P235" i="9"/>
  <c r="Q235" i="9"/>
  <c r="R235" i="9"/>
  <c r="S235" i="9"/>
  <c r="T235" i="9"/>
  <c r="U235" i="9"/>
  <c r="V235" i="9"/>
  <c r="W235" i="9"/>
  <c r="X235" i="9"/>
  <c r="Y235" i="9"/>
  <c r="Z235" i="9"/>
  <c r="AA235" i="9"/>
  <c r="AB235" i="9"/>
  <c r="AC235" i="9"/>
  <c r="AD235" i="9"/>
  <c r="AE235" i="9"/>
  <c r="AF235" i="9"/>
  <c r="AG235" i="9"/>
  <c r="AH235" i="9"/>
  <c r="B236" i="9"/>
  <c r="C236" i="9"/>
  <c r="D236" i="9"/>
  <c r="E236" i="9"/>
  <c r="F236" i="9"/>
  <c r="G236" i="9"/>
  <c r="H236" i="9"/>
  <c r="I236" i="9"/>
  <c r="K236" i="9"/>
  <c r="L236" i="9"/>
  <c r="M236" i="9"/>
  <c r="N236" i="9"/>
  <c r="O236" i="9"/>
  <c r="P236" i="9"/>
  <c r="Q236" i="9"/>
  <c r="R236" i="9"/>
  <c r="S236" i="9"/>
  <c r="T236" i="9"/>
  <c r="U236" i="9"/>
  <c r="V236" i="9"/>
  <c r="W236" i="9"/>
  <c r="X236" i="9"/>
  <c r="Y236" i="9"/>
  <c r="Z236" i="9"/>
  <c r="AA236" i="9"/>
  <c r="AB236" i="9"/>
  <c r="AC236" i="9"/>
  <c r="AD236" i="9"/>
  <c r="AE236" i="9"/>
  <c r="AF236" i="9"/>
  <c r="AG236" i="9"/>
  <c r="AH236" i="9"/>
  <c r="B237" i="9"/>
  <c r="C237" i="9"/>
  <c r="D237" i="9"/>
  <c r="E237" i="9"/>
  <c r="F237" i="9"/>
  <c r="G237" i="9"/>
  <c r="H237" i="9"/>
  <c r="I237" i="9"/>
  <c r="K237" i="9"/>
  <c r="L237" i="9"/>
  <c r="M237" i="9"/>
  <c r="N237" i="9"/>
  <c r="O237" i="9"/>
  <c r="P237" i="9"/>
  <c r="Q237" i="9"/>
  <c r="R237" i="9"/>
  <c r="S237" i="9"/>
  <c r="T237" i="9"/>
  <c r="U237" i="9"/>
  <c r="V237" i="9"/>
  <c r="W237" i="9"/>
  <c r="X237" i="9"/>
  <c r="Y237" i="9"/>
  <c r="Z237" i="9"/>
  <c r="AA237" i="9"/>
  <c r="AB237" i="9"/>
  <c r="AC237" i="9"/>
  <c r="AD237" i="9"/>
  <c r="AE237" i="9"/>
  <c r="AF237" i="9"/>
  <c r="AG237" i="9"/>
  <c r="AH237" i="9"/>
  <c r="B238" i="9"/>
  <c r="C238" i="9"/>
  <c r="D238" i="9"/>
  <c r="E238" i="9"/>
  <c r="F238" i="9"/>
  <c r="G238" i="9"/>
  <c r="H238" i="9"/>
  <c r="I238" i="9"/>
  <c r="K238" i="9"/>
  <c r="L238" i="9"/>
  <c r="M238" i="9"/>
  <c r="N238" i="9"/>
  <c r="O238" i="9"/>
  <c r="P238" i="9"/>
  <c r="Q238" i="9"/>
  <c r="R238" i="9"/>
  <c r="S238" i="9"/>
  <c r="T238" i="9"/>
  <c r="U238" i="9"/>
  <c r="V238" i="9"/>
  <c r="W238" i="9"/>
  <c r="X238" i="9"/>
  <c r="Y238" i="9"/>
  <c r="Z238" i="9"/>
  <c r="AA238" i="9"/>
  <c r="AB238" i="9"/>
  <c r="AC238" i="9"/>
  <c r="AD238" i="9"/>
  <c r="AE238" i="9"/>
  <c r="AF238" i="9"/>
  <c r="AG238" i="9"/>
  <c r="AH238" i="9"/>
  <c r="B239" i="9"/>
  <c r="C239" i="9"/>
  <c r="D239" i="9"/>
  <c r="E239" i="9"/>
  <c r="F239" i="9"/>
  <c r="G239" i="9"/>
  <c r="H239" i="9"/>
  <c r="I239" i="9"/>
  <c r="K239" i="9"/>
  <c r="L239" i="9"/>
  <c r="M239" i="9"/>
  <c r="N239" i="9"/>
  <c r="O239" i="9"/>
  <c r="P239" i="9"/>
  <c r="Q239" i="9"/>
  <c r="R239" i="9"/>
  <c r="S239" i="9"/>
  <c r="T239" i="9"/>
  <c r="U239" i="9"/>
  <c r="V239" i="9"/>
  <c r="W239" i="9"/>
  <c r="X239" i="9"/>
  <c r="Y239" i="9"/>
  <c r="Z239" i="9"/>
  <c r="AA239" i="9"/>
  <c r="AB239" i="9"/>
  <c r="AC239" i="9"/>
  <c r="AD239" i="9"/>
  <c r="AE239" i="9"/>
  <c r="AF239" i="9"/>
  <c r="AG239" i="9"/>
  <c r="AH239" i="9"/>
  <c r="B240" i="9"/>
  <c r="C240" i="9"/>
  <c r="D240" i="9"/>
  <c r="E240" i="9"/>
  <c r="F240" i="9"/>
  <c r="G240" i="9"/>
  <c r="H240" i="9"/>
  <c r="I240" i="9"/>
  <c r="K240" i="9"/>
  <c r="L240" i="9"/>
  <c r="M240" i="9"/>
  <c r="N240" i="9"/>
  <c r="O240" i="9"/>
  <c r="P240" i="9"/>
  <c r="Q240" i="9"/>
  <c r="R240" i="9"/>
  <c r="S240" i="9"/>
  <c r="T240" i="9"/>
  <c r="U240" i="9"/>
  <c r="V240" i="9"/>
  <c r="W240" i="9"/>
  <c r="X240" i="9"/>
  <c r="Y240" i="9"/>
  <c r="Z240" i="9"/>
  <c r="AA240" i="9"/>
  <c r="AB240" i="9"/>
  <c r="AC240" i="9"/>
  <c r="AD240" i="9"/>
  <c r="AE240" i="9"/>
  <c r="AF240" i="9"/>
  <c r="AG240" i="9"/>
  <c r="AH240" i="9"/>
  <c r="B241" i="9"/>
  <c r="C241" i="9"/>
  <c r="D241" i="9"/>
  <c r="E241" i="9"/>
  <c r="F241" i="9"/>
  <c r="G241" i="9"/>
  <c r="H241" i="9"/>
  <c r="I241" i="9"/>
  <c r="K241" i="9"/>
  <c r="L241" i="9"/>
  <c r="M241" i="9"/>
  <c r="N241" i="9"/>
  <c r="O241" i="9"/>
  <c r="P241" i="9"/>
  <c r="Q241" i="9"/>
  <c r="R241" i="9"/>
  <c r="S241" i="9"/>
  <c r="T241" i="9"/>
  <c r="U241" i="9"/>
  <c r="V241" i="9"/>
  <c r="W241" i="9"/>
  <c r="X241" i="9"/>
  <c r="Y241" i="9"/>
  <c r="Z241" i="9"/>
  <c r="AA241" i="9"/>
  <c r="AB241" i="9"/>
  <c r="AC241" i="9"/>
  <c r="AD241" i="9"/>
  <c r="AE241" i="9"/>
  <c r="AF241" i="9"/>
  <c r="AG241" i="9"/>
  <c r="AH241" i="9"/>
  <c r="B242" i="9"/>
  <c r="C242" i="9"/>
  <c r="D242" i="9"/>
  <c r="E242" i="9"/>
  <c r="F242" i="9"/>
  <c r="G242" i="9"/>
  <c r="H242" i="9"/>
  <c r="I242" i="9"/>
  <c r="K242" i="9"/>
  <c r="L242" i="9"/>
  <c r="M242" i="9"/>
  <c r="N242" i="9"/>
  <c r="O242" i="9"/>
  <c r="P242" i="9"/>
  <c r="Q242" i="9"/>
  <c r="R242" i="9"/>
  <c r="S242" i="9"/>
  <c r="T242" i="9"/>
  <c r="U242" i="9"/>
  <c r="V242" i="9"/>
  <c r="W242" i="9"/>
  <c r="X242" i="9"/>
  <c r="Y242" i="9"/>
  <c r="Z242" i="9"/>
  <c r="AA242" i="9"/>
  <c r="AB242" i="9"/>
  <c r="AC242" i="9"/>
  <c r="AD242" i="9"/>
  <c r="AE242" i="9"/>
  <c r="AF242" i="9"/>
  <c r="AG242" i="9"/>
  <c r="AH242" i="9"/>
  <c r="B243" i="9"/>
  <c r="C243" i="9"/>
  <c r="D243" i="9"/>
  <c r="E243" i="9"/>
  <c r="F243" i="9"/>
  <c r="G243" i="9"/>
  <c r="H243" i="9"/>
  <c r="I243" i="9"/>
  <c r="K243" i="9"/>
  <c r="L243" i="9"/>
  <c r="M243" i="9"/>
  <c r="N243" i="9"/>
  <c r="O243" i="9"/>
  <c r="P243" i="9"/>
  <c r="Q243" i="9"/>
  <c r="R243" i="9"/>
  <c r="S243" i="9"/>
  <c r="T243" i="9"/>
  <c r="U243" i="9"/>
  <c r="V243" i="9"/>
  <c r="W243" i="9"/>
  <c r="X243" i="9"/>
  <c r="Y243" i="9"/>
  <c r="Z243" i="9"/>
  <c r="AA243" i="9"/>
  <c r="AB243" i="9"/>
  <c r="AC243" i="9"/>
  <c r="AD243" i="9"/>
  <c r="AE243" i="9"/>
  <c r="AF243" i="9"/>
  <c r="AG243" i="9"/>
  <c r="AH243" i="9"/>
  <c r="B244" i="9"/>
  <c r="C244" i="9"/>
  <c r="D244" i="9"/>
  <c r="E244" i="9"/>
  <c r="F244" i="9"/>
  <c r="G244" i="9"/>
  <c r="H244" i="9"/>
  <c r="I244" i="9"/>
  <c r="K244" i="9"/>
  <c r="L244" i="9"/>
  <c r="M244" i="9"/>
  <c r="N244" i="9"/>
  <c r="O244" i="9"/>
  <c r="P244" i="9"/>
  <c r="Q244" i="9"/>
  <c r="R244" i="9"/>
  <c r="S244" i="9"/>
  <c r="T244" i="9"/>
  <c r="U244" i="9"/>
  <c r="V244" i="9"/>
  <c r="W244" i="9"/>
  <c r="X244" i="9"/>
  <c r="Y244" i="9"/>
  <c r="Z244" i="9"/>
  <c r="AA244" i="9"/>
  <c r="AB244" i="9"/>
  <c r="AC244" i="9"/>
  <c r="AD244" i="9"/>
  <c r="AE244" i="9"/>
  <c r="AF244" i="9"/>
  <c r="AG244" i="9"/>
  <c r="AH244" i="9"/>
  <c r="B245" i="9"/>
  <c r="C245" i="9"/>
  <c r="D245" i="9"/>
  <c r="E245" i="9"/>
  <c r="F245" i="9"/>
  <c r="G245" i="9"/>
  <c r="H245" i="9"/>
  <c r="I245" i="9"/>
  <c r="K245" i="9"/>
  <c r="L245" i="9"/>
  <c r="M245" i="9"/>
  <c r="N245" i="9"/>
  <c r="O245" i="9"/>
  <c r="P245" i="9"/>
  <c r="Q245" i="9"/>
  <c r="R245" i="9"/>
  <c r="S245" i="9"/>
  <c r="T245" i="9"/>
  <c r="U245" i="9"/>
  <c r="V245" i="9"/>
  <c r="W245" i="9"/>
  <c r="X245" i="9"/>
  <c r="Y245" i="9"/>
  <c r="Z245" i="9"/>
  <c r="AA245" i="9"/>
  <c r="AB245" i="9"/>
  <c r="AC245" i="9"/>
  <c r="AD245" i="9"/>
  <c r="AE245" i="9"/>
  <c r="AF245" i="9"/>
  <c r="AG245" i="9"/>
  <c r="AH245" i="9"/>
  <c r="B246" i="9"/>
  <c r="C246" i="9"/>
  <c r="D246" i="9"/>
  <c r="E246" i="9"/>
  <c r="F246" i="9"/>
  <c r="G246" i="9"/>
  <c r="H246" i="9"/>
  <c r="I246" i="9"/>
  <c r="K246" i="9"/>
  <c r="L246" i="9"/>
  <c r="M246" i="9"/>
  <c r="N246" i="9"/>
  <c r="O246" i="9"/>
  <c r="P246" i="9"/>
  <c r="Q246" i="9"/>
  <c r="R246" i="9"/>
  <c r="S246" i="9"/>
  <c r="T246" i="9"/>
  <c r="U246" i="9"/>
  <c r="V246" i="9"/>
  <c r="W246" i="9"/>
  <c r="X246" i="9"/>
  <c r="Y246" i="9"/>
  <c r="Z246" i="9"/>
  <c r="AA246" i="9"/>
  <c r="AB246" i="9"/>
  <c r="AC246" i="9"/>
  <c r="AD246" i="9"/>
  <c r="AE246" i="9"/>
  <c r="AF246" i="9"/>
  <c r="AG246" i="9"/>
  <c r="AH246" i="9"/>
  <c r="B247" i="9"/>
  <c r="C247" i="9"/>
  <c r="D247" i="9"/>
  <c r="E247" i="9"/>
  <c r="F247" i="9"/>
  <c r="G247" i="9"/>
  <c r="H247" i="9"/>
  <c r="I247" i="9"/>
  <c r="K247" i="9"/>
  <c r="L247" i="9"/>
  <c r="M247" i="9"/>
  <c r="N247" i="9"/>
  <c r="O247" i="9"/>
  <c r="P247" i="9"/>
  <c r="Q247" i="9"/>
  <c r="R247" i="9"/>
  <c r="S247" i="9"/>
  <c r="T247" i="9"/>
  <c r="U247" i="9"/>
  <c r="V247" i="9"/>
  <c r="W247" i="9"/>
  <c r="X247" i="9"/>
  <c r="Y247" i="9"/>
  <c r="Z247" i="9"/>
  <c r="AA247" i="9"/>
  <c r="AB247" i="9"/>
  <c r="AC247" i="9"/>
  <c r="AD247" i="9"/>
  <c r="AE247" i="9"/>
  <c r="AF247" i="9"/>
  <c r="AG247" i="9"/>
  <c r="AH247" i="9"/>
  <c r="B248" i="9"/>
  <c r="C248" i="9"/>
  <c r="D248" i="9"/>
  <c r="E248" i="9"/>
  <c r="F248" i="9"/>
  <c r="G248" i="9"/>
  <c r="H248" i="9"/>
  <c r="I248" i="9"/>
  <c r="K248" i="9"/>
  <c r="L248" i="9"/>
  <c r="M248" i="9"/>
  <c r="N248" i="9"/>
  <c r="O248" i="9"/>
  <c r="P248" i="9"/>
  <c r="Q248" i="9"/>
  <c r="R248" i="9"/>
  <c r="S248" i="9"/>
  <c r="T248" i="9"/>
  <c r="U248" i="9"/>
  <c r="V248" i="9"/>
  <c r="W248" i="9"/>
  <c r="X248" i="9"/>
  <c r="Y248" i="9"/>
  <c r="Z248" i="9"/>
  <c r="AA248" i="9"/>
  <c r="AB248" i="9"/>
  <c r="AC248" i="9"/>
  <c r="AD248" i="9"/>
  <c r="AE248" i="9"/>
  <c r="AF248" i="9"/>
  <c r="AG248" i="9"/>
  <c r="AH248" i="9"/>
  <c r="B249" i="9"/>
  <c r="C249" i="9"/>
  <c r="D249" i="9"/>
  <c r="E249" i="9"/>
  <c r="F249" i="9"/>
  <c r="G249" i="9"/>
  <c r="H249" i="9"/>
  <c r="I249" i="9"/>
  <c r="K249" i="9"/>
  <c r="L249" i="9"/>
  <c r="M249" i="9"/>
  <c r="N249" i="9"/>
  <c r="O249" i="9"/>
  <c r="P249" i="9"/>
  <c r="Q249" i="9"/>
  <c r="R249" i="9"/>
  <c r="S249" i="9"/>
  <c r="T249" i="9"/>
  <c r="U249" i="9"/>
  <c r="V249" i="9"/>
  <c r="W249" i="9"/>
  <c r="X249" i="9"/>
  <c r="Y249" i="9"/>
  <c r="Z249" i="9"/>
  <c r="AA249" i="9"/>
  <c r="AB249" i="9"/>
  <c r="AC249" i="9"/>
  <c r="AD249" i="9"/>
  <c r="AE249" i="9"/>
  <c r="AF249" i="9"/>
  <c r="AG249" i="9"/>
  <c r="AH249" i="9"/>
  <c r="B250" i="9"/>
  <c r="C250" i="9"/>
  <c r="D250" i="9"/>
  <c r="E250" i="9"/>
  <c r="F250" i="9"/>
  <c r="G250" i="9"/>
  <c r="H250" i="9"/>
  <c r="I250" i="9"/>
  <c r="K250" i="9"/>
  <c r="L250" i="9"/>
  <c r="M250" i="9"/>
  <c r="N250" i="9"/>
  <c r="O250" i="9"/>
  <c r="P250" i="9"/>
  <c r="Q250" i="9"/>
  <c r="R250" i="9"/>
  <c r="S250" i="9"/>
  <c r="T250" i="9"/>
  <c r="U250" i="9"/>
  <c r="V250" i="9"/>
  <c r="W250" i="9"/>
  <c r="X250" i="9"/>
  <c r="Y250" i="9"/>
  <c r="Z250" i="9"/>
  <c r="AA250" i="9"/>
  <c r="AB250" i="9"/>
  <c r="AC250" i="9"/>
  <c r="AD250" i="9"/>
  <c r="AE250" i="9"/>
  <c r="AF250" i="9"/>
  <c r="AG250" i="9"/>
  <c r="AH250" i="9"/>
  <c r="B251" i="9"/>
  <c r="C251" i="9"/>
  <c r="D251" i="9"/>
  <c r="E251" i="9"/>
  <c r="F251" i="9"/>
  <c r="G251" i="9"/>
  <c r="H251" i="9"/>
  <c r="I251" i="9"/>
  <c r="K251" i="9"/>
  <c r="L251" i="9"/>
  <c r="M251" i="9"/>
  <c r="N251" i="9"/>
  <c r="O251" i="9"/>
  <c r="P251" i="9"/>
  <c r="Q251" i="9"/>
  <c r="R251" i="9"/>
  <c r="S251" i="9"/>
  <c r="T251" i="9"/>
  <c r="U251" i="9"/>
  <c r="V251" i="9"/>
  <c r="W251" i="9"/>
  <c r="X251" i="9"/>
  <c r="Y251" i="9"/>
  <c r="Z251" i="9"/>
  <c r="AA251" i="9"/>
  <c r="AB251" i="9"/>
  <c r="AC251" i="9"/>
  <c r="AD251" i="9"/>
  <c r="AE251" i="9"/>
  <c r="AF251" i="9"/>
  <c r="AG251" i="9"/>
  <c r="AH251" i="9"/>
  <c r="B252" i="9"/>
  <c r="C252" i="9"/>
  <c r="D252" i="9"/>
  <c r="E252" i="9"/>
  <c r="F252" i="9"/>
  <c r="G252" i="9"/>
  <c r="H252" i="9"/>
  <c r="I252" i="9"/>
  <c r="K252" i="9"/>
  <c r="L252" i="9"/>
  <c r="M252" i="9"/>
  <c r="N252" i="9"/>
  <c r="O252" i="9"/>
  <c r="P252" i="9"/>
  <c r="Q252" i="9"/>
  <c r="R252" i="9"/>
  <c r="S252" i="9"/>
  <c r="T252" i="9"/>
  <c r="U252" i="9"/>
  <c r="V252" i="9"/>
  <c r="W252" i="9"/>
  <c r="X252" i="9"/>
  <c r="Y252" i="9"/>
  <c r="Z252" i="9"/>
  <c r="AA252" i="9"/>
  <c r="AB252" i="9"/>
  <c r="AC252" i="9"/>
  <c r="AD252" i="9"/>
  <c r="AE252" i="9"/>
  <c r="AF252" i="9"/>
  <c r="AG252" i="9"/>
  <c r="AH252" i="9"/>
  <c r="B253" i="9"/>
  <c r="C253" i="9"/>
  <c r="D253" i="9"/>
  <c r="E253" i="9"/>
  <c r="F253" i="9"/>
  <c r="G253" i="9"/>
  <c r="H253" i="9"/>
  <c r="I253" i="9"/>
  <c r="K253" i="9"/>
  <c r="L253" i="9"/>
  <c r="M253" i="9"/>
  <c r="N253" i="9"/>
  <c r="O253" i="9"/>
  <c r="P253" i="9"/>
  <c r="Q253" i="9"/>
  <c r="R253" i="9"/>
  <c r="S253" i="9"/>
  <c r="T253" i="9"/>
  <c r="U253" i="9"/>
  <c r="V253" i="9"/>
  <c r="W253" i="9"/>
  <c r="X253" i="9"/>
  <c r="Y253" i="9"/>
  <c r="Z253" i="9"/>
  <c r="AA253" i="9"/>
  <c r="AB253" i="9"/>
  <c r="AC253" i="9"/>
  <c r="AD253" i="9"/>
  <c r="AE253" i="9"/>
  <c r="AF253" i="9"/>
  <c r="AG253" i="9"/>
  <c r="AH253" i="9"/>
  <c r="B254" i="9"/>
  <c r="C254" i="9"/>
  <c r="D254" i="9"/>
  <c r="E254" i="9"/>
  <c r="F254" i="9"/>
  <c r="G254" i="9"/>
  <c r="H254" i="9"/>
  <c r="I254" i="9"/>
  <c r="K254" i="9"/>
  <c r="L254" i="9"/>
  <c r="M254" i="9"/>
  <c r="N254" i="9"/>
  <c r="O254" i="9"/>
  <c r="P254" i="9"/>
  <c r="Q254" i="9"/>
  <c r="R254" i="9"/>
  <c r="S254" i="9"/>
  <c r="T254" i="9"/>
  <c r="U254" i="9"/>
  <c r="V254" i="9"/>
  <c r="W254" i="9"/>
  <c r="X254" i="9"/>
  <c r="Y254" i="9"/>
  <c r="Z254" i="9"/>
  <c r="AA254" i="9"/>
  <c r="AB254" i="9"/>
  <c r="AC254" i="9"/>
  <c r="AD254" i="9"/>
  <c r="AE254" i="9"/>
  <c r="AF254" i="9"/>
  <c r="AG254" i="9"/>
  <c r="AH254" i="9"/>
  <c r="B255" i="9"/>
  <c r="C255" i="9"/>
  <c r="D255" i="9"/>
  <c r="E255" i="9"/>
  <c r="F255" i="9"/>
  <c r="G255" i="9"/>
  <c r="H255" i="9"/>
  <c r="I255" i="9"/>
  <c r="K255" i="9"/>
  <c r="L255" i="9"/>
  <c r="M255" i="9"/>
  <c r="N255" i="9"/>
  <c r="O255" i="9"/>
  <c r="P255" i="9"/>
  <c r="Q255" i="9"/>
  <c r="R255" i="9"/>
  <c r="S255" i="9"/>
  <c r="T255" i="9"/>
  <c r="U255" i="9"/>
  <c r="V255" i="9"/>
  <c r="W255" i="9"/>
  <c r="X255" i="9"/>
  <c r="Y255" i="9"/>
  <c r="Z255" i="9"/>
  <c r="AA255" i="9"/>
  <c r="AB255" i="9"/>
  <c r="AC255" i="9"/>
  <c r="AD255" i="9"/>
  <c r="AE255" i="9"/>
  <c r="AF255" i="9"/>
  <c r="AG255" i="9"/>
  <c r="AH255" i="9"/>
  <c r="B256" i="9"/>
  <c r="C256" i="9"/>
  <c r="D256" i="9"/>
  <c r="E256" i="9"/>
  <c r="F256" i="9"/>
  <c r="G256" i="9"/>
  <c r="H256" i="9"/>
  <c r="I256" i="9"/>
  <c r="K256" i="9"/>
  <c r="L256" i="9"/>
  <c r="M256" i="9"/>
  <c r="N256" i="9"/>
  <c r="O256" i="9"/>
  <c r="P256" i="9"/>
  <c r="Q256" i="9"/>
  <c r="R256" i="9"/>
  <c r="S256" i="9"/>
  <c r="T256" i="9"/>
  <c r="U256" i="9"/>
  <c r="V256" i="9"/>
  <c r="W256" i="9"/>
  <c r="X256" i="9"/>
  <c r="Y256" i="9"/>
  <c r="Z256" i="9"/>
  <c r="AA256" i="9"/>
  <c r="AB256" i="9"/>
  <c r="AC256" i="9"/>
  <c r="AD256" i="9"/>
  <c r="AE256" i="9"/>
  <c r="AF256" i="9"/>
  <c r="AG256" i="9"/>
  <c r="AH256" i="9"/>
  <c r="B257" i="9"/>
  <c r="C257" i="9"/>
  <c r="D257" i="9"/>
  <c r="E257" i="9"/>
  <c r="F257" i="9"/>
  <c r="G257" i="9"/>
  <c r="H257" i="9"/>
  <c r="I257" i="9"/>
  <c r="K257" i="9"/>
  <c r="L257" i="9"/>
  <c r="M257" i="9"/>
  <c r="N257" i="9"/>
  <c r="O257" i="9"/>
  <c r="P257" i="9"/>
  <c r="Q257" i="9"/>
  <c r="R257" i="9"/>
  <c r="S257" i="9"/>
  <c r="T257" i="9"/>
  <c r="U257" i="9"/>
  <c r="V257" i="9"/>
  <c r="W257" i="9"/>
  <c r="X257" i="9"/>
  <c r="Y257" i="9"/>
  <c r="Z257" i="9"/>
  <c r="AA257" i="9"/>
  <c r="AB257" i="9"/>
  <c r="AC257" i="9"/>
  <c r="AD257" i="9"/>
  <c r="AE257" i="9"/>
  <c r="AF257" i="9"/>
  <c r="AG257" i="9"/>
  <c r="AH257" i="9"/>
  <c r="B258" i="9"/>
  <c r="C258" i="9"/>
  <c r="D258" i="9"/>
  <c r="E258" i="9"/>
  <c r="F258" i="9"/>
  <c r="G258" i="9"/>
  <c r="H258" i="9"/>
  <c r="I258" i="9"/>
  <c r="K258" i="9"/>
  <c r="L258" i="9"/>
  <c r="M258" i="9"/>
  <c r="N258" i="9"/>
  <c r="O258" i="9"/>
  <c r="P258" i="9"/>
  <c r="Q258" i="9"/>
  <c r="R258" i="9"/>
  <c r="S258" i="9"/>
  <c r="T258" i="9"/>
  <c r="U258" i="9"/>
  <c r="V258" i="9"/>
  <c r="W258" i="9"/>
  <c r="X258" i="9"/>
  <c r="Y258" i="9"/>
  <c r="Z258" i="9"/>
  <c r="AA258" i="9"/>
  <c r="AB258" i="9"/>
  <c r="AC258" i="9"/>
  <c r="AD258" i="9"/>
  <c r="AE258" i="9"/>
  <c r="AF258" i="9"/>
  <c r="AG258" i="9"/>
  <c r="AH258" i="9"/>
  <c r="B259" i="9"/>
  <c r="C259" i="9"/>
  <c r="D259" i="9"/>
  <c r="E259" i="9"/>
  <c r="F259" i="9"/>
  <c r="G259" i="9"/>
  <c r="H259" i="9"/>
  <c r="I259" i="9"/>
  <c r="K259" i="9"/>
  <c r="L259" i="9"/>
  <c r="M259" i="9"/>
  <c r="N259" i="9"/>
  <c r="O259" i="9"/>
  <c r="P259" i="9"/>
  <c r="Q259" i="9"/>
  <c r="R259" i="9"/>
  <c r="S259" i="9"/>
  <c r="T259" i="9"/>
  <c r="U259" i="9"/>
  <c r="V259" i="9"/>
  <c r="W259" i="9"/>
  <c r="X259" i="9"/>
  <c r="Y259" i="9"/>
  <c r="Z259" i="9"/>
  <c r="AA259" i="9"/>
  <c r="AB259" i="9"/>
  <c r="AC259" i="9"/>
  <c r="AD259" i="9"/>
  <c r="AE259" i="9"/>
  <c r="AF259" i="9"/>
  <c r="AG259" i="9"/>
  <c r="AH259" i="9"/>
  <c r="B260" i="9"/>
  <c r="C260" i="9"/>
  <c r="D260" i="9"/>
  <c r="E260" i="9"/>
  <c r="F260" i="9"/>
  <c r="G260" i="9"/>
  <c r="H260" i="9"/>
  <c r="I260" i="9"/>
  <c r="K260" i="9"/>
  <c r="L260" i="9"/>
  <c r="M260" i="9"/>
  <c r="N260" i="9"/>
  <c r="O260" i="9"/>
  <c r="P260" i="9"/>
  <c r="Q260" i="9"/>
  <c r="R260" i="9"/>
  <c r="S260" i="9"/>
  <c r="T260" i="9"/>
  <c r="U260" i="9"/>
  <c r="V260" i="9"/>
  <c r="W260" i="9"/>
  <c r="X260" i="9"/>
  <c r="Y260" i="9"/>
  <c r="Z260" i="9"/>
  <c r="AA260" i="9"/>
  <c r="AB260" i="9"/>
  <c r="AC260" i="9"/>
  <c r="AD260" i="9"/>
  <c r="AE260" i="9"/>
  <c r="AF260" i="9"/>
  <c r="AG260" i="9"/>
  <c r="AH260" i="9"/>
  <c r="B261" i="9"/>
  <c r="C261" i="9"/>
  <c r="D261" i="9"/>
  <c r="E261" i="9"/>
  <c r="F261" i="9"/>
  <c r="G261" i="9"/>
  <c r="H261" i="9"/>
  <c r="I261" i="9"/>
  <c r="K261" i="9"/>
  <c r="L261" i="9"/>
  <c r="M261" i="9"/>
  <c r="N261" i="9"/>
  <c r="O261" i="9"/>
  <c r="P261" i="9"/>
  <c r="Q261" i="9"/>
  <c r="R261" i="9"/>
  <c r="S261" i="9"/>
  <c r="T261" i="9"/>
  <c r="U261" i="9"/>
  <c r="V261" i="9"/>
  <c r="W261" i="9"/>
  <c r="X261" i="9"/>
  <c r="Y261" i="9"/>
  <c r="Z261" i="9"/>
  <c r="AA261" i="9"/>
  <c r="AB261" i="9"/>
  <c r="AC261" i="9"/>
  <c r="AD261" i="9"/>
  <c r="AE261" i="9"/>
  <c r="AF261" i="9"/>
  <c r="AG261" i="9"/>
  <c r="AH261" i="9"/>
  <c r="B262" i="9"/>
  <c r="C262" i="9"/>
  <c r="D262" i="9"/>
  <c r="E262" i="9"/>
  <c r="F262" i="9"/>
  <c r="G262" i="9"/>
  <c r="H262" i="9"/>
  <c r="I262" i="9"/>
  <c r="K262" i="9"/>
  <c r="L262" i="9"/>
  <c r="M262" i="9"/>
  <c r="N262" i="9"/>
  <c r="O262" i="9"/>
  <c r="P262" i="9"/>
  <c r="Q262" i="9"/>
  <c r="R262" i="9"/>
  <c r="S262" i="9"/>
  <c r="T262" i="9"/>
  <c r="U262" i="9"/>
  <c r="V262" i="9"/>
  <c r="W262" i="9"/>
  <c r="X262" i="9"/>
  <c r="Y262" i="9"/>
  <c r="Z262" i="9"/>
  <c r="AA262" i="9"/>
  <c r="AB262" i="9"/>
  <c r="AC262" i="9"/>
  <c r="AD262" i="9"/>
  <c r="AE262" i="9"/>
  <c r="AF262" i="9"/>
  <c r="AG262" i="9"/>
  <c r="AH262" i="9"/>
  <c r="B263" i="9"/>
  <c r="C263" i="9"/>
  <c r="D263" i="9"/>
  <c r="E263" i="9"/>
  <c r="F263" i="9"/>
  <c r="G263" i="9"/>
  <c r="H263" i="9"/>
  <c r="I263" i="9"/>
  <c r="K263" i="9"/>
  <c r="L263" i="9"/>
  <c r="M263" i="9"/>
  <c r="N263" i="9"/>
  <c r="O263" i="9"/>
  <c r="P263" i="9"/>
  <c r="Q263" i="9"/>
  <c r="R263" i="9"/>
  <c r="S263" i="9"/>
  <c r="T263" i="9"/>
  <c r="U263" i="9"/>
  <c r="V263" i="9"/>
  <c r="W263" i="9"/>
  <c r="X263" i="9"/>
  <c r="Y263" i="9"/>
  <c r="Z263" i="9"/>
  <c r="AA263" i="9"/>
  <c r="AB263" i="9"/>
  <c r="AC263" i="9"/>
  <c r="AD263" i="9"/>
  <c r="AE263" i="9"/>
  <c r="AF263" i="9"/>
  <c r="AG263" i="9"/>
  <c r="AH263" i="9"/>
  <c r="B264" i="9"/>
  <c r="C264" i="9"/>
  <c r="D264" i="9"/>
  <c r="E264" i="9"/>
  <c r="F264" i="9"/>
  <c r="G264" i="9"/>
  <c r="H264" i="9"/>
  <c r="I264" i="9"/>
  <c r="K264" i="9"/>
  <c r="L264" i="9"/>
  <c r="M264" i="9"/>
  <c r="N264" i="9"/>
  <c r="O264" i="9"/>
  <c r="P264" i="9"/>
  <c r="Q264" i="9"/>
  <c r="R264" i="9"/>
  <c r="S264" i="9"/>
  <c r="T264" i="9"/>
  <c r="U264" i="9"/>
  <c r="V264" i="9"/>
  <c r="W264" i="9"/>
  <c r="X264" i="9"/>
  <c r="Y264" i="9"/>
  <c r="Z264" i="9"/>
  <c r="AA264" i="9"/>
  <c r="AB264" i="9"/>
  <c r="AC264" i="9"/>
  <c r="AD264" i="9"/>
  <c r="AE264" i="9"/>
  <c r="AF264" i="9"/>
  <c r="AG264" i="9"/>
  <c r="AH264" i="9"/>
  <c r="B265" i="9"/>
  <c r="C265" i="9"/>
  <c r="D265" i="9"/>
  <c r="E265" i="9"/>
  <c r="F265" i="9"/>
  <c r="G265" i="9"/>
  <c r="H265" i="9"/>
  <c r="I265" i="9"/>
  <c r="K265" i="9"/>
  <c r="L265" i="9"/>
  <c r="M265" i="9"/>
  <c r="N265" i="9"/>
  <c r="O265" i="9"/>
  <c r="P265" i="9"/>
  <c r="Q265" i="9"/>
  <c r="R265" i="9"/>
  <c r="S265" i="9"/>
  <c r="T265" i="9"/>
  <c r="U265" i="9"/>
  <c r="V265" i="9"/>
  <c r="W265" i="9"/>
  <c r="X265" i="9"/>
  <c r="Y265" i="9"/>
  <c r="Z265" i="9"/>
  <c r="AA265" i="9"/>
  <c r="AB265" i="9"/>
  <c r="AC265" i="9"/>
  <c r="AD265" i="9"/>
  <c r="AE265" i="9"/>
  <c r="AF265" i="9"/>
  <c r="AG265" i="9"/>
  <c r="AH265" i="9"/>
  <c r="B266" i="9"/>
  <c r="C266" i="9"/>
  <c r="D266" i="9"/>
  <c r="E266" i="9"/>
  <c r="F266" i="9"/>
  <c r="G266" i="9"/>
  <c r="H266" i="9"/>
  <c r="I266" i="9"/>
  <c r="K266" i="9"/>
  <c r="L266" i="9"/>
  <c r="M266" i="9"/>
  <c r="N266" i="9"/>
  <c r="O266" i="9"/>
  <c r="P266" i="9"/>
  <c r="Q266" i="9"/>
  <c r="R266" i="9"/>
  <c r="S266" i="9"/>
  <c r="T266" i="9"/>
  <c r="U266" i="9"/>
  <c r="V266" i="9"/>
  <c r="W266" i="9"/>
  <c r="X266" i="9"/>
  <c r="Y266" i="9"/>
  <c r="Z266" i="9"/>
  <c r="AA266" i="9"/>
  <c r="AB266" i="9"/>
  <c r="AC266" i="9"/>
  <c r="AD266" i="9"/>
  <c r="AE266" i="9"/>
  <c r="AF266" i="9"/>
  <c r="AG266" i="9"/>
  <c r="AH266" i="9"/>
  <c r="B267" i="9"/>
  <c r="C267" i="9"/>
  <c r="D267" i="9"/>
  <c r="E267" i="9"/>
  <c r="F267" i="9"/>
  <c r="G267" i="9"/>
  <c r="H267" i="9"/>
  <c r="I267" i="9"/>
  <c r="K267" i="9"/>
  <c r="L267" i="9"/>
  <c r="M267" i="9"/>
  <c r="N267" i="9"/>
  <c r="O267" i="9"/>
  <c r="P267" i="9"/>
  <c r="Q267" i="9"/>
  <c r="R267" i="9"/>
  <c r="S267" i="9"/>
  <c r="T267" i="9"/>
  <c r="U267" i="9"/>
  <c r="V267" i="9"/>
  <c r="W267" i="9"/>
  <c r="X267" i="9"/>
  <c r="Y267" i="9"/>
  <c r="Z267" i="9"/>
  <c r="AA267" i="9"/>
  <c r="AB267" i="9"/>
  <c r="AC267" i="9"/>
  <c r="AD267" i="9"/>
  <c r="AE267" i="9"/>
  <c r="AF267" i="9"/>
  <c r="AG267" i="9"/>
  <c r="AH267" i="9"/>
  <c r="B268" i="9"/>
  <c r="C268" i="9"/>
  <c r="D268" i="9"/>
  <c r="E268" i="9"/>
  <c r="F268" i="9"/>
  <c r="G268" i="9"/>
  <c r="H268" i="9"/>
  <c r="I268" i="9"/>
  <c r="K268" i="9"/>
  <c r="L268" i="9"/>
  <c r="M268" i="9"/>
  <c r="N268" i="9"/>
  <c r="O268" i="9"/>
  <c r="P268" i="9"/>
  <c r="Q268" i="9"/>
  <c r="R268" i="9"/>
  <c r="S268" i="9"/>
  <c r="T268" i="9"/>
  <c r="U268" i="9"/>
  <c r="V268" i="9"/>
  <c r="W268" i="9"/>
  <c r="X268" i="9"/>
  <c r="Y268" i="9"/>
  <c r="Z268" i="9"/>
  <c r="AA268" i="9"/>
  <c r="AB268" i="9"/>
  <c r="AC268" i="9"/>
  <c r="AD268" i="9"/>
  <c r="AE268" i="9"/>
  <c r="AF268" i="9"/>
  <c r="AG268" i="9"/>
  <c r="AH268" i="9"/>
  <c r="B269" i="9"/>
  <c r="C269" i="9"/>
  <c r="D269" i="9"/>
  <c r="E269" i="9"/>
  <c r="F269" i="9"/>
  <c r="G269" i="9"/>
  <c r="H269" i="9"/>
  <c r="I269" i="9"/>
  <c r="K269" i="9"/>
  <c r="L269" i="9"/>
  <c r="M269" i="9"/>
  <c r="N269" i="9"/>
  <c r="O269" i="9"/>
  <c r="P269" i="9"/>
  <c r="Q269" i="9"/>
  <c r="R269" i="9"/>
  <c r="S269" i="9"/>
  <c r="T269" i="9"/>
  <c r="U269" i="9"/>
  <c r="V269" i="9"/>
  <c r="W269" i="9"/>
  <c r="X269" i="9"/>
  <c r="Y269" i="9"/>
  <c r="Z269" i="9"/>
  <c r="AA269" i="9"/>
  <c r="AB269" i="9"/>
  <c r="AC269" i="9"/>
  <c r="AD269" i="9"/>
  <c r="AE269" i="9"/>
  <c r="AF269" i="9"/>
  <c r="AG269" i="9"/>
  <c r="AH269" i="9"/>
  <c r="B270" i="9"/>
  <c r="C270" i="9"/>
  <c r="D270" i="9"/>
  <c r="E270" i="9"/>
  <c r="F270" i="9"/>
  <c r="G270" i="9"/>
  <c r="H270" i="9"/>
  <c r="I270" i="9"/>
  <c r="K270" i="9"/>
  <c r="L270" i="9"/>
  <c r="M270" i="9"/>
  <c r="N270" i="9"/>
  <c r="O270" i="9"/>
  <c r="P270" i="9"/>
  <c r="Q270" i="9"/>
  <c r="R270" i="9"/>
  <c r="S270" i="9"/>
  <c r="T270" i="9"/>
  <c r="U270" i="9"/>
  <c r="V270" i="9"/>
  <c r="W270" i="9"/>
  <c r="X270" i="9"/>
  <c r="Y270" i="9"/>
  <c r="Z270" i="9"/>
  <c r="AA270" i="9"/>
  <c r="AB270" i="9"/>
  <c r="AC270" i="9"/>
  <c r="AD270" i="9"/>
  <c r="AE270" i="9"/>
  <c r="AF270" i="9"/>
  <c r="AG270" i="9"/>
  <c r="AH270" i="9"/>
  <c r="B271" i="9"/>
  <c r="C271" i="9"/>
  <c r="D271" i="9"/>
  <c r="E271" i="9"/>
  <c r="F271" i="9"/>
  <c r="G271" i="9"/>
  <c r="H271" i="9"/>
  <c r="I271" i="9"/>
  <c r="K271" i="9"/>
  <c r="L271" i="9"/>
  <c r="M271" i="9"/>
  <c r="N271" i="9"/>
  <c r="O271" i="9"/>
  <c r="P271" i="9"/>
  <c r="Q271" i="9"/>
  <c r="R271" i="9"/>
  <c r="S271" i="9"/>
  <c r="T271" i="9"/>
  <c r="U271" i="9"/>
  <c r="V271" i="9"/>
  <c r="W271" i="9"/>
  <c r="X271" i="9"/>
  <c r="Y271" i="9"/>
  <c r="Z271" i="9"/>
  <c r="AA271" i="9"/>
  <c r="AB271" i="9"/>
  <c r="AC271" i="9"/>
  <c r="AD271" i="9"/>
  <c r="AE271" i="9"/>
  <c r="AF271" i="9"/>
  <c r="AG271" i="9"/>
  <c r="AH271" i="9"/>
  <c r="B272" i="9"/>
  <c r="C272" i="9"/>
  <c r="D272" i="9"/>
  <c r="E272" i="9"/>
  <c r="F272" i="9"/>
  <c r="G272" i="9"/>
  <c r="H272" i="9"/>
  <c r="I272" i="9"/>
  <c r="K272" i="9"/>
  <c r="L272" i="9"/>
  <c r="M272" i="9"/>
  <c r="N272" i="9"/>
  <c r="O272" i="9"/>
  <c r="P272" i="9"/>
  <c r="Q272" i="9"/>
  <c r="R272" i="9"/>
  <c r="S272" i="9"/>
  <c r="T272" i="9"/>
  <c r="U272" i="9"/>
  <c r="V272" i="9"/>
  <c r="W272" i="9"/>
  <c r="X272" i="9"/>
  <c r="Y272" i="9"/>
  <c r="Z272" i="9"/>
  <c r="AA272" i="9"/>
  <c r="AB272" i="9"/>
  <c r="AC272" i="9"/>
  <c r="AD272" i="9"/>
  <c r="AE272" i="9"/>
  <c r="AF272" i="9"/>
  <c r="AG272" i="9"/>
  <c r="AH272" i="9"/>
  <c r="B273" i="9"/>
  <c r="C273" i="9"/>
  <c r="D273" i="9"/>
  <c r="E273" i="9"/>
  <c r="F273" i="9"/>
  <c r="G273" i="9"/>
  <c r="H273" i="9"/>
  <c r="I273" i="9"/>
  <c r="K273" i="9"/>
  <c r="L273" i="9"/>
  <c r="M273" i="9"/>
  <c r="N273" i="9"/>
  <c r="O273" i="9"/>
  <c r="P273" i="9"/>
  <c r="Q273" i="9"/>
  <c r="R273" i="9"/>
  <c r="S273" i="9"/>
  <c r="T273" i="9"/>
  <c r="U273" i="9"/>
  <c r="V273" i="9"/>
  <c r="W273" i="9"/>
  <c r="X273" i="9"/>
  <c r="Y273" i="9"/>
  <c r="Z273" i="9"/>
  <c r="AA273" i="9"/>
  <c r="AB273" i="9"/>
  <c r="AC273" i="9"/>
  <c r="AD273" i="9"/>
  <c r="AE273" i="9"/>
  <c r="AF273" i="9"/>
  <c r="AG273" i="9"/>
  <c r="AH273" i="9"/>
  <c r="B274" i="9"/>
  <c r="C274" i="9"/>
  <c r="D274" i="9"/>
  <c r="E274" i="9"/>
  <c r="F274" i="9"/>
  <c r="G274" i="9"/>
  <c r="H274" i="9"/>
  <c r="I274" i="9"/>
  <c r="K274" i="9"/>
  <c r="L274" i="9"/>
  <c r="M274" i="9"/>
  <c r="N274" i="9"/>
  <c r="O274" i="9"/>
  <c r="P274" i="9"/>
  <c r="Q274" i="9"/>
  <c r="R274" i="9"/>
  <c r="S274" i="9"/>
  <c r="T274" i="9"/>
  <c r="U274" i="9"/>
  <c r="V274" i="9"/>
  <c r="W274" i="9"/>
  <c r="X274" i="9"/>
  <c r="Y274" i="9"/>
  <c r="Z274" i="9"/>
  <c r="AA274" i="9"/>
  <c r="AB274" i="9"/>
  <c r="AC274" i="9"/>
  <c r="AD274" i="9"/>
  <c r="AE274" i="9"/>
  <c r="AF274" i="9"/>
  <c r="AG274" i="9"/>
  <c r="AH274" i="9"/>
  <c r="B275" i="9"/>
  <c r="C275" i="9"/>
  <c r="D275" i="9"/>
  <c r="E275" i="9"/>
  <c r="F275" i="9"/>
  <c r="G275" i="9"/>
  <c r="H275" i="9"/>
  <c r="I275" i="9"/>
  <c r="K275" i="9"/>
  <c r="L275" i="9"/>
  <c r="M275" i="9"/>
  <c r="N275" i="9"/>
  <c r="O275" i="9"/>
  <c r="P275" i="9"/>
  <c r="Q275" i="9"/>
  <c r="R275" i="9"/>
  <c r="S275" i="9"/>
  <c r="T275" i="9"/>
  <c r="U275" i="9"/>
  <c r="V275" i="9"/>
  <c r="W275" i="9"/>
  <c r="X275" i="9"/>
  <c r="Y275" i="9"/>
  <c r="Z275" i="9"/>
  <c r="AA275" i="9"/>
  <c r="AB275" i="9"/>
  <c r="AC275" i="9"/>
  <c r="AD275" i="9"/>
  <c r="AE275" i="9"/>
  <c r="AF275" i="9"/>
  <c r="AG275" i="9"/>
  <c r="AH275" i="9"/>
  <c r="B276" i="9"/>
  <c r="C276" i="9"/>
  <c r="D276" i="9"/>
  <c r="E276" i="9"/>
  <c r="F276" i="9"/>
  <c r="G276" i="9"/>
  <c r="H276" i="9"/>
  <c r="I276" i="9"/>
  <c r="K276" i="9"/>
  <c r="L276" i="9"/>
  <c r="M276" i="9"/>
  <c r="N276" i="9"/>
  <c r="O276" i="9"/>
  <c r="P276" i="9"/>
  <c r="Q276" i="9"/>
  <c r="R276" i="9"/>
  <c r="S276" i="9"/>
  <c r="T276" i="9"/>
  <c r="U276" i="9"/>
  <c r="V276" i="9"/>
  <c r="W276" i="9"/>
  <c r="X276" i="9"/>
  <c r="Y276" i="9"/>
  <c r="Z276" i="9"/>
  <c r="AA276" i="9"/>
  <c r="AB276" i="9"/>
  <c r="AC276" i="9"/>
  <c r="AD276" i="9"/>
  <c r="AE276" i="9"/>
  <c r="AF276" i="9"/>
  <c r="AG276" i="9"/>
  <c r="AH276" i="9"/>
  <c r="B277" i="9"/>
  <c r="C277" i="9"/>
  <c r="D277" i="9"/>
  <c r="E277" i="9"/>
  <c r="F277" i="9"/>
  <c r="G277" i="9"/>
  <c r="H277" i="9"/>
  <c r="I277" i="9"/>
  <c r="K277" i="9"/>
  <c r="L277" i="9"/>
  <c r="M277" i="9"/>
  <c r="N277" i="9"/>
  <c r="O277" i="9"/>
  <c r="P277" i="9"/>
  <c r="Q277" i="9"/>
  <c r="R277" i="9"/>
  <c r="S277" i="9"/>
  <c r="T277" i="9"/>
  <c r="U277" i="9"/>
  <c r="V277" i="9"/>
  <c r="W277" i="9"/>
  <c r="X277" i="9"/>
  <c r="Y277" i="9"/>
  <c r="Z277" i="9"/>
  <c r="AA277" i="9"/>
  <c r="AB277" i="9"/>
  <c r="AC277" i="9"/>
  <c r="AD277" i="9"/>
  <c r="AE277" i="9"/>
  <c r="AF277" i="9"/>
  <c r="AG277" i="9"/>
  <c r="AH277" i="9"/>
  <c r="B278" i="9"/>
  <c r="C278" i="9"/>
  <c r="D278" i="9"/>
  <c r="E278" i="9"/>
  <c r="F278" i="9"/>
  <c r="G278" i="9"/>
  <c r="H278" i="9"/>
  <c r="I278" i="9"/>
  <c r="K278" i="9"/>
  <c r="L278" i="9"/>
  <c r="M278" i="9"/>
  <c r="N278" i="9"/>
  <c r="O278" i="9"/>
  <c r="P278" i="9"/>
  <c r="Q278" i="9"/>
  <c r="R278" i="9"/>
  <c r="S278" i="9"/>
  <c r="T278" i="9"/>
  <c r="U278" i="9"/>
  <c r="V278" i="9"/>
  <c r="W278" i="9"/>
  <c r="X278" i="9"/>
  <c r="Y278" i="9"/>
  <c r="Z278" i="9"/>
  <c r="AA278" i="9"/>
  <c r="AB278" i="9"/>
  <c r="AC278" i="9"/>
  <c r="AD278" i="9"/>
  <c r="AE278" i="9"/>
  <c r="AF278" i="9"/>
  <c r="AG278" i="9"/>
  <c r="AH278" i="9"/>
  <c r="B279" i="9"/>
  <c r="C279" i="9"/>
  <c r="D279" i="9"/>
  <c r="E279" i="9"/>
  <c r="F279" i="9"/>
  <c r="G279" i="9"/>
  <c r="H279" i="9"/>
  <c r="I279" i="9"/>
  <c r="K279" i="9"/>
  <c r="L279" i="9"/>
  <c r="M279" i="9"/>
  <c r="N279" i="9"/>
  <c r="O279" i="9"/>
  <c r="P279" i="9"/>
  <c r="Q279" i="9"/>
  <c r="R279" i="9"/>
  <c r="S279" i="9"/>
  <c r="T279" i="9"/>
  <c r="U279" i="9"/>
  <c r="V279" i="9"/>
  <c r="W279" i="9"/>
  <c r="X279" i="9"/>
  <c r="Y279" i="9"/>
  <c r="Z279" i="9"/>
  <c r="AA279" i="9"/>
  <c r="AB279" i="9"/>
  <c r="AC279" i="9"/>
  <c r="AD279" i="9"/>
  <c r="AE279" i="9"/>
  <c r="AF279" i="9"/>
  <c r="AG279" i="9"/>
  <c r="AH279" i="9"/>
  <c r="B280" i="9"/>
  <c r="C280" i="9"/>
  <c r="D280" i="9"/>
  <c r="E280" i="9"/>
  <c r="F280" i="9"/>
  <c r="G280" i="9"/>
  <c r="H280" i="9"/>
  <c r="I280" i="9"/>
  <c r="K280" i="9"/>
  <c r="L280" i="9"/>
  <c r="M280" i="9"/>
  <c r="N280" i="9"/>
  <c r="O280" i="9"/>
  <c r="P280" i="9"/>
  <c r="Q280" i="9"/>
  <c r="R280" i="9"/>
  <c r="S280" i="9"/>
  <c r="T280" i="9"/>
  <c r="U280" i="9"/>
  <c r="V280" i="9"/>
  <c r="W280" i="9"/>
  <c r="X280" i="9"/>
  <c r="Y280" i="9"/>
  <c r="Z280" i="9"/>
  <c r="AA280" i="9"/>
  <c r="AB280" i="9"/>
  <c r="AC280" i="9"/>
  <c r="AD280" i="9"/>
  <c r="AE280" i="9"/>
  <c r="AF280" i="9"/>
  <c r="AG280" i="9"/>
  <c r="AH280" i="9"/>
  <c r="B281" i="9"/>
  <c r="C281" i="9"/>
  <c r="D281" i="9"/>
  <c r="E281" i="9"/>
  <c r="F281" i="9"/>
  <c r="G281" i="9"/>
  <c r="H281" i="9"/>
  <c r="I281" i="9"/>
  <c r="K281" i="9"/>
  <c r="L281" i="9"/>
  <c r="M281" i="9"/>
  <c r="N281" i="9"/>
  <c r="O281" i="9"/>
  <c r="P281" i="9"/>
  <c r="Q281" i="9"/>
  <c r="R281" i="9"/>
  <c r="S281" i="9"/>
  <c r="T281" i="9"/>
  <c r="U281" i="9"/>
  <c r="V281" i="9"/>
  <c r="W281" i="9"/>
  <c r="X281" i="9"/>
  <c r="Y281" i="9"/>
  <c r="Z281" i="9"/>
  <c r="AA281" i="9"/>
  <c r="AB281" i="9"/>
  <c r="AC281" i="9"/>
  <c r="AD281" i="9"/>
  <c r="AE281" i="9"/>
  <c r="AF281" i="9"/>
  <c r="AG281" i="9"/>
  <c r="AH281" i="9"/>
  <c r="B282" i="9"/>
  <c r="C282" i="9"/>
  <c r="D282" i="9"/>
  <c r="E282" i="9"/>
  <c r="F282" i="9"/>
  <c r="G282" i="9"/>
  <c r="H282" i="9"/>
  <c r="I282" i="9"/>
  <c r="K282" i="9"/>
  <c r="L282" i="9"/>
  <c r="M282" i="9"/>
  <c r="N282" i="9"/>
  <c r="O282" i="9"/>
  <c r="P282" i="9"/>
  <c r="Q282" i="9"/>
  <c r="R282" i="9"/>
  <c r="S282" i="9"/>
  <c r="T282" i="9"/>
  <c r="U282" i="9"/>
  <c r="V282" i="9"/>
  <c r="W282" i="9"/>
  <c r="X282" i="9"/>
  <c r="Y282" i="9"/>
  <c r="Z282" i="9"/>
  <c r="AA282" i="9"/>
  <c r="AB282" i="9"/>
  <c r="AC282" i="9"/>
  <c r="AD282" i="9"/>
  <c r="AE282" i="9"/>
  <c r="AF282" i="9"/>
  <c r="AG282" i="9"/>
  <c r="AH282" i="9"/>
  <c r="B283" i="9"/>
  <c r="C283" i="9"/>
  <c r="D283" i="9"/>
  <c r="E283" i="9"/>
  <c r="F283" i="9"/>
  <c r="G283" i="9"/>
  <c r="H283" i="9"/>
  <c r="I283" i="9"/>
  <c r="K283" i="9"/>
  <c r="L283" i="9"/>
  <c r="M283" i="9"/>
  <c r="N283" i="9"/>
  <c r="O283" i="9"/>
  <c r="P283" i="9"/>
  <c r="Q283" i="9"/>
  <c r="R283" i="9"/>
  <c r="S283" i="9"/>
  <c r="T283" i="9"/>
  <c r="U283" i="9"/>
  <c r="V283" i="9"/>
  <c r="W283" i="9"/>
  <c r="X283" i="9"/>
  <c r="Y283" i="9"/>
  <c r="Z283" i="9"/>
  <c r="AA283" i="9"/>
  <c r="AB283" i="9"/>
  <c r="AC283" i="9"/>
  <c r="AD283" i="9"/>
  <c r="AE283" i="9"/>
  <c r="AF283" i="9"/>
  <c r="AG283" i="9"/>
  <c r="AH283" i="9"/>
  <c r="B284" i="9"/>
  <c r="C284" i="9"/>
  <c r="D284" i="9"/>
  <c r="E284" i="9"/>
  <c r="F284" i="9"/>
  <c r="G284" i="9"/>
  <c r="H284" i="9"/>
  <c r="I284" i="9"/>
  <c r="K284" i="9"/>
  <c r="L284" i="9"/>
  <c r="M284" i="9"/>
  <c r="N284" i="9"/>
  <c r="O284" i="9"/>
  <c r="P284" i="9"/>
  <c r="Q284" i="9"/>
  <c r="R284" i="9"/>
  <c r="S284" i="9"/>
  <c r="T284" i="9"/>
  <c r="U284" i="9"/>
  <c r="V284" i="9"/>
  <c r="W284" i="9"/>
  <c r="X284" i="9"/>
  <c r="Y284" i="9"/>
  <c r="Z284" i="9"/>
  <c r="AA284" i="9"/>
  <c r="AB284" i="9"/>
  <c r="AC284" i="9"/>
  <c r="AD284" i="9"/>
  <c r="AE284" i="9"/>
  <c r="AF284" i="9"/>
  <c r="AG284" i="9"/>
  <c r="AH284" i="9"/>
  <c r="B285" i="9"/>
  <c r="C285" i="9"/>
  <c r="D285" i="9"/>
  <c r="E285" i="9"/>
  <c r="F285" i="9"/>
  <c r="G285" i="9"/>
  <c r="H285" i="9"/>
  <c r="I285" i="9"/>
  <c r="K285" i="9"/>
  <c r="L285" i="9"/>
  <c r="M285" i="9"/>
  <c r="N285" i="9"/>
  <c r="O285" i="9"/>
  <c r="P285" i="9"/>
  <c r="Q285" i="9"/>
  <c r="R285" i="9"/>
  <c r="S285" i="9"/>
  <c r="T285" i="9"/>
  <c r="U285" i="9"/>
  <c r="V285" i="9"/>
  <c r="W285" i="9"/>
  <c r="X285" i="9"/>
  <c r="Y285" i="9"/>
  <c r="Z285" i="9"/>
  <c r="AA285" i="9"/>
  <c r="AB285" i="9"/>
  <c r="AC285" i="9"/>
  <c r="AD285" i="9"/>
  <c r="AE285" i="9"/>
  <c r="AF285" i="9"/>
  <c r="AG285" i="9"/>
  <c r="AH285" i="9"/>
  <c r="B286" i="9"/>
  <c r="C286" i="9"/>
  <c r="D286" i="9"/>
  <c r="E286" i="9"/>
  <c r="F286" i="9"/>
  <c r="G286" i="9"/>
  <c r="H286" i="9"/>
  <c r="I286" i="9"/>
  <c r="K286" i="9"/>
  <c r="L286" i="9"/>
  <c r="M286" i="9"/>
  <c r="N286" i="9"/>
  <c r="O286" i="9"/>
  <c r="P286" i="9"/>
  <c r="Q286" i="9"/>
  <c r="R286" i="9"/>
  <c r="S286" i="9"/>
  <c r="T286" i="9"/>
  <c r="U286" i="9"/>
  <c r="V286" i="9"/>
  <c r="W286" i="9"/>
  <c r="X286" i="9"/>
  <c r="Y286" i="9"/>
  <c r="Z286" i="9"/>
  <c r="AA286" i="9"/>
  <c r="AB286" i="9"/>
  <c r="AC286" i="9"/>
  <c r="AD286" i="9"/>
  <c r="AE286" i="9"/>
  <c r="AF286" i="9"/>
  <c r="AG286" i="9"/>
  <c r="AH286" i="9"/>
  <c r="B287" i="9"/>
  <c r="C287" i="9"/>
  <c r="D287" i="9"/>
  <c r="E287" i="9"/>
  <c r="F287" i="9"/>
  <c r="G287" i="9"/>
  <c r="H287" i="9"/>
  <c r="I287" i="9"/>
  <c r="K287" i="9"/>
  <c r="L287" i="9"/>
  <c r="M287" i="9"/>
  <c r="N287" i="9"/>
  <c r="O287" i="9"/>
  <c r="P287" i="9"/>
  <c r="Q287" i="9"/>
  <c r="R287" i="9"/>
  <c r="S287" i="9"/>
  <c r="T287" i="9"/>
  <c r="U287" i="9"/>
  <c r="V287" i="9"/>
  <c r="W287" i="9"/>
  <c r="X287" i="9"/>
  <c r="Y287" i="9"/>
  <c r="Z287" i="9"/>
  <c r="AA287" i="9"/>
  <c r="AB287" i="9"/>
  <c r="AC287" i="9"/>
  <c r="AD287" i="9"/>
  <c r="AE287" i="9"/>
  <c r="AF287" i="9"/>
  <c r="AG287" i="9"/>
  <c r="AH287" i="9"/>
  <c r="B288" i="9"/>
  <c r="C288" i="9"/>
  <c r="D288" i="9"/>
  <c r="E288" i="9"/>
  <c r="F288" i="9"/>
  <c r="G288" i="9"/>
  <c r="H288" i="9"/>
  <c r="I288" i="9"/>
  <c r="K288" i="9"/>
  <c r="L288" i="9"/>
  <c r="M288" i="9"/>
  <c r="N288" i="9"/>
  <c r="O288" i="9"/>
  <c r="P288" i="9"/>
  <c r="Q288" i="9"/>
  <c r="R288" i="9"/>
  <c r="S288" i="9"/>
  <c r="T288" i="9"/>
  <c r="U288" i="9"/>
  <c r="V288" i="9"/>
  <c r="W288" i="9"/>
  <c r="X288" i="9"/>
  <c r="Y288" i="9"/>
  <c r="Z288" i="9"/>
  <c r="AA288" i="9"/>
  <c r="AB288" i="9"/>
  <c r="AC288" i="9"/>
  <c r="AD288" i="9"/>
  <c r="AE288" i="9"/>
  <c r="AF288" i="9"/>
  <c r="AG288" i="9"/>
  <c r="AH288" i="9"/>
  <c r="B289" i="9"/>
  <c r="C289" i="9"/>
  <c r="D289" i="9"/>
  <c r="E289" i="9"/>
  <c r="F289" i="9"/>
  <c r="G289" i="9"/>
  <c r="H289" i="9"/>
  <c r="I289" i="9"/>
  <c r="K289" i="9"/>
  <c r="L289" i="9"/>
  <c r="M289" i="9"/>
  <c r="N289" i="9"/>
  <c r="O289" i="9"/>
  <c r="P289" i="9"/>
  <c r="Q289" i="9"/>
  <c r="R289" i="9"/>
  <c r="S289" i="9"/>
  <c r="T289" i="9"/>
  <c r="U289" i="9"/>
  <c r="V289" i="9"/>
  <c r="W289" i="9"/>
  <c r="X289" i="9"/>
  <c r="Y289" i="9"/>
  <c r="Z289" i="9"/>
  <c r="AA289" i="9"/>
  <c r="AB289" i="9"/>
  <c r="AC289" i="9"/>
  <c r="AD289" i="9"/>
  <c r="AE289" i="9"/>
  <c r="AF289" i="9"/>
  <c r="AG289" i="9"/>
  <c r="AH289" i="9"/>
  <c r="B290" i="9"/>
  <c r="C290" i="9"/>
  <c r="D290" i="9"/>
  <c r="E290" i="9"/>
  <c r="F290" i="9"/>
  <c r="G290" i="9"/>
  <c r="H290" i="9"/>
  <c r="I290" i="9"/>
  <c r="K290" i="9"/>
  <c r="L290" i="9"/>
  <c r="M290" i="9"/>
  <c r="N290" i="9"/>
  <c r="O290" i="9"/>
  <c r="P290" i="9"/>
  <c r="Q290" i="9"/>
  <c r="R290" i="9"/>
  <c r="S290" i="9"/>
  <c r="T290" i="9"/>
  <c r="U290" i="9"/>
  <c r="V290" i="9"/>
  <c r="W290" i="9"/>
  <c r="X290" i="9"/>
  <c r="Y290" i="9"/>
  <c r="Z290" i="9"/>
  <c r="AA290" i="9"/>
  <c r="AB290" i="9"/>
  <c r="AC290" i="9"/>
  <c r="AD290" i="9"/>
  <c r="AE290" i="9"/>
  <c r="AF290" i="9"/>
  <c r="AG290" i="9"/>
  <c r="AH290" i="9"/>
  <c r="B291" i="9"/>
  <c r="C291" i="9"/>
  <c r="D291" i="9"/>
  <c r="E291" i="9"/>
  <c r="F291" i="9"/>
  <c r="G291" i="9"/>
  <c r="H291" i="9"/>
  <c r="I291" i="9"/>
  <c r="K291" i="9"/>
  <c r="L291" i="9"/>
  <c r="M291" i="9"/>
  <c r="N291" i="9"/>
  <c r="O291" i="9"/>
  <c r="P291" i="9"/>
  <c r="Q291" i="9"/>
  <c r="R291" i="9"/>
  <c r="S291" i="9"/>
  <c r="T291" i="9"/>
  <c r="U291" i="9"/>
  <c r="V291" i="9"/>
  <c r="W291" i="9"/>
  <c r="X291" i="9"/>
  <c r="Y291" i="9"/>
  <c r="Z291" i="9"/>
  <c r="AA291" i="9"/>
  <c r="AB291" i="9"/>
  <c r="AC291" i="9"/>
  <c r="AD291" i="9"/>
  <c r="AE291" i="9"/>
  <c r="AF291" i="9"/>
  <c r="AG291" i="9"/>
  <c r="AH291" i="9"/>
  <c r="B292" i="9"/>
  <c r="C292" i="9"/>
  <c r="D292" i="9"/>
  <c r="E292" i="9"/>
  <c r="F292" i="9"/>
  <c r="G292" i="9"/>
  <c r="H292" i="9"/>
  <c r="I292" i="9"/>
  <c r="K292" i="9"/>
  <c r="L292" i="9"/>
  <c r="M292" i="9"/>
  <c r="N292" i="9"/>
  <c r="O292" i="9"/>
  <c r="P292" i="9"/>
  <c r="Q292" i="9"/>
  <c r="R292" i="9"/>
  <c r="S292" i="9"/>
  <c r="T292" i="9"/>
  <c r="U292" i="9"/>
  <c r="V292" i="9"/>
  <c r="W292" i="9"/>
  <c r="X292" i="9"/>
  <c r="Y292" i="9"/>
  <c r="Z292" i="9"/>
  <c r="AA292" i="9"/>
  <c r="AB292" i="9"/>
  <c r="AC292" i="9"/>
  <c r="AD292" i="9"/>
  <c r="AE292" i="9"/>
  <c r="AF292" i="9"/>
  <c r="AG292" i="9"/>
  <c r="AH292" i="9"/>
  <c r="B293" i="9"/>
  <c r="C293" i="9"/>
  <c r="D293" i="9"/>
  <c r="E293" i="9"/>
  <c r="F293" i="9"/>
  <c r="G293" i="9"/>
  <c r="H293" i="9"/>
  <c r="I293" i="9"/>
  <c r="K293" i="9"/>
  <c r="L293" i="9"/>
  <c r="M293" i="9"/>
  <c r="N293" i="9"/>
  <c r="O293" i="9"/>
  <c r="P293" i="9"/>
  <c r="Q293" i="9"/>
  <c r="R293" i="9"/>
  <c r="S293" i="9"/>
  <c r="T293" i="9"/>
  <c r="U293" i="9"/>
  <c r="V293" i="9"/>
  <c r="W293" i="9"/>
  <c r="X293" i="9"/>
  <c r="Y293" i="9"/>
  <c r="Z293" i="9"/>
  <c r="AA293" i="9"/>
  <c r="AB293" i="9"/>
  <c r="AC293" i="9"/>
  <c r="AD293" i="9"/>
  <c r="AE293" i="9"/>
  <c r="AF293" i="9"/>
  <c r="AG293" i="9"/>
  <c r="AH293" i="9"/>
  <c r="B294" i="9"/>
  <c r="C294" i="9"/>
  <c r="D294" i="9"/>
  <c r="E294" i="9"/>
  <c r="F294" i="9"/>
  <c r="G294" i="9"/>
  <c r="H294" i="9"/>
  <c r="I294" i="9"/>
  <c r="K294" i="9"/>
  <c r="L294" i="9"/>
  <c r="M294" i="9"/>
  <c r="N294" i="9"/>
  <c r="O294" i="9"/>
  <c r="P294" i="9"/>
  <c r="Q294" i="9"/>
  <c r="R294" i="9"/>
  <c r="S294" i="9"/>
  <c r="T294" i="9"/>
  <c r="U294" i="9"/>
  <c r="V294" i="9"/>
  <c r="W294" i="9"/>
  <c r="X294" i="9"/>
  <c r="Y294" i="9"/>
  <c r="Z294" i="9"/>
  <c r="AA294" i="9"/>
  <c r="AB294" i="9"/>
  <c r="AC294" i="9"/>
  <c r="AD294" i="9"/>
  <c r="AE294" i="9"/>
  <c r="AF294" i="9"/>
  <c r="AG294" i="9"/>
  <c r="AH294" i="9"/>
  <c r="B295" i="9"/>
  <c r="C295" i="9"/>
  <c r="D295" i="9"/>
  <c r="E295" i="9"/>
  <c r="F295" i="9"/>
  <c r="G295" i="9"/>
  <c r="H295" i="9"/>
  <c r="I295" i="9"/>
  <c r="K295" i="9"/>
  <c r="L295" i="9"/>
  <c r="M295" i="9"/>
  <c r="N295" i="9"/>
  <c r="O295" i="9"/>
  <c r="P295" i="9"/>
  <c r="Q295" i="9"/>
  <c r="R295" i="9"/>
  <c r="S295" i="9"/>
  <c r="T295" i="9"/>
  <c r="U295" i="9"/>
  <c r="V295" i="9"/>
  <c r="W295" i="9"/>
  <c r="X295" i="9"/>
  <c r="Y295" i="9"/>
  <c r="Z295" i="9"/>
  <c r="AA295" i="9"/>
  <c r="AB295" i="9"/>
  <c r="AC295" i="9"/>
  <c r="AD295" i="9"/>
  <c r="AE295" i="9"/>
  <c r="AF295" i="9"/>
  <c r="AG295" i="9"/>
  <c r="AH295" i="9"/>
  <c r="B296" i="9"/>
  <c r="C296" i="9"/>
  <c r="D296" i="9"/>
  <c r="E296" i="9"/>
  <c r="F296" i="9"/>
  <c r="G296" i="9"/>
  <c r="H296" i="9"/>
  <c r="I296" i="9"/>
  <c r="K296" i="9"/>
  <c r="L296" i="9"/>
  <c r="M296" i="9"/>
  <c r="N296" i="9"/>
  <c r="O296" i="9"/>
  <c r="P296" i="9"/>
  <c r="Q296" i="9"/>
  <c r="R296" i="9"/>
  <c r="S296" i="9"/>
  <c r="T296" i="9"/>
  <c r="U296" i="9"/>
  <c r="V296" i="9"/>
  <c r="W296" i="9"/>
  <c r="X296" i="9"/>
  <c r="Y296" i="9"/>
  <c r="Z296" i="9"/>
  <c r="AA296" i="9"/>
  <c r="AB296" i="9"/>
  <c r="AC296" i="9"/>
  <c r="AD296" i="9"/>
  <c r="AE296" i="9"/>
  <c r="AF296" i="9"/>
  <c r="AG296" i="9"/>
  <c r="AH296" i="9"/>
  <c r="B297" i="9"/>
  <c r="C297" i="9"/>
  <c r="D297" i="9"/>
  <c r="E297" i="9"/>
  <c r="F297" i="9"/>
  <c r="G297" i="9"/>
  <c r="H297" i="9"/>
  <c r="I297" i="9"/>
  <c r="K297" i="9"/>
  <c r="L297" i="9"/>
  <c r="M297" i="9"/>
  <c r="N297" i="9"/>
  <c r="O297" i="9"/>
  <c r="P297" i="9"/>
  <c r="Q297" i="9"/>
  <c r="R297" i="9"/>
  <c r="S297" i="9"/>
  <c r="T297" i="9"/>
  <c r="U297" i="9"/>
  <c r="V297" i="9"/>
  <c r="W297" i="9"/>
  <c r="X297" i="9"/>
  <c r="Y297" i="9"/>
  <c r="Z297" i="9"/>
  <c r="AA297" i="9"/>
  <c r="AB297" i="9"/>
  <c r="AC297" i="9"/>
  <c r="AD297" i="9"/>
  <c r="AE297" i="9"/>
  <c r="AF297" i="9"/>
  <c r="AG297" i="9"/>
  <c r="AH297" i="9"/>
  <c r="B298" i="9"/>
  <c r="C298" i="9"/>
  <c r="D298" i="9"/>
  <c r="E298" i="9"/>
  <c r="F298" i="9"/>
  <c r="G298" i="9"/>
  <c r="H298" i="9"/>
  <c r="I298" i="9"/>
  <c r="K298" i="9"/>
  <c r="L298" i="9"/>
  <c r="M298" i="9"/>
  <c r="N298" i="9"/>
  <c r="O298" i="9"/>
  <c r="P298" i="9"/>
  <c r="Q298" i="9"/>
  <c r="R298" i="9"/>
  <c r="S298" i="9"/>
  <c r="T298" i="9"/>
  <c r="U298" i="9"/>
  <c r="V298" i="9"/>
  <c r="W298" i="9"/>
  <c r="X298" i="9"/>
  <c r="Y298" i="9"/>
  <c r="Z298" i="9"/>
  <c r="AA298" i="9"/>
  <c r="AB298" i="9"/>
  <c r="AC298" i="9"/>
  <c r="AD298" i="9"/>
  <c r="AE298" i="9"/>
  <c r="AF298" i="9"/>
  <c r="AG298" i="9"/>
  <c r="AH298" i="9"/>
  <c r="B299" i="9"/>
  <c r="C299" i="9"/>
  <c r="D299" i="9"/>
  <c r="E299" i="9"/>
  <c r="F299" i="9"/>
  <c r="G299" i="9"/>
  <c r="H299" i="9"/>
  <c r="I299" i="9"/>
  <c r="K299" i="9"/>
  <c r="L299" i="9"/>
  <c r="M299" i="9"/>
  <c r="N299" i="9"/>
  <c r="O299" i="9"/>
  <c r="P299" i="9"/>
  <c r="Q299" i="9"/>
  <c r="R299" i="9"/>
  <c r="S299" i="9"/>
  <c r="T299" i="9"/>
  <c r="U299" i="9"/>
  <c r="V299" i="9"/>
  <c r="W299" i="9"/>
  <c r="X299" i="9"/>
  <c r="Y299" i="9"/>
  <c r="Z299" i="9"/>
  <c r="AA299" i="9"/>
  <c r="AB299" i="9"/>
  <c r="AC299" i="9"/>
  <c r="AD299" i="9"/>
  <c r="AE299" i="9"/>
  <c r="AF299" i="9"/>
  <c r="AG299" i="9"/>
  <c r="AH299" i="9"/>
  <c r="B300" i="9"/>
  <c r="C300" i="9"/>
  <c r="D300" i="9"/>
  <c r="E300" i="9"/>
  <c r="F300" i="9"/>
  <c r="G300" i="9"/>
  <c r="H300" i="9"/>
  <c r="I300" i="9"/>
  <c r="K300" i="9"/>
  <c r="L300" i="9"/>
  <c r="M300" i="9"/>
  <c r="N300" i="9"/>
  <c r="O300" i="9"/>
  <c r="P300" i="9"/>
  <c r="Q300" i="9"/>
  <c r="R300" i="9"/>
  <c r="S300" i="9"/>
  <c r="T300" i="9"/>
  <c r="U300" i="9"/>
  <c r="V300" i="9"/>
  <c r="W300" i="9"/>
  <c r="X300" i="9"/>
  <c r="Y300" i="9"/>
  <c r="Z300" i="9"/>
  <c r="AA300" i="9"/>
  <c r="AB300" i="9"/>
  <c r="AC300" i="9"/>
  <c r="AD300" i="9"/>
  <c r="AE300" i="9"/>
  <c r="AF300" i="9"/>
  <c r="AG300" i="9"/>
  <c r="AH300" i="9"/>
  <c r="B301" i="9"/>
  <c r="C301" i="9"/>
  <c r="D301" i="9"/>
  <c r="E301" i="9"/>
  <c r="F301" i="9"/>
  <c r="G301" i="9"/>
  <c r="H301" i="9"/>
  <c r="I301" i="9"/>
  <c r="K301" i="9"/>
  <c r="L301" i="9"/>
  <c r="M301" i="9"/>
  <c r="N301" i="9"/>
  <c r="O301" i="9"/>
  <c r="P301" i="9"/>
  <c r="Q301" i="9"/>
  <c r="R301" i="9"/>
  <c r="S301" i="9"/>
  <c r="T301" i="9"/>
  <c r="U301" i="9"/>
  <c r="V301" i="9"/>
  <c r="W301" i="9"/>
  <c r="X301" i="9"/>
  <c r="Y301" i="9"/>
  <c r="Z301" i="9"/>
  <c r="AA301" i="9"/>
  <c r="AB301" i="9"/>
  <c r="AC301" i="9"/>
  <c r="AD301" i="9"/>
  <c r="AE301" i="9"/>
  <c r="AF301" i="9"/>
  <c r="AG301" i="9"/>
  <c r="AH301" i="9"/>
  <c r="B302" i="9"/>
  <c r="C302" i="9"/>
  <c r="D302" i="9"/>
  <c r="E302" i="9"/>
  <c r="F302" i="9"/>
  <c r="G302" i="9"/>
  <c r="H302" i="9"/>
  <c r="I302" i="9"/>
  <c r="K302" i="9"/>
  <c r="L302" i="9"/>
  <c r="M302" i="9"/>
  <c r="N302" i="9"/>
  <c r="O302" i="9"/>
  <c r="P302" i="9"/>
  <c r="Q302" i="9"/>
  <c r="R302" i="9"/>
  <c r="S302" i="9"/>
  <c r="T302" i="9"/>
  <c r="U302" i="9"/>
  <c r="V302" i="9"/>
  <c r="W302" i="9"/>
  <c r="X302" i="9"/>
  <c r="Y302" i="9"/>
  <c r="Z302" i="9"/>
  <c r="AA302" i="9"/>
  <c r="AB302" i="9"/>
  <c r="AC302" i="9"/>
  <c r="AD302" i="9"/>
  <c r="AE302" i="9"/>
  <c r="AF302" i="9"/>
  <c r="AG302" i="9"/>
  <c r="AH302" i="9"/>
  <c r="B303" i="9"/>
  <c r="C303" i="9"/>
  <c r="D303" i="9"/>
  <c r="E303" i="9"/>
  <c r="F303" i="9"/>
  <c r="G303" i="9"/>
  <c r="H303" i="9"/>
  <c r="I303" i="9"/>
  <c r="K303" i="9"/>
  <c r="L303" i="9"/>
  <c r="M303" i="9"/>
  <c r="N303" i="9"/>
  <c r="O303" i="9"/>
  <c r="P303" i="9"/>
  <c r="Q303" i="9"/>
  <c r="R303" i="9"/>
  <c r="S303" i="9"/>
  <c r="T303" i="9"/>
  <c r="U303" i="9"/>
  <c r="V303" i="9"/>
  <c r="W303" i="9"/>
  <c r="X303" i="9"/>
  <c r="Y303" i="9"/>
  <c r="Z303" i="9"/>
  <c r="AA303" i="9"/>
  <c r="AB303" i="9"/>
  <c r="AC303" i="9"/>
  <c r="AD303" i="9"/>
  <c r="AE303" i="9"/>
  <c r="AF303" i="9"/>
  <c r="AG303" i="9"/>
  <c r="AH303" i="9"/>
  <c r="B304" i="9"/>
  <c r="C304" i="9"/>
  <c r="D304" i="9"/>
  <c r="E304" i="9"/>
  <c r="F304" i="9"/>
  <c r="G304" i="9"/>
  <c r="H304" i="9"/>
  <c r="I304" i="9"/>
  <c r="K304" i="9"/>
  <c r="L304" i="9"/>
  <c r="M304" i="9"/>
  <c r="N304" i="9"/>
  <c r="O304" i="9"/>
  <c r="P304" i="9"/>
  <c r="Q304" i="9"/>
  <c r="R304" i="9"/>
  <c r="S304" i="9"/>
  <c r="T304" i="9"/>
  <c r="U304" i="9"/>
  <c r="V304" i="9"/>
  <c r="W304" i="9"/>
  <c r="X304" i="9"/>
  <c r="Y304" i="9"/>
  <c r="Z304" i="9"/>
  <c r="AA304" i="9"/>
  <c r="AB304" i="9"/>
  <c r="AC304" i="9"/>
  <c r="AD304" i="9"/>
  <c r="AE304" i="9"/>
  <c r="AF304" i="9"/>
  <c r="AG304" i="9"/>
  <c r="AH304" i="9"/>
  <c r="B305" i="9"/>
  <c r="C305" i="9"/>
  <c r="D305" i="9"/>
  <c r="E305" i="9"/>
  <c r="F305" i="9"/>
  <c r="G305" i="9"/>
  <c r="H305" i="9"/>
  <c r="I305" i="9"/>
  <c r="K305" i="9"/>
  <c r="L305" i="9"/>
  <c r="M305" i="9"/>
  <c r="N305" i="9"/>
  <c r="O305" i="9"/>
  <c r="P305" i="9"/>
  <c r="Q305" i="9"/>
  <c r="R305" i="9"/>
  <c r="S305" i="9"/>
  <c r="T305" i="9"/>
  <c r="U305" i="9"/>
  <c r="V305" i="9"/>
  <c r="W305" i="9"/>
  <c r="X305" i="9"/>
  <c r="Y305" i="9"/>
  <c r="Z305" i="9"/>
  <c r="AA305" i="9"/>
  <c r="AB305" i="9"/>
  <c r="AC305" i="9"/>
  <c r="AD305" i="9"/>
  <c r="AE305" i="9"/>
  <c r="AF305" i="9"/>
  <c r="AG305" i="9"/>
  <c r="AH305" i="9"/>
  <c r="B306" i="9"/>
  <c r="C306" i="9"/>
  <c r="D306" i="9"/>
  <c r="E306" i="9"/>
  <c r="F306" i="9"/>
  <c r="G306" i="9"/>
  <c r="H306" i="9"/>
  <c r="I306" i="9"/>
  <c r="K306" i="9"/>
  <c r="L306" i="9"/>
  <c r="M306" i="9"/>
  <c r="N306" i="9"/>
  <c r="O306" i="9"/>
  <c r="P306" i="9"/>
  <c r="Q306" i="9"/>
  <c r="R306" i="9"/>
  <c r="S306" i="9"/>
  <c r="T306" i="9"/>
  <c r="U306" i="9"/>
  <c r="V306" i="9"/>
  <c r="W306" i="9"/>
  <c r="X306" i="9"/>
  <c r="Y306" i="9"/>
  <c r="Z306" i="9"/>
  <c r="AA306" i="9"/>
  <c r="AB306" i="9"/>
  <c r="AC306" i="9"/>
  <c r="AD306" i="9"/>
  <c r="AE306" i="9"/>
  <c r="AF306" i="9"/>
  <c r="AG306" i="9"/>
  <c r="AH306" i="9"/>
  <c r="B307" i="9"/>
  <c r="C307" i="9"/>
  <c r="D307" i="9"/>
  <c r="E307" i="9"/>
  <c r="F307" i="9"/>
  <c r="G307" i="9"/>
  <c r="H307" i="9"/>
  <c r="I307" i="9"/>
  <c r="K307" i="9"/>
  <c r="L307" i="9"/>
  <c r="M307" i="9"/>
  <c r="N307" i="9"/>
  <c r="O307" i="9"/>
  <c r="P307" i="9"/>
  <c r="Q307" i="9"/>
  <c r="R307" i="9"/>
  <c r="S307" i="9"/>
  <c r="T307" i="9"/>
  <c r="U307" i="9"/>
  <c r="V307" i="9"/>
  <c r="W307" i="9"/>
  <c r="X307" i="9"/>
  <c r="Y307" i="9"/>
  <c r="Z307" i="9"/>
  <c r="AA307" i="9"/>
  <c r="AB307" i="9"/>
  <c r="AC307" i="9"/>
  <c r="AD307" i="9"/>
  <c r="AE307" i="9"/>
  <c r="AF307" i="9"/>
  <c r="AG307" i="9"/>
  <c r="AH307" i="9"/>
  <c r="B308" i="9"/>
  <c r="C308" i="9"/>
  <c r="D308" i="9"/>
  <c r="E308" i="9"/>
  <c r="F308" i="9"/>
  <c r="G308" i="9"/>
  <c r="H308" i="9"/>
  <c r="I308" i="9"/>
  <c r="K308" i="9"/>
  <c r="L308" i="9"/>
  <c r="M308" i="9"/>
  <c r="N308" i="9"/>
  <c r="O308" i="9"/>
  <c r="P308" i="9"/>
  <c r="Q308" i="9"/>
  <c r="R308" i="9"/>
  <c r="S308" i="9"/>
  <c r="T308" i="9"/>
  <c r="U308" i="9"/>
  <c r="V308" i="9"/>
  <c r="W308" i="9"/>
  <c r="X308" i="9"/>
  <c r="Y308" i="9"/>
  <c r="Z308" i="9"/>
  <c r="AA308" i="9"/>
  <c r="AB308" i="9"/>
  <c r="AC308" i="9"/>
  <c r="AD308" i="9"/>
  <c r="AE308" i="9"/>
  <c r="AF308" i="9"/>
  <c r="AG308" i="9"/>
  <c r="AH308" i="9"/>
  <c r="B309" i="9"/>
  <c r="C309" i="9"/>
  <c r="D309" i="9"/>
  <c r="E309" i="9"/>
  <c r="F309" i="9"/>
  <c r="G309" i="9"/>
  <c r="H309" i="9"/>
  <c r="I309" i="9"/>
  <c r="K309" i="9"/>
  <c r="L309" i="9"/>
  <c r="M309" i="9"/>
  <c r="N309" i="9"/>
  <c r="O309" i="9"/>
  <c r="P309" i="9"/>
  <c r="Q309" i="9"/>
  <c r="R309" i="9"/>
  <c r="S309" i="9"/>
  <c r="T309" i="9"/>
  <c r="U309" i="9"/>
  <c r="V309" i="9"/>
  <c r="W309" i="9"/>
  <c r="X309" i="9"/>
  <c r="Y309" i="9"/>
  <c r="Z309" i="9"/>
  <c r="AA309" i="9"/>
  <c r="AB309" i="9"/>
  <c r="AC309" i="9"/>
  <c r="AD309" i="9"/>
  <c r="AE309" i="9"/>
  <c r="AF309" i="9"/>
  <c r="AG309" i="9"/>
  <c r="AH309" i="9"/>
  <c r="B310" i="9"/>
  <c r="C310" i="9"/>
  <c r="D310" i="9"/>
  <c r="E310" i="9"/>
  <c r="F310" i="9"/>
  <c r="G310" i="9"/>
  <c r="H310" i="9"/>
  <c r="I310" i="9"/>
  <c r="K310" i="9"/>
  <c r="L310" i="9"/>
  <c r="M310" i="9"/>
  <c r="N310" i="9"/>
  <c r="O310" i="9"/>
  <c r="P310" i="9"/>
  <c r="Q310" i="9"/>
  <c r="R310" i="9"/>
  <c r="S310" i="9"/>
  <c r="T310" i="9"/>
  <c r="U310" i="9"/>
  <c r="V310" i="9"/>
  <c r="W310" i="9"/>
  <c r="X310" i="9"/>
  <c r="Y310" i="9"/>
  <c r="Z310" i="9"/>
  <c r="AA310" i="9"/>
  <c r="AB310" i="9"/>
  <c r="AC310" i="9"/>
  <c r="AD310" i="9"/>
  <c r="AE310" i="9"/>
  <c r="AF310" i="9"/>
  <c r="AG310" i="9"/>
  <c r="AH310" i="9"/>
  <c r="B311" i="9"/>
  <c r="C311" i="9"/>
  <c r="D311" i="9"/>
  <c r="E311" i="9"/>
  <c r="F311" i="9"/>
  <c r="G311" i="9"/>
  <c r="H311" i="9"/>
  <c r="I311" i="9"/>
  <c r="K311" i="9"/>
  <c r="L311" i="9"/>
  <c r="M311" i="9"/>
  <c r="N311" i="9"/>
  <c r="O311" i="9"/>
  <c r="P311" i="9"/>
  <c r="Q311" i="9"/>
  <c r="R311" i="9"/>
  <c r="S311" i="9"/>
  <c r="T311" i="9"/>
  <c r="U311" i="9"/>
  <c r="V311" i="9"/>
  <c r="W311" i="9"/>
  <c r="X311" i="9"/>
  <c r="Y311" i="9"/>
  <c r="Z311" i="9"/>
  <c r="AA311" i="9"/>
  <c r="AB311" i="9"/>
  <c r="AC311" i="9"/>
  <c r="AD311" i="9"/>
  <c r="AE311" i="9"/>
  <c r="AF311" i="9"/>
  <c r="AG311" i="9"/>
  <c r="AH311" i="9"/>
  <c r="B312" i="9"/>
  <c r="C312" i="9"/>
  <c r="D312" i="9"/>
  <c r="E312" i="9"/>
  <c r="F312" i="9"/>
  <c r="G312" i="9"/>
  <c r="H312" i="9"/>
  <c r="I312" i="9"/>
  <c r="K312" i="9"/>
  <c r="L312" i="9"/>
  <c r="M312" i="9"/>
  <c r="N312" i="9"/>
  <c r="O312" i="9"/>
  <c r="P312" i="9"/>
  <c r="Q312" i="9"/>
  <c r="R312" i="9"/>
  <c r="S312" i="9"/>
  <c r="T312" i="9"/>
  <c r="U312" i="9"/>
  <c r="V312" i="9"/>
  <c r="W312" i="9"/>
  <c r="X312" i="9"/>
  <c r="Y312" i="9"/>
  <c r="Z312" i="9"/>
  <c r="AA312" i="9"/>
  <c r="AB312" i="9"/>
  <c r="AC312" i="9"/>
  <c r="AD312" i="9"/>
  <c r="AE312" i="9"/>
  <c r="AF312" i="9"/>
  <c r="AG312" i="9"/>
  <c r="AH312" i="9"/>
  <c r="B313" i="9"/>
  <c r="C313" i="9"/>
  <c r="D313" i="9"/>
  <c r="E313" i="9"/>
  <c r="F313" i="9"/>
  <c r="G313" i="9"/>
  <c r="H313" i="9"/>
  <c r="I313" i="9"/>
  <c r="K313" i="9"/>
  <c r="L313" i="9"/>
  <c r="M313" i="9"/>
  <c r="N313" i="9"/>
  <c r="O313" i="9"/>
  <c r="P313" i="9"/>
  <c r="Q313" i="9"/>
  <c r="R313" i="9"/>
  <c r="S313" i="9"/>
  <c r="T313" i="9"/>
  <c r="U313" i="9"/>
  <c r="V313" i="9"/>
  <c r="W313" i="9"/>
  <c r="X313" i="9"/>
  <c r="Y313" i="9"/>
  <c r="Z313" i="9"/>
  <c r="AA313" i="9"/>
  <c r="AB313" i="9"/>
  <c r="AC313" i="9"/>
  <c r="AD313" i="9"/>
  <c r="AE313" i="9"/>
  <c r="AF313" i="9"/>
  <c r="AG313" i="9"/>
  <c r="AH313" i="9"/>
  <c r="B314" i="9"/>
  <c r="C314" i="9"/>
  <c r="D314" i="9"/>
  <c r="E314" i="9"/>
  <c r="F314" i="9"/>
  <c r="G314" i="9"/>
  <c r="H314" i="9"/>
  <c r="I314" i="9"/>
  <c r="K314" i="9"/>
  <c r="L314" i="9"/>
  <c r="M314" i="9"/>
  <c r="N314" i="9"/>
  <c r="O314" i="9"/>
  <c r="P314" i="9"/>
  <c r="Q314" i="9"/>
  <c r="R314" i="9"/>
  <c r="S314" i="9"/>
  <c r="T314" i="9"/>
  <c r="U314" i="9"/>
  <c r="V314" i="9"/>
  <c r="W314" i="9"/>
  <c r="X314" i="9"/>
  <c r="Y314" i="9"/>
  <c r="Z314" i="9"/>
  <c r="AA314" i="9"/>
  <c r="AB314" i="9"/>
  <c r="AC314" i="9"/>
  <c r="AD314" i="9"/>
  <c r="AE314" i="9"/>
  <c r="AF314" i="9"/>
  <c r="AG314" i="9"/>
  <c r="AH314" i="9"/>
  <c r="B315" i="9"/>
  <c r="C315" i="9"/>
  <c r="D315" i="9"/>
  <c r="E315" i="9"/>
  <c r="F315" i="9"/>
  <c r="G315" i="9"/>
  <c r="H315" i="9"/>
  <c r="I315" i="9"/>
  <c r="K315" i="9"/>
  <c r="L315" i="9"/>
  <c r="M315" i="9"/>
  <c r="N315" i="9"/>
  <c r="O315" i="9"/>
  <c r="P315" i="9"/>
  <c r="Q315" i="9"/>
  <c r="R315" i="9"/>
  <c r="S315" i="9"/>
  <c r="T315" i="9"/>
  <c r="U315" i="9"/>
  <c r="V315" i="9"/>
  <c r="W315" i="9"/>
  <c r="X315" i="9"/>
  <c r="Y315" i="9"/>
  <c r="Z315" i="9"/>
  <c r="AA315" i="9"/>
  <c r="AB315" i="9"/>
  <c r="AC315" i="9"/>
  <c r="AD315" i="9"/>
  <c r="AE315" i="9"/>
  <c r="AF315" i="9"/>
  <c r="AG315" i="9"/>
  <c r="AH315" i="9"/>
  <c r="B316" i="9"/>
  <c r="C316" i="9"/>
  <c r="D316" i="9"/>
  <c r="E316" i="9"/>
  <c r="F316" i="9"/>
  <c r="G316" i="9"/>
  <c r="H316" i="9"/>
  <c r="I316" i="9"/>
  <c r="K316" i="9"/>
  <c r="L316" i="9"/>
  <c r="M316" i="9"/>
  <c r="N316" i="9"/>
  <c r="O316" i="9"/>
  <c r="P316" i="9"/>
  <c r="Q316" i="9"/>
  <c r="R316" i="9"/>
  <c r="S316" i="9"/>
  <c r="T316" i="9"/>
  <c r="U316" i="9"/>
  <c r="V316" i="9"/>
  <c r="W316" i="9"/>
  <c r="X316" i="9"/>
  <c r="Y316" i="9"/>
  <c r="Z316" i="9"/>
  <c r="AA316" i="9"/>
  <c r="AB316" i="9"/>
  <c r="AC316" i="9"/>
  <c r="AD316" i="9"/>
  <c r="AE316" i="9"/>
  <c r="AF316" i="9"/>
  <c r="AG316" i="9"/>
  <c r="AH316" i="9"/>
  <c r="B317" i="9"/>
  <c r="C317" i="9"/>
  <c r="D317" i="9"/>
  <c r="E317" i="9"/>
  <c r="F317" i="9"/>
  <c r="G317" i="9"/>
  <c r="H317" i="9"/>
  <c r="I317" i="9"/>
  <c r="K317" i="9"/>
  <c r="L317" i="9"/>
  <c r="M317" i="9"/>
  <c r="N317" i="9"/>
  <c r="O317" i="9"/>
  <c r="P317" i="9"/>
  <c r="Q317" i="9"/>
  <c r="R317" i="9"/>
  <c r="S317" i="9"/>
  <c r="T317" i="9"/>
  <c r="U317" i="9"/>
  <c r="V317" i="9"/>
  <c r="W317" i="9"/>
  <c r="X317" i="9"/>
  <c r="Y317" i="9"/>
  <c r="Z317" i="9"/>
  <c r="AA317" i="9"/>
  <c r="AB317" i="9"/>
  <c r="AC317" i="9"/>
  <c r="AD317" i="9"/>
  <c r="AE317" i="9"/>
  <c r="AF317" i="9"/>
  <c r="AG317" i="9"/>
  <c r="AH317" i="9"/>
  <c r="B318" i="9"/>
  <c r="C318" i="9"/>
  <c r="D318" i="9"/>
  <c r="E318" i="9"/>
  <c r="F318" i="9"/>
  <c r="G318" i="9"/>
  <c r="H318" i="9"/>
  <c r="I318" i="9"/>
  <c r="K318" i="9"/>
  <c r="L318" i="9"/>
  <c r="M318" i="9"/>
  <c r="N318" i="9"/>
  <c r="O318" i="9"/>
  <c r="P318" i="9"/>
  <c r="Q318" i="9"/>
  <c r="R318" i="9"/>
  <c r="S318" i="9"/>
  <c r="T318" i="9"/>
  <c r="U318" i="9"/>
  <c r="V318" i="9"/>
  <c r="W318" i="9"/>
  <c r="X318" i="9"/>
  <c r="Y318" i="9"/>
  <c r="Z318" i="9"/>
  <c r="AA318" i="9"/>
  <c r="AB318" i="9"/>
  <c r="AC318" i="9"/>
  <c r="AD318" i="9"/>
  <c r="AE318" i="9"/>
  <c r="AF318" i="9"/>
  <c r="AG318" i="9"/>
  <c r="AH318" i="9"/>
  <c r="B319" i="9"/>
  <c r="C319" i="9"/>
  <c r="D319" i="9"/>
  <c r="E319" i="9"/>
  <c r="F319" i="9"/>
  <c r="G319" i="9"/>
  <c r="H319" i="9"/>
  <c r="I319" i="9"/>
  <c r="K319" i="9"/>
  <c r="L319" i="9"/>
  <c r="M319" i="9"/>
  <c r="N319" i="9"/>
  <c r="O319" i="9"/>
  <c r="P319" i="9"/>
  <c r="Q319" i="9"/>
  <c r="R319" i="9"/>
  <c r="S319" i="9"/>
  <c r="T319" i="9"/>
  <c r="U319" i="9"/>
  <c r="V319" i="9"/>
  <c r="W319" i="9"/>
  <c r="X319" i="9"/>
  <c r="Y319" i="9"/>
  <c r="Z319" i="9"/>
  <c r="AA319" i="9"/>
  <c r="AB319" i="9"/>
  <c r="AC319" i="9"/>
  <c r="AD319" i="9"/>
  <c r="AE319" i="9"/>
  <c r="AF319" i="9"/>
  <c r="AG319" i="9"/>
  <c r="AH319" i="9"/>
  <c r="B320" i="9"/>
  <c r="C320" i="9"/>
  <c r="D320" i="9"/>
  <c r="E320" i="9"/>
  <c r="F320" i="9"/>
  <c r="G320" i="9"/>
  <c r="H320" i="9"/>
  <c r="I320" i="9"/>
  <c r="K320" i="9"/>
  <c r="L320" i="9"/>
  <c r="M320" i="9"/>
  <c r="N320" i="9"/>
  <c r="O320" i="9"/>
  <c r="P320" i="9"/>
  <c r="Q320" i="9"/>
  <c r="R320" i="9"/>
  <c r="S320" i="9"/>
  <c r="T320" i="9"/>
  <c r="U320" i="9"/>
  <c r="V320" i="9"/>
  <c r="W320" i="9"/>
  <c r="X320" i="9"/>
  <c r="Y320" i="9"/>
  <c r="Z320" i="9"/>
  <c r="AA320" i="9"/>
  <c r="AB320" i="9"/>
  <c r="AC320" i="9"/>
  <c r="AD320" i="9"/>
  <c r="AE320" i="9"/>
  <c r="AF320" i="9"/>
  <c r="AG320" i="9"/>
  <c r="AH320" i="9"/>
  <c r="B321" i="9"/>
  <c r="C321" i="9"/>
  <c r="D321" i="9"/>
  <c r="E321" i="9"/>
  <c r="F321" i="9"/>
  <c r="G321" i="9"/>
  <c r="H321" i="9"/>
  <c r="I321" i="9"/>
  <c r="K321" i="9"/>
  <c r="L321" i="9"/>
  <c r="M321" i="9"/>
  <c r="N321" i="9"/>
  <c r="O321" i="9"/>
  <c r="P321" i="9"/>
  <c r="Q321" i="9"/>
  <c r="R321" i="9"/>
  <c r="S321" i="9"/>
  <c r="T321" i="9"/>
  <c r="U321" i="9"/>
  <c r="V321" i="9"/>
  <c r="W321" i="9"/>
  <c r="X321" i="9"/>
  <c r="Y321" i="9"/>
  <c r="Z321" i="9"/>
  <c r="AA321" i="9"/>
  <c r="AB321" i="9"/>
  <c r="AC321" i="9"/>
  <c r="AD321" i="9"/>
  <c r="AE321" i="9"/>
  <c r="AF321" i="9"/>
  <c r="AG321" i="9"/>
  <c r="AH321" i="9"/>
  <c r="B322" i="9"/>
  <c r="C322" i="9"/>
  <c r="D322" i="9"/>
  <c r="E322" i="9"/>
  <c r="F322" i="9"/>
  <c r="G322" i="9"/>
  <c r="H322" i="9"/>
  <c r="I322" i="9"/>
  <c r="K322" i="9"/>
  <c r="L322" i="9"/>
  <c r="M322" i="9"/>
  <c r="N322" i="9"/>
  <c r="O322" i="9"/>
  <c r="P322" i="9"/>
  <c r="Q322" i="9"/>
  <c r="R322" i="9"/>
  <c r="S322" i="9"/>
  <c r="T322" i="9"/>
  <c r="U322" i="9"/>
  <c r="V322" i="9"/>
  <c r="W322" i="9"/>
  <c r="X322" i="9"/>
  <c r="Y322" i="9"/>
  <c r="Z322" i="9"/>
  <c r="AA322" i="9"/>
  <c r="AB322" i="9"/>
  <c r="AC322" i="9"/>
  <c r="AD322" i="9"/>
  <c r="AE322" i="9"/>
  <c r="AF322" i="9"/>
  <c r="AG322" i="9"/>
  <c r="AH322" i="9"/>
  <c r="B323" i="9"/>
  <c r="C323" i="9"/>
  <c r="D323" i="9"/>
  <c r="E323" i="9"/>
  <c r="F323" i="9"/>
  <c r="G323" i="9"/>
  <c r="H323" i="9"/>
  <c r="I323" i="9"/>
  <c r="K323" i="9"/>
  <c r="L323" i="9"/>
  <c r="M323" i="9"/>
  <c r="N323" i="9"/>
  <c r="O323" i="9"/>
  <c r="P323" i="9"/>
  <c r="Q323" i="9"/>
  <c r="R323" i="9"/>
  <c r="S323" i="9"/>
  <c r="T323" i="9"/>
  <c r="U323" i="9"/>
  <c r="V323" i="9"/>
  <c r="W323" i="9"/>
  <c r="X323" i="9"/>
  <c r="Y323" i="9"/>
  <c r="Z323" i="9"/>
  <c r="AA323" i="9"/>
  <c r="AB323" i="9"/>
  <c r="AC323" i="9"/>
  <c r="AD323" i="9"/>
  <c r="AE323" i="9"/>
  <c r="AF323" i="9"/>
  <c r="AG323" i="9"/>
  <c r="AH323" i="9"/>
  <c r="B324" i="9"/>
  <c r="C324" i="9"/>
  <c r="D324" i="9"/>
  <c r="E324" i="9"/>
  <c r="F324" i="9"/>
  <c r="G324" i="9"/>
  <c r="H324" i="9"/>
  <c r="I324" i="9"/>
  <c r="K324" i="9"/>
  <c r="L324" i="9"/>
  <c r="M324" i="9"/>
  <c r="N324" i="9"/>
  <c r="O324" i="9"/>
  <c r="P324" i="9"/>
  <c r="Q324" i="9"/>
  <c r="R324" i="9"/>
  <c r="S324" i="9"/>
  <c r="T324" i="9"/>
  <c r="U324" i="9"/>
  <c r="V324" i="9"/>
  <c r="W324" i="9"/>
  <c r="X324" i="9"/>
  <c r="Y324" i="9"/>
  <c r="Z324" i="9"/>
  <c r="AA324" i="9"/>
  <c r="AB324" i="9"/>
  <c r="AC324" i="9"/>
  <c r="AD324" i="9"/>
  <c r="AE324" i="9"/>
  <c r="AF324" i="9"/>
  <c r="AG324" i="9"/>
  <c r="AH324" i="9"/>
  <c r="B325" i="9"/>
  <c r="C325" i="9"/>
  <c r="D325" i="9"/>
  <c r="E325" i="9"/>
  <c r="F325" i="9"/>
  <c r="G325" i="9"/>
  <c r="H325" i="9"/>
  <c r="I325" i="9"/>
  <c r="K325" i="9"/>
  <c r="L325" i="9"/>
  <c r="M325" i="9"/>
  <c r="N325" i="9"/>
  <c r="O325" i="9"/>
  <c r="P325" i="9"/>
  <c r="Q325" i="9"/>
  <c r="R325" i="9"/>
  <c r="S325" i="9"/>
  <c r="T325" i="9"/>
  <c r="U325" i="9"/>
  <c r="V325" i="9"/>
  <c r="W325" i="9"/>
  <c r="X325" i="9"/>
  <c r="Y325" i="9"/>
  <c r="Z325" i="9"/>
  <c r="AA325" i="9"/>
  <c r="AB325" i="9"/>
  <c r="AC325" i="9"/>
  <c r="AD325" i="9"/>
  <c r="AE325" i="9"/>
  <c r="AF325" i="9"/>
  <c r="AG325" i="9"/>
  <c r="AH325" i="9"/>
  <c r="B326" i="9"/>
  <c r="C326" i="9"/>
  <c r="D326" i="9"/>
  <c r="E326" i="9"/>
  <c r="F326" i="9"/>
  <c r="G326" i="9"/>
  <c r="H326" i="9"/>
  <c r="I326" i="9"/>
  <c r="K326" i="9"/>
  <c r="L326" i="9"/>
  <c r="M326" i="9"/>
  <c r="N326" i="9"/>
  <c r="O326" i="9"/>
  <c r="P326" i="9"/>
  <c r="Q326" i="9"/>
  <c r="R326" i="9"/>
  <c r="S326" i="9"/>
  <c r="T326" i="9"/>
  <c r="U326" i="9"/>
  <c r="V326" i="9"/>
  <c r="W326" i="9"/>
  <c r="X326" i="9"/>
  <c r="Y326" i="9"/>
  <c r="Z326" i="9"/>
  <c r="AA326" i="9"/>
  <c r="AB326" i="9"/>
  <c r="AC326" i="9"/>
  <c r="AD326" i="9"/>
  <c r="AE326" i="9"/>
  <c r="AF326" i="9"/>
  <c r="AG326" i="9"/>
  <c r="AH326" i="9"/>
  <c r="B327" i="9"/>
  <c r="C327" i="9"/>
  <c r="D327" i="9"/>
  <c r="E327" i="9"/>
  <c r="F327" i="9"/>
  <c r="G327" i="9"/>
  <c r="H327" i="9"/>
  <c r="I327" i="9"/>
  <c r="K327" i="9"/>
  <c r="L327" i="9"/>
  <c r="M327" i="9"/>
  <c r="N327" i="9"/>
  <c r="O327" i="9"/>
  <c r="P327" i="9"/>
  <c r="Q327" i="9"/>
  <c r="R327" i="9"/>
  <c r="S327" i="9"/>
  <c r="T327" i="9"/>
  <c r="U327" i="9"/>
  <c r="V327" i="9"/>
  <c r="W327" i="9"/>
  <c r="X327" i="9"/>
  <c r="Y327" i="9"/>
  <c r="Z327" i="9"/>
  <c r="AA327" i="9"/>
  <c r="AB327" i="9"/>
  <c r="AC327" i="9"/>
  <c r="AD327" i="9"/>
  <c r="AE327" i="9"/>
  <c r="AF327" i="9"/>
  <c r="AG327" i="9"/>
  <c r="AH327" i="9"/>
  <c r="B328" i="9"/>
  <c r="C328" i="9"/>
  <c r="D328" i="9"/>
  <c r="E328" i="9"/>
  <c r="F328" i="9"/>
  <c r="G328" i="9"/>
  <c r="H328" i="9"/>
  <c r="I328" i="9"/>
  <c r="K328" i="9"/>
  <c r="L328" i="9"/>
  <c r="M328" i="9"/>
  <c r="N328" i="9"/>
  <c r="O328" i="9"/>
  <c r="P328" i="9"/>
  <c r="Q328" i="9"/>
  <c r="R328" i="9"/>
  <c r="S328" i="9"/>
  <c r="T328" i="9"/>
  <c r="U328" i="9"/>
  <c r="V328" i="9"/>
  <c r="W328" i="9"/>
  <c r="X328" i="9"/>
  <c r="Y328" i="9"/>
  <c r="Z328" i="9"/>
  <c r="AA328" i="9"/>
  <c r="AB328" i="9"/>
  <c r="AC328" i="9"/>
  <c r="AD328" i="9"/>
  <c r="AE328" i="9"/>
  <c r="AF328" i="9"/>
  <c r="AG328" i="9"/>
  <c r="AH328" i="9"/>
  <c r="B329" i="9"/>
  <c r="C329" i="9"/>
  <c r="D329" i="9"/>
  <c r="E329" i="9"/>
  <c r="F329" i="9"/>
  <c r="G329" i="9"/>
  <c r="H329" i="9"/>
  <c r="I329" i="9"/>
  <c r="K329" i="9"/>
  <c r="L329" i="9"/>
  <c r="M329" i="9"/>
  <c r="N329" i="9"/>
  <c r="O329" i="9"/>
  <c r="P329" i="9"/>
  <c r="Q329" i="9"/>
  <c r="R329" i="9"/>
  <c r="S329" i="9"/>
  <c r="T329" i="9"/>
  <c r="U329" i="9"/>
  <c r="V329" i="9"/>
  <c r="W329" i="9"/>
  <c r="X329" i="9"/>
  <c r="Y329" i="9"/>
  <c r="Z329" i="9"/>
  <c r="AA329" i="9"/>
  <c r="AB329" i="9"/>
  <c r="AC329" i="9"/>
  <c r="AD329" i="9"/>
  <c r="AE329" i="9"/>
  <c r="AF329" i="9"/>
  <c r="AG329" i="9"/>
  <c r="AH329" i="9"/>
  <c r="B330" i="9"/>
  <c r="C330" i="9"/>
  <c r="D330" i="9"/>
  <c r="E330" i="9"/>
  <c r="F330" i="9"/>
  <c r="G330" i="9"/>
  <c r="H330" i="9"/>
  <c r="I330" i="9"/>
  <c r="K330" i="9"/>
  <c r="L330" i="9"/>
  <c r="M330" i="9"/>
  <c r="N330" i="9"/>
  <c r="O330" i="9"/>
  <c r="P330" i="9"/>
  <c r="Q330" i="9"/>
  <c r="R330" i="9"/>
  <c r="S330" i="9"/>
  <c r="T330" i="9"/>
  <c r="U330" i="9"/>
  <c r="V330" i="9"/>
  <c r="W330" i="9"/>
  <c r="X330" i="9"/>
  <c r="Y330" i="9"/>
  <c r="Z330" i="9"/>
  <c r="AA330" i="9"/>
  <c r="AB330" i="9"/>
  <c r="AC330" i="9"/>
  <c r="AD330" i="9"/>
  <c r="AE330" i="9"/>
  <c r="AF330" i="9"/>
  <c r="AG330" i="9"/>
  <c r="AH330" i="9"/>
  <c r="B331" i="9"/>
  <c r="C331" i="9"/>
  <c r="D331" i="9"/>
  <c r="E331" i="9"/>
  <c r="F331" i="9"/>
  <c r="G331" i="9"/>
  <c r="H331" i="9"/>
  <c r="I331" i="9"/>
  <c r="K331" i="9"/>
  <c r="L331" i="9"/>
  <c r="M331" i="9"/>
  <c r="N331" i="9"/>
  <c r="O331" i="9"/>
  <c r="P331" i="9"/>
  <c r="Q331" i="9"/>
  <c r="R331" i="9"/>
  <c r="S331" i="9"/>
  <c r="T331" i="9"/>
  <c r="U331" i="9"/>
  <c r="V331" i="9"/>
  <c r="W331" i="9"/>
  <c r="X331" i="9"/>
  <c r="Y331" i="9"/>
  <c r="Z331" i="9"/>
  <c r="AA331" i="9"/>
  <c r="AB331" i="9"/>
  <c r="AC331" i="9"/>
  <c r="AD331" i="9"/>
  <c r="AE331" i="9"/>
  <c r="AF331" i="9"/>
  <c r="AG331" i="9"/>
  <c r="AH331" i="9"/>
  <c r="B332" i="9"/>
  <c r="C332" i="9"/>
  <c r="D332" i="9"/>
  <c r="E332" i="9"/>
  <c r="F332" i="9"/>
  <c r="G332" i="9"/>
  <c r="H332" i="9"/>
  <c r="I332" i="9"/>
  <c r="K332" i="9"/>
  <c r="L332" i="9"/>
  <c r="M332" i="9"/>
  <c r="N332" i="9"/>
  <c r="O332" i="9"/>
  <c r="P332" i="9"/>
  <c r="Q332" i="9"/>
  <c r="R332" i="9"/>
  <c r="S332" i="9"/>
  <c r="T332" i="9"/>
  <c r="U332" i="9"/>
  <c r="V332" i="9"/>
  <c r="W332" i="9"/>
  <c r="X332" i="9"/>
  <c r="Y332" i="9"/>
  <c r="Z332" i="9"/>
  <c r="AA332" i="9"/>
  <c r="AB332" i="9"/>
  <c r="AC332" i="9"/>
  <c r="AD332" i="9"/>
  <c r="AE332" i="9"/>
  <c r="AF332" i="9"/>
  <c r="AG332" i="9"/>
  <c r="AH332" i="9"/>
  <c r="B333" i="9"/>
  <c r="C333" i="9"/>
  <c r="D333" i="9"/>
  <c r="E333" i="9"/>
  <c r="F333" i="9"/>
  <c r="G333" i="9"/>
  <c r="H333" i="9"/>
  <c r="I333" i="9"/>
  <c r="K333" i="9"/>
  <c r="L333" i="9"/>
  <c r="M333" i="9"/>
  <c r="N333" i="9"/>
  <c r="O333" i="9"/>
  <c r="P333" i="9"/>
  <c r="Q333" i="9"/>
  <c r="R333" i="9"/>
  <c r="S333" i="9"/>
  <c r="T333" i="9"/>
  <c r="U333" i="9"/>
  <c r="V333" i="9"/>
  <c r="W333" i="9"/>
  <c r="X333" i="9"/>
  <c r="Y333" i="9"/>
  <c r="Z333" i="9"/>
  <c r="AA333" i="9"/>
  <c r="AB333" i="9"/>
  <c r="AC333" i="9"/>
  <c r="AD333" i="9"/>
  <c r="AE333" i="9"/>
  <c r="AF333" i="9"/>
  <c r="AG333" i="9"/>
  <c r="AH333" i="9"/>
  <c r="B334" i="9"/>
  <c r="C334" i="9"/>
  <c r="D334" i="9"/>
  <c r="E334" i="9"/>
  <c r="F334" i="9"/>
  <c r="G334" i="9"/>
  <c r="H334" i="9"/>
  <c r="I334" i="9"/>
  <c r="K334" i="9"/>
  <c r="L334" i="9"/>
  <c r="M334" i="9"/>
  <c r="N334" i="9"/>
  <c r="O334" i="9"/>
  <c r="P334" i="9"/>
  <c r="Q334" i="9"/>
  <c r="R334" i="9"/>
  <c r="S334" i="9"/>
  <c r="T334" i="9"/>
  <c r="U334" i="9"/>
  <c r="V334" i="9"/>
  <c r="W334" i="9"/>
  <c r="X334" i="9"/>
  <c r="Y334" i="9"/>
  <c r="Z334" i="9"/>
  <c r="AA334" i="9"/>
  <c r="AB334" i="9"/>
  <c r="AC334" i="9"/>
  <c r="AD334" i="9"/>
  <c r="AE334" i="9"/>
  <c r="AF334" i="9"/>
  <c r="AG334" i="9"/>
  <c r="AH334" i="9"/>
  <c r="B335" i="9"/>
  <c r="C335" i="9"/>
  <c r="D335" i="9"/>
  <c r="E335" i="9"/>
  <c r="F335" i="9"/>
  <c r="G335" i="9"/>
  <c r="H335" i="9"/>
  <c r="I335" i="9"/>
  <c r="K335" i="9"/>
  <c r="L335" i="9"/>
  <c r="M335" i="9"/>
  <c r="N335" i="9"/>
  <c r="O335" i="9"/>
  <c r="P335" i="9"/>
  <c r="Q335" i="9"/>
  <c r="R335" i="9"/>
  <c r="S335" i="9"/>
  <c r="T335" i="9"/>
  <c r="U335" i="9"/>
  <c r="V335" i="9"/>
  <c r="W335" i="9"/>
  <c r="X335" i="9"/>
  <c r="Y335" i="9"/>
  <c r="Z335" i="9"/>
  <c r="AA335" i="9"/>
  <c r="AB335" i="9"/>
  <c r="AC335" i="9"/>
  <c r="AD335" i="9"/>
  <c r="AE335" i="9"/>
  <c r="AF335" i="9"/>
  <c r="AG335" i="9"/>
  <c r="AH335" i="9"/>
  <c r="B336" i="9"/>
  <c r="C336" i="9"/>
  <c r="D336" i="9"/>
  <c r="E336" i="9"/>
  <c r="F336" i="9"/>
  <c r="G336" i="9"/>
  <c r="H336" i="9"/>
  <c r="I336" i="9"/>
  <c r="K336" i="9"/>
  <c r="L336" i="9"/>
  <c r="M336" i="9"/>
  <c r="N336" i="9"/>
  <c r="O336" i="9"/>
  <c r="P336" i="9"/>
  <c r="Q336" i="9"/>
  <c r="R336" i="9"/>
  <c r="S336" i="9"/>
  <c r="T336" i="9"/>
  <c r="U336" i="9"/>
  <c r="V336" i="9"/>
  <c r="W336" i="9"/>
  <c r="X336" i="9"/>
  <c r="Y336" i="9"/>
  <c r="Z336" i="9"/>
  <c r="AA336" i="9"/>
  <c r="AB336" i="9"/>
  <c r="AC336" i="9"/>
  <c r="AD336" i="9"/>
  <c r="AE336" i="9"/>
  <c r="AF336" i="9"/>
  <c r="AG336" i="9"/>
  <c r="AH336" i="9"/>
  <c r="B337" i="9"/>
  <c r="C337" i="9"/>
  <c r="D337" i="9"/>
  <c r="E337" i="9"/>
  <c r="F337" i="9"/>
  <c r="G337" i="9"/>
  <c r="H337" i="9"/>
  <c r="I337" i="9"/>
  <c r="K337" i="9"/>
  <c r="L337" i="9"/>
  <c r="M337" i="9"/>
  <c r="N337" i="9"/>
  <c r="O337" i="9"/>
  <c r="P337" i="9"/>
  <c r="Q337" i="9"/>
  <c r="R337" i="9"/>
  <c r="S337" i="9"/>
  <c r="T337" i="9"/>
  <c r="U337" i="9"/>
  <c r="V337" i="9"/>
  <c r="W337" i="9"/>
  <c r="X337" i="9"/>
  <c r="Y337" i="9"/>
  <c r="Z337" i="9"/>
  <c r="AA337" i="9"/>
  <c r="AB337" i="9"/>
  <c r="AC337" i="9"/>
  <c r="AD337" i="9"/>
  <c r="AE337" i="9"/>
  <c r="AF337" i="9"/>
  <c r="AG337" i="9"/>
  <c r="AH337" i="9"/>
  <c r="B338" i="9"/>
  <c r="C338" i="9"/>
  <c r="D338" i="9"/>
  <c r="E338" i="9"/>
  <c r="F338" i="9"/>
  <c r="G338" i="9"/>
  <c r="H338" i="9"/>
  <c r="I338" i="9"/>
  <c r="K338" i="9"/>
  <c r="L338" i="9"/>
  <c r="M338" i="9"/>
  <c r="N338" i="9"/>
  <c r="O338" i="9"/>
  <c r="P338" i="9"/>
  <c r="Q338" i="9"/>
  <c r="R338" i="9"/>
  <c r="S338" i="9"/>
  <c r="T338" i="9"/>
  <c r="U338" i="9"/>
  <c r="V338" i="9"/>
  <c r="W338" i="9"/>
  <c r="X338" i="9"/>
  <c r="Y338" i="9"/>
  <c r="Z338" i="9"/>
  <c r="AA338" i="9"/>
  <c r="AB338" i="9"/>
  <c r="AC338" i="9"/>
  <c r="AD338" i="9"/>
  <c r="AE338" i="9"/>
  <c r="AF338" i="9"/>
  <c r="AG338" i="9"/>
  <c r="AH338" i="9"/>
  <c r="B339" i="9"/>
  <c r="C339" i="9"/>
  <c r="D339" i="9"/>
  <c r="E339" i="9"/>
  <c r="F339" i="9"/>
  <c r="G339" i="9"/>
  <c r="H339" i="9"/>
  <c r="I339" i="9"/>
  <c r="K339" i="9"/>
  <c r="L339" i="9"/>
  <c r="M339" i="9"/>
  <c r="N339" i="9"/>
  <c r="O339" i="9"/>
  <c r="P339" i="9"/>
  <c r="Q339" i="9"/>
  <c r="R339" i="9"/>
  <c r="S339" i="9"/>
  <c r="T339" i="9"/>
  <c r="U339" i="9"/>
  <c r="V339" i="9"/>
  <c r="W339" i="9"/>
  <c r="X339" i="9"/>
  <c r="Y339" i="9"/>
  <c r="Z339" i="9"/>
  <c r="AA339" i="9"/>
  <c r="AB339" i="9"/>
  <c r="AC339" i="9"/>
  <c r="AD339" i="9"/>
  <c r="AE339" i="9"/>
  <c r="AF339" i="9"/>
  <c r="AG339" i="9"/>
  <c r="AH339" i="9"/>
  <c r="B340" i="9"/>
  <c r="C340" i="9"/>
  <c r="D340" i="9"/>
  <c r="E340" i="9"/>
  <c r="F340" i="9"/>
  <c r="G340" i="9"/>
  <c r="H340" i="9"/>
  <c r="I340" i="9"/>
  <c r="K340" i="9"/>
  <c r="L340" i="9"/>
  <c r="M340" i="9"/>
  <c r="N340" i="9"/>
  <c r="O340" i="9"/>
  <c r="P340" i="9"/>
  <c r="Q340" i="9"/>
  <c r="R340" i="9"/>
  <c r="S340" i="9"/>
  <c r="T340" i="9"/>
  <c r="U340" i="9"/>
  <c r="V340" i="9"/>
  <c r="W340" i="9"/>
  <c r="X340" i="9"/>
  <c r="Y340" i="9"/>
  <c r="Z340" i="9"/>
  <c r="AA340" i="9"/>
  <c r="AB340" i="9"/>
  <c r="AC340" i="9"/>
  <c r="AD340" i="9"/>
  <c r="AE340" i="9"/>
  <c r="AF340" i="9"/>
  <c r="AG340" i="9"/>
  <c r="AH340" i="9"/>
  <c r="B341" i="9"/>
  <c r="C341" i="9"/>
  <c r="D341" i="9"/>
  <c r="E341" i="9"/>
  <c r="F341" i="9"/>
  <c r="G341" i="9"/>
  <c r="H341" i="9"/>
  <c r="I341" i="9"/>
  <c r="K341" i="9"/>
  <c r="L341" i="9"/>
  <c r="M341" i="9"/>
  <c r="N341" i="9"/>
  <c r="O341" i="9"/>
  <c r="P341" i="9"/>
  <c r="Q341" i="9"/>
  <c r="R341" i="9"/>
  <c r="S341" i="9"/>
  <c r="T341" i="9"/>
  <c r="U341" i="9"/>
  <c r="V341" i="9"/>
  <c r="W341" i="9"/>
  <c r="X341" i="9"/>
  <c r="Y341" i="9"/>
  <c r="Z341" i="9"/>
  <c r="AA341" i="9"/>
  <c r="AB341" i="9"/>
  <c r="AC341" i="9"/>
  <c r="AD341" i="9"/>
  <c r="AE341" i="9"/>
  <c r="AF341" i="9"/>
  <c r="AG341" i="9"/>
  <c r="AH341" i="9"/>
  <c r="B342" i="9"/>
  <c r="C342" i="9"/>
  <c r="D342" i="9"/>
  <c r="E342" i="9"/>
  <c r="F342" i="9"/>
  <c r="G342" i="9"/>
  <c r="H342" i="9"/>
  <c r="I342" i="9"/>
  <c r="K342" i="9"/>
  <c r="L342" i="9"/>
  <c r="M342" i="9"/>
  <c r="N342" i="9"/>
  <c r="O342" i="9"/>
  <c r="P342" i="9"/>
  <c r="Q342" i="9"/>
  <c r="R342" i="9"/>
  <c r="S342" i="9"/>
  <c r="T342" i="9"/>
  <c r="U342" i="9"/>
  <c r="V342" i="9"/>
  <c r="W342" i="9"/>
  <c r="X342" i="9"/>
  <c r="Y342" i="9"/>
  <c r="Z342" i="9"/>
  <c r="AA342" i="9"/>
  <c r="AB342" i="9"/>
  <c r="AC342" i="9"/>
  <c r="AD342" i="9"/>
  <c r="AE342" i="9"/>
  <c r="AF342" i="9"/>
  <c r="AG342" i="9"/>
  <c r="AH342" i="9"/>
  <c r="B343" i="9"/>
  <c r="C343" i="9"/>
  <c r="D343" i="9"/>
  <c r="E343" i="9"/>
  <c r="F343" i="9"/>
  <c r="G343" i="9"/>
  <c r="H343" i="9"/>
  <c r="I343" i="9"/>
  <c r="K343" i="9"/>
  <c r="L343" i="9"/>
  <c r="M343" i="9"/>
  <c r="N343" i="9"/>
  <c r="O343" i="9"/>
  <c r="P343" i="9"/>
  <c r="Q343" i="9"/>
  <c r="R343" i="9"/>
  <c r="S343" i="9"/>
  <c r="T343" i="9"/>
  <c r="U343" i="9"/>
  <c r="V343" i="9"/>
  <c r="W343" i="9"/>
  <c r="X343" i="9"/>
  <c r="Y343" i="9"/>
  <c r="Z343" i="9"/>
  <c r="AA343" i="9"/>
  <c r="AB343" i="9"/>
  <c r="AC343" i="9"/>
  <c r="AD343" i="9"/>
  <c r="AE343" i="9"/>
  <c r="AF343" i="9"/>
  <c r="AG343" i="9"/>
  <c r="AH343" i="9"/>
  <c r="B344" i="9"/>
  <c r="C344" i="9"/>
  <c r="D344" i="9"/>
  <c r="E344" i="9"/>
  <c r="F344" i="9"/>
  <c r="G344" i="9"/>
  <c r="H344" i="9"/>
  <c r="I344" i="9"/>
  <c r="K344" i="9"/>
  <c r="L344" i="9"/>
  <c r="M344" i="9"/>
  <c r="N344" i="9"/>
  <c r="O344" i="9"/>
  <c r="P344" i="9"/>
  <c r="Q344" i="9"/>
  <c r="R344" i="9"/>
  <c r="S344" i="9"/>
  <c r="T344" i="9"/>
  <c r="U344" i="9"/>
  <c r="V344" i="9"/>
  <c r="W344" i="9"/>
  <c r="X344" i="9"/>
  <c r="Y344" i="9"/>
  <c r="Z344" i="9"/>
  <c r="AA344" i="9"/>
  <c r="AB344" i="9"/>
  <c r="AC344" i="9"/>
  <c r="AD344" i="9"/>
  <c r="AE344" i="9"/>
  <c r="AF344" i="9"/>
  <c r="AG344" i="9"/>
  <c r="AH344" i="9"/>
  <c r="B345" i="9"/>
  <c r="C345" i="9"/>
  <c r="D345" i="9"/>
  <c r="E345" i="9"/>
  <c r="F345" i="9"/>
  <c r="G345" i="9"/>
  <c r="H345" i="9"/>
  <c r="I345" i="9"/>
  <c r="K345" i="9"/>
  <c r="L345" i="9"/>
  <c r="M345" i="9"/>
  <c r="N345" i="9"/>
  <c r="O345" i="9"/>
  <c r="P345" i="9"/>
  <c r="Q345" i="9"/>
  <c r="R345" i="9"/>
  <c r="S345" i="9"/>
  <c r="T345" i="9"/>
  <c r="U345" i="9"/>
  <c r="V345" i="9"/>
  <c r="W345" i="9"/>
  <c r="X345" i="9"/>
  <c r="Y345" i="9"/>
  <c r="Z345" i="9"/>
  <c r="AA345" i="9"/>
  <c r="AB345" i="9"/>
  <c r="AC345" i="9"/>
  <c r="AD345" i="9"/>
  <c r="AE345" i="9"/>
  <c r="AF345" i="9"/>
  <c r="AG345" i="9"/>
  <c r="AH345" i="9"/>
  <c r="B346" i="9"/>
  <c r="C346" i="9"/>
  <c r="D346" i="9"/>
  <c r="E346" i="9"/>
  <c r="F346" i="9"/>
  <c r="G346" i="9"/>
  <c r="H346" i="9"/>
  <c r="I346" i="9"/>
  <c r="K346" i="9"/>
  <c r="L346" i="9"/>
  <c r="M346" i="9"/>
  <c r="N346" i="9"/>
  <c r="O346" i="9"/>
  <c r="P346" i="9"/>
  <c r="Q346" i="9"/>
  <c r="R346" i="9"/>
  <c r="S346" i="9"/>
  <c r="T346" i="9"/>
  <c r="U346" i="9"/>
  <c r="V346" i="9"/>
  <c r="W346" i="9"/>
  <c r="X346" i="9"/>
  <c r="Y346" i="9"/>
  <c r="Z346" i="9"/>
  <c r="AA346" i="9"/>
  <c r="AB346" i="9"/>
  <c r="AC346" i="9"/>
  <c r="AD346" i="9"/>
  <c r="AE346" i="9"/>
  <c r="AF346" i="9"/>
  <c r="AG346" i="9"/>
  <c r="AH346" i="9"/>
  <c r="B347" i="9"/>
  <c r="C347" i="9"/>
  <c r="D347" i="9"/>
  <c r="E347" i="9"/>
  <c r="F347" i="9"/>
  <c r="G347" i="9"/>
  <c r="H347" i="9"/>
  <c r="I347" i="9"/>
  <c r="K347" i="9"/>
  <c r="L347" i="9"/>
  <c r="M347" i="9"/>
  <c r="N347" i="9"/>
  <c r="O347" i="9"/>
  <c r="P347" i="9"/>
  <c r="Q347" i="9"/>
  <c r="R347" i="9"/>
  <c r="S347" i="9"/>
  <c r="T347" i="9"/>
  <c r="U347" i="9"/>
  <c r="V347" i="9"/>
  <c r="W347" i="9"/>
  <c r="X347" i="9"/>
  <c r="Y347" i="9"/>
  <c r="Z347" i="9"/>
  <c r="AA347" i="9"/>
  <c r="AB347" i="9"/>
  <c r="AC347" i="9"/>
  <c r="AD347" i="9"/>
  <c r="AE347" i="9"/>
  <c r="AF347" i="9"/>
  <c r="AG347" i="9"/>
  <c r="AH347" i="9"/>
  <c r="B348" i="9"/>
  <c r="C348" i="9"/>
  <c r="D348" i="9"/>
  <c r="E348" i="9"/>
  <c r="F348" i="9"/>
  <c r="G348" i="9"/>
  <c r="H348" i="9"/>
  <c r="I348" i="9"/>
  <c r="K348" i="9"/>
  <c r="L348" i="9"/>
  <c r="M348" i="9"/>
  <c r="N348" i="9"/>
  <c r="O348" i="9"/>
  <c r="P348" i="9"/>
  <c r="Q348" i="9"/>
  <c r="R348" i="9"/>
  <c r="S348" i="9"/>
  <c r="T348" i="9"/>
  <c r="U348" i="9"/>
  <c r="V348" i="9"/>
  <c r="W348" i="9"/>
  <c r="X348" i="9"/>
  <c r="Y348" i="9"/>
  <c r="Z348" i="9"/>
  <c r="AA348" i="9"/>
  <c r="AB348" i="9"/>
  <c r="AC348" i="9"/>
  <c r="AD348" i="9"/>
  <c r="AE348" i="9"/>
  <c r="AF348" i="9"/>
  <c r="AG348" i="9"/>
  <c r="AH348" i="9"/>
  <c r="B349" i="9"/>
  <c r="C349" i="9"/>
  <c r="D349" i="9"/>
  <c r="E349" i="9"/>
  <c r="F349" i="9"/>
  <c r="G349" i="9"/>
  <c r="H349" i="9"/>
  <c r="I349" i="9"/>
  <c r="K349" i="9"/>
  <c r="L349" i="9"/>
  <c r="M349" i="9"/>
  <c r="N349" i="9"/>
  <c r="O349" i="9"/>
  <c r="P349" i="9"/>
  <c r="Q349" i="9"/>
  <c r="R349" i="9"/>
  <c r="S349" i="9"/>
  <c r="T349" i="9"/>
  <c r="U349" i="9"/>
  <c r="V349" i="9"/>
  <c r="W349" i="9"/>
  <c r="X349" i="9"/>
  <c r="Y349" i="9"/>
  <c r="Z349" i="9"/>
  <c r="AA349" i="9"/>
  <c r="AB349" i="9"/>
  <c r="AC349" i="9"/>
  <c r="AD349" i="9"/>
  <c r="AE349" i="9"/>
  <c r="AF349" i="9"/>
  <c r="AG349" i="9"/>
  <c r="AH349" i="9"/>
  <c r="B350" i="9"/>
  <c r="C350" i="9"/>
  <c r="D350" i="9"/>
  <c r="E350" i="9"/>
  <c r="F350" i="9"/>
  <c r="G350" i="9"/>
  <c r="H350" i="9"/>
  <c r="I350" i="9"/>
  <c r="K350" i="9"/>
  <c r="L350" i="9"/>
  <c r="M350" i="9"/>
  <c r="N350" i="9"/>
  <c r="O350" i="9"/>
  <c r="P350" i="9"/>
  <c r="Q350" i="9"/>
  <c r="R350" i="9"/>
  <c r="S350" i="9"/>
  <c r="T350" i="9"/>
  <c r="U350" i="9"/>
  <c r="V350" i="9"/>
  <c r="W350" i="9"/>
  <c r="X350" i="9"/>
  <c r="Y350" i="9"/>
  <c r="Z350" i="9"/>
  <c r="AA350" i="9"/>
  <c r="AB350" i="9"/>
  <c r="AC350" i="9"/>
  <c r="AD350" i="9"/>
  <c r="AE350" i="9"/>
  <c r="AF350" i="9"/>
  <c r="AG350" i="9"/>
  <c r="AH350" i="9"/>
  <c r="B351" i="9"/>
  <c r="C351" i="9"/>
  <c r="D351" i="9"/>
  <c r="E351" i="9"/>
  <c r="F351" i="9"/>
  <c r="G351" i="9"/>
  <c r="H351" i="9"/>
  <c r="I351" i="9"/>
  <c r="K351" i="9"/>
  <c r="L351" i="9"/>
  <c r="M351" i="9"/>
  <c r="N351" i="9"/>
  <c r="O351" i="9"/>
  <c r="P351" i="9"/>
  <c r="Q351" i="9"/>
  <c r="R351" i="9"/>
  <c r="S351" i="9"/>
  <c r="T351" i="9"/>
  <c r="U351" i="9"/>
  <c r="V351" i="9"/>
  <c r="W351" i="9"/>
  <c r="X351" i="9"/>
  <c r="Y351" i="9"/>
  <c r="Z351" i="9"/>
  <c r="AA351" i="9"/>
  <c r="AB351" i="9"/>
  <c r="AC351" i="9"/>
  <c r="AD351" i="9"/>
  <c r="AE351" i="9"/>
  <c r="AF351" i="9"/>
  <c r="AG351" i="9"/>
  <c r="AH351" i="9"/>
  <c r="B352" i="9"/>
  <c r="C352" i="9"/>
  <c r="D352" i="9"/>
  <c r="E352" i="9"/>
  <c r="F352" i="9"/>
  <c r="G352" i="9"/>
  <c r="H352" i="9"/>
  <c r="I352" i="9"/>
  <c r="K352" i="9"/>
  <c r="L352" i="9"/>
  <c r="M352" i="9"/>
  <c r="N352" i="9"/>
  <c r="O352" i="9"/>
  <c r="P352" i="9"/>
  <c r="Q352" i="9"/>
  <c r="R352" i="9"/>
  <c r="S352" i="9"/>
  <c r="T352" i="9"/>
  <c r="U352" i="9"/>
  <c r="V352" i="9"/>
  <c r="W352" i="9"/>
  <c r="X352" i="9"/>
  <c r="Y352" i="9"/>
  <c r="Z352" i="9"/>
  <c r="AA352" i="9"/>
  <c r="AB352" i="9"/>
  <c r="AC352" i="9"/>
  <c r="AD352" i="9"/>
  <c r="AE352" i="9"/>
  <c r="AF352" i="9"/>
  <c r="AG352" i="9"/>
  <c r="AH352" i="9"/>
  <c r="B353" i="9"/>
  <c r="C353" i="9"/>
  <c r="D353" i="9"/>
  <c r="E353" i="9"/>
  <c r="F353" i="9"/>
  <c r="G353" i="9"/>
  <c r="H353" i="9"/>
  <c r="I353" i="9"/>
  <c r="K353" i="9"/>
  <c r="L353" i="9"/>
  <c r="M353" i="9"/>
  <c r="N353" i="9"/>
  <c r="O353" i="9"/>
  <c r="P353" i="9"/>
  <c r="Q353" i="9"/>
  <c r="R353" i="9"/>
  <c r="S353" i="9"/>
  <c r="T353" i="9"/>
  <c r="U353" i="9"/>
  <c r="V353" i="9"/>
  <c r="W353" i="9"/>
  <c r="X353" i="9"/>
  <c r="Y353" i="9"/>
  <c r="Z353" i="9"/>
  <c r="AA353" i="9"/>
  <c r="AB353" i="9"/>
  <c r="AC353" i="9"/>
  <c r="AD353" i="9"/>
  <c r="AE353" i="9"/>
  <c r="AF353" i="9"/>
  <c r="AG353" i="9"/>
  <c r="AH353" i="9"/>
  <c r="B354" i="9"/>
  <c r="C354" i="9"/>
  <c r="D354" i="9"/>
  <c r="E354" i="9"/>
  <c r="F354" i="9"/>
  <c r="G354" i="9"/>
  <c r="H354" i="9"/>
  <c r="I354" i="9"/>
  <c r="K354" i="9"/>
  <c r="L354" i="9"/>
  <c r="M354" i="9"/>
  <c r="N354" i="9"/>
  <c r="O354" i="9"/>
  <c r="P354" i="9"/>
  <c r="Q354" i="9"/>
  <c r="R354" i="9"/>
  <c r="S354" i="9"/>
  <c r="T354" i="9"/>
  <c r="U354" i="9"/>
  <c r="V354" i="9"/>
  <c r="W354" i="9"/>
  <c r="X354" i="9"/>
  <c r="Y354" i="9"/>
  <c r="Z354" i="9"/>
  <c r="AA354" i="9"/>
  <c r="AB354" i="9"/>
  <c r="AC354" i="9"/>
  <c r="AD354" i="9"/>
  <c r="AE354" i="9"/>
  <c r="AF354" i="9"/>
  <c r="AG354" i="9"/>
  <c r="AH354" i="9"/>
  <c r="B355" i="9"/>
  <c r="C355" i="9"/>
  <c r="D355" i="9"/>
  <c r="E355" i="9"/>
  <c r="F355" i="9"/>
  <c r="G355" i="9"/>
  <c r="H355" i="9"/>
  <c r="I355" i="9"/>
  <c r="K355" i="9"/>
  <c r="L355" i="9"/>
  <c r="M355" i="9"/>
  <c r="N355" i="9"/>
  <c r="O355" i="9"/>
  <c r="P355" i="9"/>
  <c r="Q355" i="9"/>
  <c r="R355" i="9"/>
  <c r="S355" i="9"/>
  <c r="T355" i="9"/>
  <c r="U355" i="9"/>
  <c r="V355" i="9"/>
  <c r="W355" i="9"/>
  <c r="X355" i="9"/>
  <c r="Y355" i="9"/>
  <c r="Z355" i="9"/>
  <c r="AA355" i="9"/>
  <c r="AB355" i="9"/>
  <c r="AC355" i="9"/>
  <c r="AD355" i="9"/>
  <c r="AE355" i="9"/>
  <c r="AF355" i="9"/>
  <c r="AG355" i="9"/>
  <c r="AH355" i="9"/>
  <c r="B356" i="9"/>
  <c r="C356" i="9"/>
  <c r="D356" i="9"/>
  <c r="E356" i="9"/>
  <c r="F356" i="9"/>
  <c r="G356" i="9"/>
  <c r="H356" i="9"/>
  <c r="I356" i="9"/>
  <c r="K356" i="9"/>
  <c r="L356" i="9"/>
  <c r="M356" i="9"/>
  <c r="N356" i="9"/>
  <c r="O356" i="9"/>
  <c r="P356" i="9"/>
  <c r="Q356" i="9"/>
  <c r="R356" i="9"/>
  <c r="S356" i="9"/>
  <c r="T356" i="9"/>
  <c r="U356" i="9"/>
  <c r="V356" i="9"/>
  <c r="W356" i="9"/>
  <c r="X356" i="9"/>
  <c r="Y356" i="9"/>
  <c r="Z356" i="9"/>
  <c r="AA356" i="9"/>
  <c r="AB356" i="9"/>
  <c r="AC356" i="9"/>
  <c r="AD356" i="9"/>
  <c r="AE356" i="9"/>
  <c r="AF356" i="9"/>
  <c r="AG356" i="9"/>
  <c r="AH356" i="9"/>
  <c r="B357" i="9"/>
  <c r="C357" i="9"/>
  <c r="D357" i="9"/>
  <c r="E357" i="9"/>
  <c r="F357" i="9"/>
  <c r="G357" i="9"/>
  <c r="H357" i="9"/>
  <c r="I357" i="9"/>
  <c r="K357" i="9"/>
  <c r="L357" i="9"/>
  <c r="M357" i="9"/>
  <c r="N357" i="9"/>
  <c r="O357" i="9"/>
  <c r="P357" i="9"/>
  <c r="Q357" i="9"/>
  <c r="R357" i="9"/>
  <c r="S357" i="9"/>
  <c r="T357" i="9"/>
  <c r="U357" i="9"/>
  <c r="V357" i="9"/>
  <c r="W357" i="9"/>
  <c r="X357" i="9"/>
  <c r="Y357" i="9"/>
  <c r="Z357" i="9"/>
  <c r="AA357" i="9"/>
  <c r="AB357" i="9"/>
  <c r="AC357" i="9"/>
  <c r="AD357" i="9"/>
  <c r="AE357" i="9"/>
  <c r="AF357" i="9"/>
  <c r="AG357" i="9"/>
  <c r="AH357" i="9"/>
  <c r="B358" i="9"/>
  <c r="C358" i="9"/>
  <c r="D358" i="9"/>
  <c r="E358" i="9"/>
  <c r="F358" i="9"/>
  <c r="G358" i="9"/>
  <c r="H358" i="9"/>
  <c r="I358" i="9"/>
  <c r="K358" i="9"/>
  <c r="L358" i="9"/>
  <c r="M358" i="9"/>
  <c r="N358" i="9"/>
  <c r="O358" i="9"/>
  <c r="P358" i="9"/>
  <c r="Q358" i="9"/>
  <c r="R358" i="9"/>
  <c r="S358" i="9"/>
  <c r="T358" i="9"/>
  <c r="U358" i="9"/>
  <c r="V358" i="9"/>
  <c r="W358" i="9"/>
  <c r="X358" i="9"/>
  <c r="Y358" i="9"/>
  <c r="Z358" i="9"/>
  <c r="AA358" i="9"/>
  <c r="AB358" i="9"/>
  <c r="AC358" i="9"/>
  <c r="AD358" i="9"/>
  <c r="AE358" i="9"/>
  <c r="AF358" i="9"/>
  <c r="AG358" i="9"/>
  <c r="AH358" i="9"/>
  <c r="B359" i="9"/>
  <c r="C359" i="9"/>
  <c r="D359" i="9"/>
  <c r="E359" i="9"/>
  <c r="F359" i="9"/>
  <c r="G359" i="9"/>
  <c r="H359" i="9"/>
  <c r="I359" i="9"/>
  <c r="K359" i="9"/>
  <c r="L359" i="9"/>
  <c r="M359" i="9"/>
  <c r="N359" i="9"/>
  <c r="O359" i="9"/>
  <c r="P359" i="9"/>
  <c r="Q359" i="9"/>
  <c r="R359" i="9"/>
  <c r="S359" i="9"/>
  <c r="T359" i="9"/>
  <c r="U359" i="9"/>
  <c r="V359" i="9"/>
  <c r="W359" i="9"/>
  <c r="X359" i="9"/>
  <c r="Y359" i="9"/>
  <c r="Z359" i="9"/>
  <c r="AA359" i="9"/>
  <c r="AB359" i="9"/>
  <c r="AC359" i="9"/>
  <c r="AD359" i="9"/>
  <c r="AE359" i="9"/>
  <c r="AF359" i="9"/>
  <c r="AG359" i="9"/>
  <c r="AH359" i="9"/>
  <c r="B360" i="9"/>
  <c r="C360" i="9"/>
  <c r="D360" i="9"/>
  <c r="E360" i="9"/>
  <c r="F360" i="9"/>
  <c r="G360" i="9"/>
  <c r="H360" i="9"/>
  <c r="I360" i="9"/>
  <c r="K360" i="9"/>
  <c r="L360" i="9"/>
  <c r="M360" i="9"/>
  <c r="N360" i="9"/>
  <c r="O360" i="9"/>
  <c r="P360" i="9"/>
  <c r="Q360" i="9"/>
  <c r="R360" i="9"/>
  <c r="S360" i="9"/>
  <c r="T360" i="9"/>
  <c r="U360" i="9"/>
  <c r="V360" i="9"/>
  <c r="W360" i="9"/>
  <c r="X360" i="9"/>
  <c r="Y360" i="9"/>
  <c r="Z360" i="9"/>
  <c r="AA360" i="9"/>
  <c r="AB360" i="9"/>
  <c r="AC360" i="9"/>
  <c r="AD360" i="9"/>
  <c r="AE360" i="9"/>
  <c r="AF360" i="9"/>
  <c r="AG360" i="9"/>
  <c r="AH360" i="9"/>
  <c r="B361" i="9"/>
  <c r="C361" i="9"/>
  <c r="D361" i="9"/>
  <c r="E361" i="9"/>
  <c r="F361" i="9"/>
  <c r="G361" i="9"/>
  <c r="H361" i="9"/>
  <c r="I361" i="9"/>
  <c r="K361" i="9"/>
  <c r="L361" i="9"/>
  <c r="M361" i="9"/>
  <c r="N361" i="9"/>
  <c r="O361" i="9"/>
  <c r="P361" i="9"/>
  <c r="Q361" i="9"/>
  <c r="R361" i="9"/>
  <c r="S361" i="9"/>
  <c r="T361" i="9"/>
  <c r="U361" i="9"/>
  <c r="V361" i="9"/>
  <c r="W361" i="9"/>
  <c r="X361" i="9"/>
  <c r="Y361" i="9"/>
  <c r="Z361" i="9"/>
  <c r="AA361" i="9"/>
  <c r="AB361" i="9"/>
  <c r="AC361" i="9"/>
  <c r="AD361" i="9"/>
  <c r="AE361" i="9"/>
  <c r="AF361" i="9"/>
  <c r="AG361" i="9"/>
  <c r="AH361" i="9"/>
  <c r="B362" i="9"/>
  <c r="C362" i="9"/>
  <c r="D362" i="9"/>
  <c r="E362" i="9"/>
  <c r="F362" i="9"/>
  <c r="G362" i="9"/>
  <c r="H362" i="9"/>
  <c r="I362" i="9"/>
  <c r="K362" i="9"/>
  <c r="L362" i="9"/>
  <c r="M362" i="9"/>
  <c r="N362" i="9"/>
  <c r="O362" i="9"/>
  <c r="P362" i="9"/>
  <c r="Q362" i="9"/>
  <c r="R362" i="9"/>
  <c r="S362" i="9"/>
  <c r="T362" i="9"/>
  <c r="U362" i="9"/>
  <c r="V362" i="9"/>
  <c r="W362" i="9"/>
  <c r="X362" i="9"/>
  <c r="Y362" i="9"/>
  <c r="Z362" i="9"/>
  <c r="AA362" i="9"/>
  <c r="AB362" i="9"/>
  <c r="AC362" i="9"/>
  <c r="AD362" i="9"/>
  <c r="AE362" i="9"/>
  <c r="AF362" i="9"/>
  <c r="AG362" i="9"/>
  <c r="AH362" i="9"/>
  <c r="B363" i="9"/>
  <c r="C363" i="9"/>
  <c r="D363" i="9"/>
  <c r="E363" i="9"/>
  <c r="F363" i="9"/>
  <c r="G363" i="9"/>
  <c r="H363" i="9"/>
  <c r="I363" i="9"/>
  <c r="K363" i="9"/>
  <c r="L363" i="9"/>
  <c r="M363" i="9"/>
  <c r="N363" i="9"/>
  <c r="O363" i="9"/>
  <c r="P363" i="9"/>
  <c r="Q363" i="9"/>
  <c r="R363" i="9"/>
  <c r="S363" i="9"/>
  <c r="T363" i="9"/>
  <c r="U363" i="9"/>
  <c r="V363" i="9"/>
  <c r="W363" i="9"/>
  <c r="X363" i="9"/>
  <c r="Y363" i="9"/>
  <c r="Z363" i="9"/>
  <c r="AA363" i="9"/>
  <c r="AB363" i="9"/>
  <c r="AC363" i="9"/>
  <c r="AD363" i="9"/>
  <c r="AE363" i="9"/>
  <c r="AF363" i="9"/>
  <c r="AG363" i="9"/>
  <c r="AH363" i="9"/>
  <c r="B364" i="9"/>
  <c r="C364" i="9"/>
  <c r="D364" i="9"/>
  <c r="E364" i="9"/>
  <c r="F364" i="9"/>
  <c r="G364" i="9"/>
  <c r="H364" i="9"/>
  <c r="I364" i="9"/>
  <c r="K364" i="9"/>
  <c r="L364" i="9"/>
  <c r="M364" i="9"/>
  <c r="N364" i="9"/>
  <c r="O364" i="9"/>
  <c r="P364" i="9"/>
  <c r="Q364" i="9"/>
  <c r="R364" i="9"/>
  <c r="S364" i="9"/>
  <c r="T364" i="9"/>
  <c r="U364" i="9"/>
  <c r="V364" i="9"/>
  <c r="W364" i="9"/>
  <c r="X364" i="9"/>
  <c r="Y364" i="9"/>
  <c r="Z364" i="9"/>
  <c r="AA364" i="9"/>
  <c r="AB364" i="9"/>
  <c r="AC364" i="9"/>
  <c r="AD364" i="9"/>
  <c r="AE364" i="9"/>
  <c r="AF364" i="9"/>
  <c r="AG364" i="9"/>
  <c r="AH364" i="9"/>
  <c r="B365" i="9"/>
  <c r="C365" i="9"/>
  <c r="D365" i="9"/>
  <c r="E365" i="9"/>
  <c r="F365" i="9"/>
  <c r="G365" i="9"/>
  <c r="H365" i="9"/>
  <c r="I365" i="9"/>
  <c r="K365" i="9"/>
  <c r="L365" i="9"/>
  <c r="M365" i="9"/>
  <c r="N365" i="9"/>
  <c r="O365" i="9"/>
  <c r="P365" i="9"/>
  <c r="Q365" i="9"/>
  <c r="R365" i="9"/>
  <c r="S365" i="9"/>
  <c r="T365" i="9"/>
  <c r="U365" i="9"/>
  <c r="V365" i="9"/>
  <c r="W365" i="9"/>
  <c r="X365" i="9"/>
  <c r="Y365" i="9"/>
  <c r="Z365" i="9"/>
  <c r="AA365" i="9"/>
  <c r="AB365" i="9"/>
  <c r="AC365" i="9"/>
  <c r="AD365" i="9"/>
  <c r="AE365" i="9"/>
  <c r="AF365" i="9"/>
  <c r="AG365" i="9"/>
  <c r="AH365" i="9"/>
  <c r="B366" i="9"/>
  <c r="C366" i="9"/>
  <c r="D366" i="9"/>
  <c r="E366" i="9"/>
  <c r="F366" i="9"/>
  <c r="G366" i="9"/>
  <c r="H366" i="9"/>
  <c r="I366" i="9"/>
  <c r="K366" i="9"/>
  <c r="L366" i="9"/>
  <c r="M366" i="9"/>
  <c r="N366" i="9"/>
  <c r="O366" i="9"/>
  <c r="P366" i="9"/>
  <c r="Q366" i="9"/>
  <c r="R366" i="9"/>
  <c r="S366" i="9"/>
  <c r="T366" i="9"/>
  <c r="U366" i="9"/>
  <c r="V366" i="9"/>
  <c r="W366" i="9"/>
  <c r="X366" i="9"/>
  <c r="Y366" i="9"/>
  <c r="Z366" i="9"/>
  <c r="AA366" i="9"/>
  <c r="AB366" i="9"/>
  <c r="AC366" i="9"/>
  <c r="AD366" i="9"/>
  <c r="AE366" i="9"/>
  <c r="AF366" i="9"/>
  <c r="AG366" i="9"/>
  <c r="AH366" i="9"/>
  <c r="B367" i="9"/>
  <c r="C367" i="9"/>
  <c r="D367" i="9"/>
  <c r="E367" i="9"/>
  <c r="F367" i="9"/>
  <c r="G367" i="9"/>
  <c r="H367" i="9"/>
  <c r="I367" i="9"/>
  <c r="K367" i="9"/>
  <c r="L367" i="9"/>
  <c r="M367" i="9"/>
  <c r="N367" i="9"/>
  <c r="O367" i="9"/>
  <c r="P367" i="9"/>
  <c r="Q367" i="9"/>
  <c r="R367" i="9"/>
  <c r="S367" i="9"/>
  <c r="T367" i="9"/>
  <c r="U367" i="9"/>
  <c r="V367" i="9"/>
  <c r="W367" i="9"/>
  <c r="X367" i="9"/>
  <c r="Y367" i="9"/>
  <c r="Z367" i="9"/>
  <c r="AA367" i="9"/>
  <c r="AB367" i="9"/>
  <c r="AC367" i="9"/>
  <c r="AD367" i="9"/>
  <c r="AE367" i="9"/>
  <c r="AF367" i="9"/>
  <c r="AG367" i="9"/>
  <c r="AH367" i="9"/>
  <c r="B368" i="9"/>
  <c r="C368" i="9"/>
  <c r="D368" i="9"/>
  <c r="E368" i="9"/>
  <c r="F368" i="9"/>
  <c r="G368" i="9"/>
  <c r="H368" i="9"/>
  <c r="I368" i="9"/>
  <c r="K368" i="9"/>
  <c r="L368" i="9"/>
  <c r="M368" i="9"/>
  <c r="N368" i="9"/>
  <c r="O368" i="9"/>
  <c r="P368" i="9"/>
  <c r="Q368" i="9"/>
  <c r="R368" i="9"/>
  <c r="S368" i="9"/>
  <c r="T368" i="9"/>
  <c r="U368" i="9"/>
  <c r="V368" i="9"/>
  <c r="W368" i="9"/>
  <c r="X368" i="9"/>
  <c r="Y368" i="9"/>
  <c r="Z368" i="9"/>
  <c r="AA368" i="9"/>
  <c r="AB368" i="9"/>
  <c r="AC368" i="9"/>
  <c r="AD368" i="9"/>
  <c r="AE368" i="9"/>
  <c r="AF368" i="9"/>
  <c r="AG368" i="9"/>
  <c r="AH368" i="9"/>
  <c r="B369" i="9"/>
  <c r="C369" i="9"/>
  <c r="D369" i="9"/>
  <c r="E369" i="9"/>
  <c r="F369" i="9"/>
  <c r="G369" i="9"/>
  <c r="H369" i="9"/>
  <c r="I369" i="9"/>
  <c r="K369" i="9"/>
  <c r="L369" i="9"/>
  <c r="M369" i="9"/>
  <c r="N369" i="9"/>
  <c r="O369" i="9"/>
  <c r="P369" i="9"/>
  <c r="Q369" i="9"/>
  <c r="R369" i="9"/>
  <c r="S369" i="9"/>
  <c r="T369" i="9"/>
  <c r="U369" i="9"/>
  <c r="V369" i="9"/>
  <c r="W369" i="9"/>
  <c r="X369" i="9"/>
  <c r="Y369" i="9"/>
  <c r="Z369" i="9"/>
  <c r="AA369" i="9"/>
  <c r="AB369" i="9"/>
  <c r="AC369" i="9"/>
  <c r="AD369" i="9"/>
  <c r="AE369" i="9"/>
  <c r="AF369" i="9"/>
  <c r="AG369" i="9"/>
  <c r="AH369" i="9"/>
  <c r="B370" i="9"/>
  <c r="C370" i="9"/>
  <c r="D370" i="9"/>
  <c r="E370" i="9"/>
  <c r="F370" i="9"/>
  <c r="G370" i="9"/>
  <c r="H370" i="9"/>
  <c r="I370" i="9"/>
  <c r="K370" i="9"/>
  <c r="L370" i="9"/>
  <c r="M370" i="9"/>
  <c r="N370" i="9"/>
  <c r="O370" i="9"/>
  <c r="P370" i="9"/>
  <c r="Q370" i="9"/>
  <c r="R370" i="9"/>
  <c r="S370" i="9"/>
  <c r="T370" i="9"/>
  <c r="U370" i="9"/>
  <c r="V370" i="9"/>
  <c r="W370" i="9"/>
  <c r="X370" i="9"/>
  <c r="Y370" i="9"/>
  <c r="Z370" i="9"/>
  <c r="AA370" i="9"/>
  <c r="AB370" i="9"/>
  <c r="AC370" i="9"/>
  <c r="AD370" i="9"/>
  <c r="AE370" i="9"/>
  <c r="AF370" i="9"/>
  <c r="AG370" i="9"/>
  <c r="AH370" i="9"/>
  <c r="B371" i="9"/>
  <c r="C371" i="9"/>
  <c r="D371" i="9"/>
  <c r="E371" i="9"/>
  <c r="F371" i="9"/>
  <c r="G371" i="9"/>
  <c r="H371" i="9"/>
  <c r="I371" i="9"/>
  <c r="K371" i="9"/>
  <c r="L371" i="9"/>
  <c r="M371" i="9"/>
  <c r="N371" i="9"/>
  <c r="O371" i="9"/>
  <c r="P371" i="9"/>
  <c r="Q371" i="9"/>
  <c r="R371" i="9"/>
  <c r="S371" i="9"/>
  <c r="T371" i="9"/>
  <c r="U371" i="9"/>
  <c r="V371" i="9"/>
  <c r="W371" i="9"/>
  <c r="X371" i="9"/>
  <c r="Y371" i="9"/>
  <c r="Z371" i="9"/>
  <c r="AA371" i="9"/>
  <c r="AB371" i="9"/>
  <c r="AC371" i="9"/>
  <c r="AD371" i="9"/>
  <c r="AE371" i="9"/>
  <c r="AF371" i="9"/>
  <c r="AG371" i="9"/>
  <c r="AH371" i="9"/>
  <c r="B372" i="9"/>
  <c r="C372" i="9"/>
  <c r="D372" i="9"/>
  <c r="E372" i="9"/>
  <c r="F372" i="9"/>
  <c r="G372" i="9"/>
  <c r="H372" i="9"/>
  <c r="I372" i="9"/>
  <c r="K372" i="9"/>
  <c r="L372" i="9"/>
  <c r="M372" i="9"/>
  <c r="N372" i="9"/>
  <c r="O372" i="9"/>
  <c r="P372" i="9"/>
  <c r="Q372" i="9"/>
  <c r="R372" i="9"/>
  <c r="S372" i="9"/>
  <c r="T372" i="9"/>
  <c r="U372" i="9"/>
  <c r="V372" i="9"/>
  <c r="W372" i="9"/>
  <c r="X372" i="9"/>
  <c r="Y372" i="9"/>
  <c r="Z372" i="9"/>
  <c r="AA372" i="9"/>
  <c r="AB372" i="9"/>
  <c r="AC372" i="9"/>
  <c r="AD372" i="9"/>
  <c r="AE372" i="9"/>
  <c r="AF372" i="9"/>
  <c r="AG372" i="9"/>
  <c r="AH372" i="9"/>
  <c r="B373" i="9"/>
  <c r="C373" i="9"/>
  <c r="D373" i="9"/>
  <c r="E373" i="9"/>
  <c r="F373" i="9"/>
  <c r="G373" i="9"/>
  <c r="H373" i="9"/>
  <c r="I373" i="9"/>
  <c r="K373" i="9"/>
  <c r="L373" i="9"/>
  <c r="M373" i="9"/>
  <c r="N373" i="9"/>
  <c r="O373" i="9"/>
  <c r="P373" i="9"/>
  <c r="Q373" i="9"/>
  <c r="R373" i="9"/>
  <c r="S373" i="9"/>
  <c r="T373" i="9"/>
  <c r="U373" i="9"/>
  <c r="V373" i="9"/>
  <c r="W373" i="9"/>
  <c r="X373" i="9"/>
  <c r="Y373" i="9"/>
  <c r="Z373" i="9"/>
  <c r="AA373" i="9"/>
  <c r="AB373" i="9"/>
  <c r="AC373" i="9"/>
  <c r="AD373" i="9"/>
  <c r="AE373" i="9"/>
  <c r="AF373" i="9"/>
  <c r="AG373" i="9"/>
  <c r="AH373" i="9"/>
  <c r="B374" i="9"/>
  <c r="C374" i="9"/>
  <c r="D374" i="9"/>
  <c r="E374" i="9"/>
  <c r="F374" i="9"/>
  <c r="G374" i="9"/>
  <c r="H374" i="9"/>
  <c r="I374" i="9"/>
  <c r="K374" i="9"/>
  <c r="L374" i="9"/>
  <c r="M374" i="9"/>
  <c r="N374" i="9"/>
  <c r="O374" i="9"/>
  <c r="P374" i="9"/>
  <c r="Q374" i="9"/>
  <c r="R374" i="9"/>
  <c r="S374" i="9"/>
  <c r="T374" i="9"/>
  <c r="U374" i="9"/>
  <c r="V374" i="9"/>
  <c r="W374" i="9"/>
  <c r="X374" i="9"/>
  <c r="Y374" i="9"/>
  <c r="Z374" i="9"/>
  <c r="AA374" i="9"/>
  <c r="AB374" i="9"/>
  <c r="AC374" i="9"/>
  <c r="AD374" i="9"/>
  <c r="AE374" i="9"/>
  <c r="AF374" i="9"/>
  <c r="AG374" i="9"/>
  <c r="AH374" i="9"/>
  <c r="B375" i="9"/>
  <c r="C375" i="9"/>
  <c r="D375" i="9"/>
  <c r="E375" i="9"/>
  <c r="F375" i="9"/>
  <c r="G375" i="9"/>
  <c r="H375" i="9"/>
  <c r="I375" i="9"/>
  <c r="K375" i="9"/>
  <c r="L375" i="9"/>
  <c r="M375" i="9"/>
  <c r="N375" i="9"/>
  <c r="O375" i="9"/>
  <c r="P375" i="9"/>
  <c r="Q375" i="9"/>
  <c r="R375" i="9"/>
  <c r="S375" i="9"/>
  <c r="T375" i="9"/>
  <c r="U375" i="9"/>
  <c r="V375" i="9"/>
  <c r="W375" i="9"/>
  <c r="X375" i="9"/>
  <c r="Y375" i="9"/>
  <c r="Z375" i="9"/>
  <c r="AA375" i="9"/>
  <c r="AB375" i="9"/>
  <c r="AC375" i="9"/>
  <c r="AD375" i="9"/>
  <c r="AE375" i="9"/>
  <c r="AF375" i="9"/>
  <c r="AG375" i="9"/>
  <c r="AH375" i="9"/>
  <c r="B376" i="9"/>
  <c r="C376" i="9"/>
  <c r="D376" i="9"/>
  <c r="E376" i="9"/>
  <c r="F376" i="9"/>
  <c r="G376" i="9"/>
  <c r="H376" i="9"/>
  <c r="I376" i="9"/>
  <c r="K376" i="9"/>
  <c r="L376" i="9"/>
  <c r="M376" i="9"/>
  <c r="N376" i="9"/>
  <c r="O376" i="9"/>
  <c r="P376" i="9"/>
  <c r="Q376" i="9"/>
  <c r="R376" i="9"/>
  <c r="S376" i="9"/>
  <c r="T376" i="9"/>
  <c r="U376" i="9"/>
  <c r="V376" i="9"/>
  <c r="W376" i="9"/>
  <c r="X376" i="9"/>
  <c r="Y376" i="9"/>
  <c r="Z376" i="9"/>
  <c r="AA376" i="9"/>
  <c r="AB376" i="9"/>
  <c r="AC376" i="9"/>
  <c r="AD376" i="9"/>
  <c r="AE376" i="9"/>
  <c r="AF376" i="9"/>
  <c r="AG376" i="9"/>
  <c r="AH376" i="9"/>
  <c r="B377" i="9"/>
  <c r="C377" i="9"/>
  <c r="D377" i="9"/>
  <c r="E377" i="9"/>
  <c r="F377" i="9"/>
  <c r="G377" i="9"/>
  <c r="H377" i="9"/>
  <c r="I377" i="9"/>
  <c r="K377" i="9"/>
  <c r="L377" i="9"/>
  <c r="M377" i="9"/>
  <c r="N377" i="9"/>
  <c r="O377" i="9"/>
  <c r="P377" i="9"/>
  <c r="Q377" i="9"/>
  <c r="R377" i="9"/>
  <c r="S377" i="9"/>
  <c r="T377" i="9"/>
  <c r="U377" i="9"/>
  <c r="V377" i="9"/>
  <c r="W377" i="9"/>
  <c r="X377" i="9"/>
  <c r="Y377" i="9"/>
  <c r="Z377" i="9"/>
  <c r="AA377" i="9"/>
  <c r="AB377" i="9"/>
  <c r="AC377" i="9"/>
  <c r="AD377" i="9"/>
  <c r="AE377" i="9"/>
  <c r="AF377" i="9"/>
  <c r="AG377" i="9"/>
  <c r="AH377" i="9"/>
  <c r="B378" i="9"/>
  <c r="C378" i="9"/>
  <c r="D378" i="9"/>
  <c r="E378" i="9"/>
  <c r="F378" i="9"/>
  <c r="G378" i="9"/>
  <c r="H378" i="9"/>
  <c r="I378" i="9"/>
  <c r="K378" i="9"/>
  <c r="L378" i="9"/>
  <c r="M378" i="9"/>
  <c r="N378" i="9"/>
  <c r="O378" i="9"/>
  <c r="P378" i="9"/>
  <c r="Q378" i="9"/>
  <c r="R378" i="9"/>
  <c r="S378" i="9"/>
  <c r="T378" i="9"/>
  <c r="U378" i="9"/>
  <c r="V378" i="9"/>
  <c r="W378" i="9"/>
  <c r="X378" i="9"/>
  <c r="Y378" i="9"/>
  <c r="Z378" i="9"/>
  <c r="AA378" i="9"/>
  <c r="AB378" i="9"/>
  <c r="AC378" i="9"/>
  <c r="AD378" i="9"/>
  <c r="AE378" i="9"/>
  <c r="AF378" i="9"/>
  <c r="AG378" i="9"/>
  <c r="AH378" i="9"/>
  <c r="B379" i="9"/>
  <c r="C379" i="9"/>
  <c r="D379" i="9"/>
  <c r="E379" i="9"/>
  <c r="F379" i="9"/>
  <c r="G379" i="9"/>
  <c r="H379" i="9"/>
  <c r="I379" i="9"/>
  <c r="K379" i="9"/>
  <c r="L379" i="9"/>
  <c r="M379" i="9"/>
  <c r="N379" i="9"/>
  <c r="O379" i="9"/>
  <c r="P379" i="9"/>
  <c r="Q379" i="9"/>
  <c r="R379" i="9"/>
  <c r="S379" i="9"/>
  <c r="T379" i="9"/>
  <c r="U379" i="9"/>
  <c r="V379" i="9"/>
  <c r="W379" i="9"/>
  <c r="X379" i="9"/>
  <c r="Y379" i="9"/>
  <c r="Z379" i="9"/>
  <c r="AA379" i="9"/>
  <c r="AB379" i="9"/>
  <c r="AC379" i="9"/>
  <c r="AD379" i="9"/>
  <c r="AE379" i="9"/>
  <c r="AF379" i="9"/>
  <c r="AG379" i="9"/>
  <c r="AH379" i="9"/>
  <c r="B380" i="9"/>
  <c r="C380" i="9"/>
  <c r="D380" i="9"/>
  <c r="E380" i="9"/>
  <c r="F380" i="9"/>
  <c r="G380" i="9"/>
  <c r="H380" i="9"/>
  <c r="I380" i="9"/>
  <c r="K380" i="9"/>
  <c r="L380" i="9"/>
  <c r="M380" i="9"/>
  <c r="N380" i="9"/>
  <c r="O380" i="9"/>
  <c r="P380" i="9"/>
  <c r="Q380" i="9"/>
  <c r="R380" i="9"/>
  <c r="S380" i="9"/>
  <c r="T380" i="9"/>
  <c r="U380" i="9"/>
  <c r="V380" i="9"/>
  <c r="W380" i="9"/>
  <c r="X380" i="9"/>
  <c r="Y380" i="9"/>
  <c r="Z380" i="9"/>
  <c r="AA380" i="9"/>
  <c r="AB380" i="9"/>
  <c r="AC380" i="9"/>
  <c r="AD380" i="9"/>
  <c r="AE380" i="9"/>
  <c r="AF380" i="9"/>
  <c r="AG380" i="9"/>
  <c r="AH380" i="9"/>
  <c r="B381" i="9"/>
  <c r="C381" i="9"/>
  <c r="D381" i="9"/>
  <c r="E381" i="9"/>
  <c r="F381" i="9"/>
  <c r="G381" i="9"/>
  <c r="H381" i="9"/>
  <c r="I381" i="9"/>
  <c r="K381" i="9"/>
  <c r="L381" i="9"/>
  <c r="M381" i="9"/>
  <c r="N381" i="9"/>
  <c r="O381" i="9"/>
  <c r="P381" i="9"/>
  <c r="Q381" i="9"/>
  <c r="R381" i="9"/>
  <c r="S381" i="9"/>
  <c r="T381" i="9"/>
  <c r="U381" i="9"/>
  <c r="V381" i="9"/>
  <c r="W381" i="9"/>
  <c r="X381" i="9"/>
  <c r="Y381" i="9"/>
  <c r="Z381" i="9"/>
  <c r="AA381" i="9"/>
  <c r="AB381" i="9"/>
  <c r="AC381" i="9"/>
  <c r="AD381" i="9"/>
  <c r="AE381" i="9"/>
  <c r="AF381" i="9"/>
  <c r="AG381" i="9"/>
  <c r="AH381" i="9"/>
  <c r="B382" i="9"/>
  <c r="C382" i="9"/>
  <c r="D382" i="9"/>
  <c r="E382" i="9"/>
  <c r="F382" i="9"/>
  <c r="G382" i="9"/>
  <c r="H382" i="9"/>
  <c r="I382" i="9"/>
  <c r="K382" i="9"/>
  <c r="L382" i="9"/>
  <c r="M382" i="9"/>
  <c r="N382" i="9"/>
  <c r="O382" i="9"/>
  <c r="P382" i="9"/>
  <c r="Q382" i="9"/>
  <c r="R382" i="9"/>
  <c r="S382" i="9"/>
  <c r="T382" i="9"/>
  <c r="U382" i="9"/>
  <c r="V382" i="9"/>
  <c r="W382" i="9"/>
  <c r="X382" i="9"/>
  <c r="Y382" i="9"/>
  <c r="Z382" i="9"/>
  <c r="AA382" i="9"/>
  <c r="AB382" i="9"/>
  <c r="AC382" i="9"/>
  <c r="AD382" i="9"/>
  <c r="AE382" i="9"/>
  <c r="AF382" i="9"/>
  <c r="AG382" i="9"/>
  <c r="AH382" i="9"/>
  <c r="B383" i="9"/>
  <c r="C383" i="9"/>
  <c r="D383" i="9"/>
  <c r="E383" i="9"/>
  <c r="F383" i="9"/>
  <c r="G383" i="9"/>
  <c r="H383" i="9"/>
  <c r="I383" i="9"/>
  <c r="K383" i="9"/>
  <c r="L383" i="9"/>
  <c r="M383" i="9"/>
  <c r="N383" i="9"/>
  <c r="O383" i="9"/>
  <c r="P383" i="9"/>
  <c r="Q383" i="9"/>
  <c r="R383" i="9"/>
  <c r="S383" i="9"/>
  <c r="T383" i="9"/>
  <c r="U383" i="9"/>
  <c r="V383" i="9"/>
  <c r="W383" i="9"/>
  <c r="X383" i="9"/>
  <c r="Y383" i="9"/>
  <c r="Z383" i="9"/>
  <c r="AA383" i="9"/>
  <c r="AB383" i="9"/>
  <c r="AC383" i="9"/>
  <c r="AD383" i="9"/>
  <c r="AE383" i="9"/>
  <c r="AF383" i="9"/>
  <c r="AG383" i="9"/>
  <c r="AH383" i="9"/>
  <c r="B384" i="9"/>
  <c r="C384" i="9"/>
  <c r="D384" i="9"/>
  <c r="E384" i="9"/>
  <c r="F384" i="9"/>
  <c r="G384" i="9"/>
  <c r="H384" i="9"/>
  <c r="I384" i="9"/>
  <c r="K384" i="9"/>
  <c r="L384" i="9"/>
  <c r="M384" i="9"/>
  <c r="N384" i="9"/>
  <c r="O384" i="9"/>
  <c r="P384" i="9"/>
  <c r="Q384" i="9"/>
  <c r="R384" i="9"/>
  <c r="S384" i="9"/>
  <c r="T384" i="9"/>
  <c r="U384" i="9"/>
  <c r="V384" i="9"/>
  <c r="W384" i="9"/>
  <c r="X384" i="9"/>
  <c r="Y384" i="9"/>
  <c r="Z384" i="9"/>
  <c r="AA384" i="9"/>
  <c r="AB384" i="9"/>
  <c r="AC384" i="9"/>
  <c r="AD384" i="9"/>
  <c r="AE384" i="9"/>
  <c r="AF384" i="9"/>
  <c r="AG384" i="9"/>
  <c r="AH384" i="9"/>
  <c r="B385" i="9"/>
  <c r="C385" i="9"/>
  <c r="D385" i="9"/>
  <c r="E385" i="9"/>
  <c r="F385" i="9"/>
  <c r="G385" i="9"/>
  <c r="H385" i="9"/>
  <c r="I385" i="9"/>
  <c r="K385" i="9"/>
  <c r="L385" i="9"/>
  <c r="M385" i="9"/>
  <c r="N385" i="9"/>
  <c r="O385" i="9"/>
  <c r="P385" i="9"/>
  <c r="Q385" i="9"/>
  <c r="R385" i="9"/>
  <c r="S385" i="9"/>
  <c r="T385" i="9"/>
  <c r="U385" i="9"/>
  <c r="V385" i="9"/>
  <c r="W385" i="9"/>
  <c r="X385" i="9"/>
  <c r="Y385" i="9"/>
  <c r="Z385" i="9"/>
  <c r="AA385" i="9"/>
  <c r="AB385" i="9"/>
  <c r="AC385" i="9"/>
  <c r="AD385" i="9"/>
  <c r="AE385" i="9"/>
  <c r="AF385" i="9"/>
  <c r="AG385" i="9"/>
  <c r="AH385" i="9"/>
  <c r="B386" i="9"/>
  <c r="C386" i="9"/>
  <c r="D386" i="9"/>
  <c r="E386" i="9"/>
  <c r="F386" i="9"/>
  <c r="G386" i="9"/>
  <c r="H386" i="9"/>
  <c r="I386" i="9"/>
  <c r="K386" i="9"/>
  <c r="L386" i="9"/>
  <c r="M386" i="9"/>
  <c r="N386" i="9"/>
  <c r="O386" i="9"/>
  <c r="P386" i="9"/>
  <c r="Q386" i="9"/>
  <c r="R386" i="9"/>
  <c r="S386" i="9"/>
  <c r="T386" i="9"/>
  <c r="U386" i="9"/>
  <c r="V386" i="9"/>
  <c r="W386" i="9"/>
  <c r="X386" i="9"/>
  <c r="Y386" i="9"/>
  <c r="Z386" i="9"/>
  <c r="AA386" i="9"/>
  <c r="AB386" i="9"/>
  <c r="AC386" i="9"/>
  <c r="AD386" i="9"/>
  <c r="AE386" i="9"/>
  <c r="AF386" i="9"/>
  <c r="AG386" i="9"/>
  <c r="AH386" i="9"/>
  <c r="B387" i="9"/>
  <c r="C387" i="9"/>
  <c r="D387" i="9"/>
  <c r="E387" i="9"/>
  <c r="F387" i="9"/>
  <c r="G387" i="9"/>
  <c r="H387" i="9"/>
  <c r="I387" i="9"/>
  <c r="K387" i="9"/>
  <c r="L387" i="9"/>
  <c r="M387" i="9"/>
  <c r="N387" i="9"/>
  <c r="O387" i="9"/>
  <c r="P387" i="9"/>
  <c r="Q387" i="9"/>
  <c r="R387" i="9"/>
  <c r="S387" i="9"/>
  <c r="T387" i="9"/>
  <c r="U387" i="9"/>
  <c r="V387" i="9"/>
  <c r="W387" i="9"/>
  <c r="X387" i="9"/>
  <c r="Y387" i="9"/>
  <c r="Z387" i="9"/>
  <c r="AA387" i="9"/>
  <c r="AB387" i="9"/>
  <c r="AC387" i="9"/>
  <c r="AD387" i="9"/>
  <c r="AE387" i="9"/>
  <c r="AF387" i="9"/>
  <c r="AG387" i="9"/>
  <c r="AH387" i="9"/>
  <c r="B388" i="9"/>
  <c r="C388" i="9"/>
  <c r="D388" i="9"/>
  <c r="E388" i="9"/>
  <c r="F388" i="9"/>
  <c r="G388" i="9"/>
  <c r="H388" i="9"/>
  <c r="I388" i="9"/>
  <c r="K388" i="9"/>
  <c r="L388" i="9"/>
  <c r="M388" i="9"/>
  <c r="N388" i="9"/>
  <c r="O388" i="9"/>
  <c r="P388" i="9"/>
  <c r="Q388" i="9"/>
  <c r="R388" i="9"/>
  <c r="S388" i="9"/>
  <c r="T388" i="9"/>
  <c r="U388" i="9"/>
  <c r="V388" i="9"/>
  <c r="W388" i="9"/>
  <c r="X388" i="9"/>
  <c r="Y388" i="9"/>
  <c r="Z388" i="9"/>
  <c r="AA388" i="9"/>
  <c r="AB388" i="9"/>
  <c r="AC388" i="9"/>
  <c r="AD388" i="9"/>
  <c r="AE388" i="9"/>
  <c r="AF388" i="9"/>
  <c r="AG388" i="9"/>
  <c r="AH388" i="9"/>
  <c r="B389" i="9"/>
  <c r="C389" i="9"/>
  <c r="D389" i="9"/>
  <c r="E389" i="9"/>
  <c r="F389" i="9"/>
  <c r="G389" i="9"/>
  <c r="H389" i="9"/>
  <c r="I389" i="9"/>
  <c r="K389" i="9"/>
  <c r="L389" i="9"/>
  <c r="M389" i="9"/>
  <c r="N389" i="9"/>
  <c r="O389" i="9"/>
  <c r="P389" i="9"/>
  <c r="Q389" i="9"/>
  <c r="R389" i="9"/>
  <c r="S389" i="9"/>
  <c r="T389" i="9"/>
  <c r="U389" i="9"/>
  <c r="V389" i="9"/>
  <c r="W389" i="9"/>
  <c r="X389" i="9"/>
  <c r="Y389" i="9"/>
  <c r="Z389" i="9"/>
  <c r="AA389" i="9"/>
  <c r="AB389" i="9"/>
  <c r="AC389" i="9"/>
  <c r="AD389" i="9"/>
  <c r="AE389" i="9"/>
  <c r="AF389" i="9"/>
  <c r="AG389" i="9"/>
  <c r="AH389" i="9"/>
  <c r="B390" i="9"/>
  <c r="C390" i="9"/>
  <c r="D390" i="9"/>
  <c r="E390" i="9"/>
  <c r="F390" i="9"/>
  <c r="G390" i="9"/>
  <c r="H390" i="9"/>
  <c r="I390" i="9"/>
  <c r="K390" i="9"/>
  <c r="L390" i="9"/>
  <c r="M390" i="9"/>
  <c r="N390" i="9"/>
  <c r="O390" i="9"/>
  <c r="P390" i="9"/>
  <c r="Q390" i="9"/>
  <c r="R390" i="9"/>
  <c r="S390" i="9"/>
  <c r="T390" i="9"/>
  <c r="U390" i="9"/>
  <c r="V390" i="9"/>
  <c r="W390" i="9"/>
  <c r="X390" i="9"/>
  <c r="Y390" i="9"/>
  <c r="Z390" i="9"/>
  <c r="AA390" i="9"/>
  <c r="AB390" i="9"/>
  <c r="AC390" i="9"/>
  <c r="AD390" i="9"/>
  <c r="AE390" i="9"/>
  <c r="AF390" i="9"/>
  <c r="AG390" i="9"/>
  <c r="AH390" i="9"/>
  <c r="B391" i="9"/>
  <c r="C391" i="9"/>
  <c r="D391" i="9"/>
  <c r="E391" i="9"/>
  <c r="F391" i="9"/>
  <c r="G391" i="9"/>
  <c r="H391" i="9"/>
  <c r="I391" i="9"/>
  <c r="K391" i="9"/>
  <c r="L391" i="9"/>
  <c r="M391" i="9"/>
  <c r="N391" i="9"/>
  <c r="O391" i="9"/>
  <c r="P391" i="9"/>
  <c r="Q391" i="9"/>
  <c r="R391" i="9"/>
  <c r="S391" i="9"/>
  <c r="T391" i="9"/>
  <c r="U391" i="9"/>
  <c r="V391" i="9"/>
  <c r="W391" i="9"/>
  <c r="X391" i="9"/>
  <c r="Y391" i="9"/>
  <c r="Z391" i="9"/>
  <c r="AA391" i="9"/>
  <c r="AB391" i="9"/>
  <c r="AC391" i="9"/>
  <c r="AD391" i="9"/>
  <c r="AE391" i="9"/>
  <c r="AF391" i="9"/>
  <c r="AG391" i="9"/>
  <c r="AH391" i="9"/>
  <c r="B392" i="9"/>
  <c r="C392" i="9"/>
  <c r="D392" i="9"/>
  <c r="E392" i="9"/>
  <c r="F392" i="9"/>
  <c r="G392" i="9"/>
  <c r="H392" i="9"/>
  <c r="I392" i="9"/>
  <c r="K392" i="9"/>
  <c r="L392" i="9"/>
  <c r="M392" i="9"/>
  <c r="N392" i="9"/>
  <c r="O392" i="9"/>
  <c r="P392" i="9"/>
  <c r="Q392" i="9"/>
  <c r="R392" i="9"/>
  <c r="S392" i="9"/>
  <c r="T392" i="9"/>
  <c r="U392" i="9"/>
  <c r="V392" i="9"/>
  <c r="W392" i="9"/>
  <c r="X392" i="9"/>
  <c r="Y392" i="9"/>
  <c r="Z392" i="9"/>
  <c r="AA392" i="9"/>
  <c r="AB392" i="9"/>
  <c r="AC392" i="9"/>
  <c r="AD392" i="9"/>
  <c r="AE392" i="9"/>
  <c r="AF392" i="9"/>
  <c r="AG392" i="9"/>
  <c r="AH392" i="9"/>
  <c r="B393" i="9"/>
  <c r="C393" i="9"/>
  <c r="D393" i="9"/>
  <c r="E393" i="9"/>
  <c r="F393" i="9"/>
  <c r="G393" i="9"/>
  <c r="H393" i="9"/>
  <c r="I393" i="9"/>
  <c r="K393" i="9"/>
  <c r="L393" i="9"/>
  <c r="M393" i="9"/>
  <c r="N393" i="9"/>
  <c r="O393" i="9"/>
  <c r="P393" i="9"/>
  <c r="Q393" i="9"/>
  <c r="R393" i="9"/>
  <c r="S393" i="9"/>
  <c r="T393" i="9"/>
  <c r="U393" i="9"/>
  <c r="V393" i="9"/>
  <c r="W393" i="9"/>
  <c r="X393" i="9"/>
  <c r="Y393" i="9"/>
  <c r="Z393" i="9"/>
  <c r="AA393" i="9"/>
  <c r="AB393" i="9"/>
  <c r="AC393" i="9"/>
  <c r="AD393" i="9"/>
  <c r="AE393" i="9"/>
  <c r="AF393" i="9"/>
  <c r="AG393" i="9"/>
  <c r="AH393" i="9"/>
  <c r="B394" i="9"/>
  <c r="C394" i="9"/>
  <c r="D394" i="9"/>
  <c r="E394" i="9"/>
  <c r="F394" i="9"/>
  <c r="G394" i="9"/>
  <c r="H394" i="9"/>
  <c r="I394" i="9"/>
  <c r="K394" i="9"/>
  <c r="L394" i="9"/>
  <c r="M394" i="9"/>
  <c r="N394" i="9"/>
  <c r="O394" i="9"/>
  <c r="P394" i="9"/>
  <c r="Q394" i="9"/>
  <c r="R394" i="9"/>
  <c r="S394" i="9"/>
  <c r="T394" i="9"/>
  <c r="U394" i="9"/>
  <c r="V394" i="9"/>
  <c r="W394" i="9"/>
  <c r="X394" i="9"/>
  <c r="Y394" i="9"/>
  <c r="Z394" i="9"/>
  <c r="AA394" i="9"/>
  <c r="AB394" i="9"/>
  <c r="AC394" i="9"/>
  <c r="AD394" i="9"/>
  <c r="AE394" i="9"/>
  <c r="AF394" i="9"/>
  <c r="AG394" i="9"/>
  <c r="AH394" i="9"/>
  <c r="B395" i="9"/>
  <c r="C395" i="9"/>
  <c r="D395" i="9"/>
  <c r="E395" i="9"/>
  <c r="F395" i="9"/>
  <c r="G395" i="9"/>
  <c r="H395" i="9"/>
  <c r="I395" i="9"/>
  <c r="K395" i="9"/>
  <c r="L395" i="9"/>
  <c r="M395" i="9"/>
  <c r="N395" i="9"/>
  <c r="O395" i="9"/>
  <c r="P395" i="9"/>
  <c r="Q395" i="9"/>
  <c r="R395" i="9"/>
  <c r="S395" i="9"/>
  <c r="T395" i="9"/>
  <c r="U395" i="9"/>
  <c r="V395" i="9"/>
  <c r="W395" i="9"/>
  <c r="X395" i="9"/>
  <c r="Y395" i="9"/>
  <c r="Z395" i="9"/>
  <c r="AA395" i="9"/>
  <c r="AB395" i="9"/>
  <c r="AC395" i="9"/>
  <c r="AD395" i="9"/>
  <c r="AE395" i="9"/>
  <c r="AF395" i="9"/>
  <c r="AG395" i="9"/>
  <c r="AH395" i="9"/>
  <c r="B396" i="9"/>
  <c r="C396" i="9"/>
  <c r="D396" i="9"/>
  <c r="E396" i="9"/>
  <c r="F396" i="9"/>
  <c r="G396" i="9"/>
  <c r="H396" i="9"/>
  <c r="I396" i="9"/>
  <c r="K396" i="9"/>
  <c r="L396" i="9"/>
  <c r="M396" i="9"/>
  <c r="N396" i="9"/>
  <c r="O396" i="9"/>
  <c r="P396" i="9"/>
  <c r="Q396" i="9"/>
  <c r="R396" i="9"/>
  <c r="S396" i="9"/>
  <c r="T396" i="9"/>
  <c r="U396" i="9"/>
  <c r="V396" i="9"/>
  <c r="W396" i="9"/>
  <c r="X396" i="9"/>
  <c r="Y396" i="9"/>
  <c r="Z396" i="9"/>
  <c r="AA396" i="9"/>
  <c r="AB396" i="9"/>
  <c r="AC396" i="9"/>
  <c r="AD396" i="9"/>
  <c r="AE396" i="9"/>
  <c r="AF396" i="9"/>
  <c r="AG396" i="9"/>
  <c r="AH396" i="9"/>
  <c r="B397" i="9"/>
  <c r="C397" i="9"/>
  <c r="D397" i="9"/>
  <c r="E397" i="9"/>
  <c r="F397" i="9"/>
  <c r="G397" i="9"/>
  <c r="H397" i="9"/>
  <c r="I397" i="9"/>
  <c r="K397" i="9"/>
  <c r="L397" i="9"/>
  <c r="M397" i="9"/>
  <c r="N397" i="9"/>
  <c r="O397" i="9"/>
  <c r="P397" i="9"/>
  <c r="Q397" i="9"/>
  <c r="R397" i="9"/>
  <c r="S397" i="9"/>
  <c r="T397" i="9"/>
  <c r="U397" i="9"/>
  <c r="V397" i="9"/>
  <c r="W397" i="9"/>
  <c r="X397" i="9"/>
  <c r="Y397" i="9"/>
  <c r="Z397" i="9"/>
  <c r="AA397" i="9"/>
  <c r="AB397" i="9"/>
  <c r="AC397" i="9"/>
  <c r="AD397" i="9"/>
  <c r="AE397" i="9"/>
  <c r="AF397" i="9"/>
  <c r="AG397" i="9"/>
  <c r="AH397" i="9"/>
  <c r="B398" i="9"/>
  <c r="C398" i="9"/>
  <c r="D398" i="9"/>
  <c r="E398" i="9"/>
  <c r="F398" i="9"/>
  <c r="G398" i="9"/>
  <c r="H398" i="9"/>
  <c r="I398" i="9"/>
  <c r="K398" i="9"/>
  <c r="L398" i="9"/>
  <c r="M398" i="9"/>
  <c r="N398" i="9"/>
  <c r="O398" i="9"/>
  <c r="P398" i="9"/>
  <c r="Q398" i="9"/>
  <c r="R398" i="9"/>
  <c r="S398" i="9"/>
  <c r="T398" i="9"/>
  <c r="U398" i="9"/>
  <c r="V398" i="9"/>
  <c r="W398" i="9"/>
  <c r="X398" i="9"/>
  <c r="Y398" i="9"/>
  <c r="Z398" i="9"/>
  <c r="AA398" i="9"/>
  <c r="AB398" i="9"/>
  <c r="AC398" i="9"/>
  <c r="AD398" i="9"/>
  <c r="AE398" i="9"/>
  <c r="AF398" i="9"/>
  <c r="AG398" i="9"/>
  <c r="AH398" i="9"/>
  <c r="B399" i="9"/>
  <c r="C399" i="9"/>
  <c r="D399" i="9"/>
  <c r="E399" i="9"/>
  <c r="F399" i="9"/>
  <c r="G399" i="9"/>
  <c r="H399" i="9"/>
  <c r="I399" i="9"/>
  <c r="K399" i="9"/>
  <c r="L399" i="9"/>
  <c r="M399" i="9"/>
  <c r="N399" i="9"/>
  <c r="O399" i="9"/>
  <c r="P399" i="9"/>
  <c r="Q399" i="9"/>
  <c r="R399" i="9"/>
  <c r="S399" i="9"/>
  <c r="T399" i="9"/>
  <c r="U399" i="9"/>
  <c r="V399" i="9"/>
  <c r="W399" i="9"/>
  <c r="X399" i="9"/>
  <c r="Y399" i="9"/>
  <c r="Z399" i="9"/>
  <c r="AA399" i="9"/>
  <c r="AB399" i="9"/>
  <c r="AC399" i="9"/>
  <c r="AD399" i="9"/>
  <c r="AE399" i="9"/>
  <c r="AF399" i="9"/>
  <c r="AG399" i="9"/>
  <c r="AH399" i="9"/>
  <c r="B400" i="9"/>
  <c r="C400" i="9"/>
  <c r="D400" i="9"/>
  <c r="E400" i="9"/>
  <c r="F400" i="9"/>
  <c r="G400" i="9"/>
  <c r="H400" i="9"/>
  <c r="I400" i="9"/>
  <c r="K400" i="9"/>
  <c r="L400" i="9"/>
  <c r="M400" i="9"/>
  <c r="N400" i="9"/>
  <c r="O400" i="9"/>
  <c r="P400" i="9"/>
  <c r="Q400" i="9"/>
  <c r="R400" i="9"/>
  <c r="S400" i="9"/>
  <c r="T400" i="9"/>
  <c r="U400" i="9"/>
  <c r="V400" i="9"/>
  <c r="W400" i="9"/>
  <c r="X400" i="9"/>
  <c r="Y400" i="9"/>
  <c r="Z400" i="9"/>
  <c r="AA400" i="9"/>
  <c r="AB400" i="9"/>
  <c r="AC400" i="9"/>
  <c r="AD400" i="9"/>
  <c r="AE400" i="9"/>
  <c r="AF400" i="9"/>
  <c r="AG400" i="9"/>
  <c r="AH400" i="9"/>
  <c r="B401" i="9"/>
  <c r="C401" i="9"/>
  <c r="D401" i="9"/>
  <c r="E401" i="9"/>
  <c r="F401" i="9"/>
  <c r="G401" i="9"/>
  <c r="H401" i="9"/>
  <c r="I401" i="9"/>
  <c r="K401" i="9"/>
  <c r="L401" i="9"/>
  <c r="M401" i="9"/>
  <c r="N401" i="9"/>
  <c r="O401" i="9"/>
  <c r="P401" i="9"/>
  <c r="Q401" i="9"/>
  <c r="R401" i="9"/>
  <c r="S401" i="9"/>
  <c r="T401" i="9"/>
  <c r="U401" i="9"/>
  <c r="V401" i="9"/>
  <c r="W401" i="9"/>
  <c r="X401" i="9"/>
  <c r="Y401" i="9"/>
  <c r="Z401" i="9"/>
  <c r="AA401" i="9"/>
  <c r="AB401" i="9"/>
  <c r="AC401" i="9"/>
  <c r="AD401" i="9"/>
  <c r="AE401" i="9"/>
  <c r="AF401" i="9"/>
  <c r="AG401" i="9"/>
  <c r="AH401" i="9"/>
  <c r="B402" i="9"/>
  <c r="C402" i="9"/>
  <c r="D402" i="9"/>
  <c r="E402" i="9"/>
  <c r="F402" i="9"/>
  <c r="G402" i="9"/>
  <c r="H402" i="9"/>
  <c r="I402" i="9"/>
  <c r="K402" i="9"/>
  <c r="L402" i="9"/>
  <c r="M402" i="9"/>
  <c r="N402" i="9"/>
  <c r="O402" i="9"/>
  <c r="P402" i="9"/>
  <c r="Q402" i="9"/>
  <c r="R402" i="9"/>
  <c r="S402" i="9"/>
  <c r="T402" i="9"/>
  <c r="U402" i="9"/>
  <c r="V402" i="9"/>
  <c r="W402" i="9"/>
  <c r="X402" i="9"/>
  <c r="Y402" i="9"/>
  <c r="Z402" i="9"/>
  <c r="AA402" i="9"/>
  <c r="AB402" i="9"/>
  <c r="AC402" i="9"/>
  <c r="AD402" i="9"/>
  <c r="AE402" i="9"/>
  <c r="AF402" i="9"/>
  <c r="AG402" i="9"/>
  <c r="AH402" i="9"/>
  <c r="B403" i="9"/>
  <c r="C403" i="9"/>
  <c r="D403" i="9"/>
  <c r="E403" i="9"/>
  <c r="F403" i="9"/>
  <c r="G403" i="9"/>
  <c r="H403" i="9"/>
  <c r="I403" i="9"/>
  <c r="K403" i="9"/>
  <c r="L403" i="9"/>
  <c r="M403" i="9"/>
  <c r="N403" i="9"/>
  <c r="O403" i="9"/>
  <c r="P403" i="9"/>
  <c r="Q403" i="9"/>
  <c r="R403" i="9"/>
  <c r="S403" i="9"/>
  <c r="T403" i="9"/>
  <c r="U403" i="9"/>
  <c r="V403" i="9"/>
  <c r="W403" i="9"/>
  <c r="X403" i="9"/>
  <c r="Y403" i="9"/>
  <c r="Z403" i="9"/>
  <c r="AA403" i="9"/>
  <c r="AB403" i="9"/>
  <c r="AC403" i="9"/>
  <c r="AD403" i="9"/>
  <c r="AE403" i="9"/>
  <c r="AF403" i="9"/>
  <c r="AG403" i="9"/>
  <c r="AH403" i="9"/>
  <c r="B404" i="9"/>
  <c r="C404" i="9"/>
  <c r="D404" i="9"/>
  <c r="E404" i="9"/>
  <c r="F404" i="9"/>
  <c r="G404" i="9"/>
  <c r="H404" i="9"/>
  <c r="I404" i="9"/>
  <c r="K404" i="9"/>
  <c r="L404" i="9"/>
  <c r="M404" i="9"/>
  <c r="N404" i="9"/>
  <c r="O404" i="9"/>
  <c r="P404" i="9"/>
  <c r="Q404" i="9"/>
  <c r="R404" i="9"/>
  <c r="S404" i="9"/>
  <c r="T404" i="9"/>
  <c r="U404" i="9"/>
  <c r="V404" i="9"/>
  <c r="W404" i="9"/>
  <c r="X404" i="9"/>
  <c r="Y404" i="9"/>
  <c r="Z404" i="9"/>
  <c r="AA404" i="9"/>
  <c r="AB404" i="9"/>
  <c r="AC404" i="9"/>
  <c r="AD404" i="9"/>
  <c r="AE404" i="9"/>
  <c r="AF404" i="9"/>
  <c r="AG404" i="9"/>
  <c r="AH404" i="9"/>
  <c r="B405" i="9"/>
  <c r="C405" i="9"/>
  <c r="D405" i="9"/>
  <c r="E405" i="9"/>
  <c r="F405" i="9"/>
  <c r="G405" i="9"/>
  <c r="H405" i="9"/>
  <c r="I405" i="9"/>
  <c r="K405" i="9"/>
  <c r="L405" i="9"/>
  <c r="M405" i="9"/>
  <c r="N405" i="9"/>
  <c r="O405" i="9"/>
  <c r="P405" i="9"/>
  <c r="Q405" i="9"/>
  <c r="R405" i="9"/>
  <c r="S405" i="9"/>
  <c r="T405" i="9"/>
  <c r="U405" i="9"/>
  <c r="V405" i="9"/>
  <c r="W405" i="9"/>
  <c r="X405" i="9"/>
  <c r="Y405" i="9"/>
  <c r="Z405" i="9"/>
  <c r="AA405" i="9"/>
  <c r="AB405" i="9"/>
  <c r="AC405" i="9"/>
  <c r="AD405" i="9"/>
  <c r="AE405" i="9"/>
  <c r="AF405" i="9"/>
  <c r="AG405" i="9"/>
  <c r="AH405" i="9"/>
  <c r="B406" i="9"/>
  <c r="C406" i="9"/>
  <c r="D406" i="9"/>
  <c r="E406" i="9"/>
  <c r="F406" i="9"/>
  <c r="G406" i="9"/>
  <c r="H406" i="9"/>
  <c r="I406" i="9"/>
  <c r="K406" i="9"/>
  <c r="L406" i="9"/>
  <c r="M406" i="9"/>
  <c r="N406" i="9"/>
  <c r="O406" i="9"/>
  <c r="P406" i="9"/>
  <c r="Q406" i="9"/>
  <c r="R406" i="9"/>
  <c r="S406" i="9"/>
  <c r="T406" i="9"/>
  <c r="U406" i="9"/>
  <c r="V406" i="9"/>
  <c r="W406" i="9"/>
  <c r="X406" i="9"/>
  <c r="Y406" i="9"/>
  <c r="Z406" i="9"/>
  <c r="AA406" i="9"/>
  <c r="AB406" i="9"/>
  <c r="AC406" i="9"/>
  <c r="AD406" i="9"/>
  <c r="AE406" i="9"/>
  <c r="AF406" i="9"/>
  <c r="AG406" i="9"/>
  <c r="AH406" i="9"/>
  <c r="B407" i="9"/>
  <c r="C407" i="9"/>
  <c r="D407" i="9"/>
  <c r="E407" i="9"/>
  <c r="F407" i="9"/>
  <c r="G407" i="9"/>
  <c r="H407" i="9"/>
  <c r="I407" i="9"/>
  <c r="K407" i="9"/>
  <c r="L407" i="9"/>
  <c r="M407" i="9"/>
  <c r="N407" i="9"/>
  <c r="O407" i="9"/>
  <c r="P407" i="9"/>
  <c r="Q407" i="9"/>
  <c r="R407" i="9"/>
  <c r="S407" i="9"/>
  <c r="T407" i="9"/>
  <c r="U407" i="9"/>
  <c r="V407" i="9"/>
  <c r="W407" i="9"/>
  <c r="X407" i="9"/>
  <c r="Y407" i="9"/>
  <c r="Z407" i="9"/>
  <c r="AA407" i="9"/>
  <c r="AB407" i="9"/>
  <c r="AC407" i="9"/>
  <c r="AD407" i="9"/>
  <c r="AE407" i="9"/>
  <c r="AF407" i="9"/>
  <c r="AG407" i="9"/>
  <c r="AH407" i="9"/>
  <c r="B408" i="9"/>
  <c r="C408" i="9"/>
  <c r="D408" i="9"/>
  <c r="E408" i="9"/>
  <c r="F408" i="9"/>
  <c r="G408" i="9"/>
  <c r="H408" i="9"/>
  <c r="I408" i="9"/>
  <c r="K408" i="9"/>
  <c r="L408" i="9"/>
  <c r="M408" i="9"/>
  <c r="N408" i="9"/>
  <c r="O408" i="9"/>
  <c r="P408" i="9"/>
  <c r="Q408" i="9"/>
  <c r="R408" i="9"/>
  <c r="S408" i="9"/>
  <c r="T408" i="9"/>
  <c r="U408" i="9"/>
  <c r="V408" i="9"/>
  <c r="W408" i="9"/>
  <c r="X408" i="9"/>
  <c r="Y408" i="9"/>
  <c r="Z408" i="9"/>
  <c r="AA408" i="9"/>
  <c r="AB408" i="9"/>
  <c r="AC408" i="9"/>
  <c r="AD408" i="9"/>
  <c r="AE408" i="9"/>
  <c r="AF408" i="9"/>
  <c r="AG408" i="9"/>
  <c r="AH408" i="9"/>
  <c r="B409" i="9"/>
  <c r="C409" i="9"/>
  <c r="D409" i="9"/>
  <c r="E409" i="9"/>
  <c r="F409" i="9"/>
  <c r="G409" i="9"/>
  <c r="H409" i="9"/>
  <c r="I409" i="9"/>
  <c r="K409" i="9"/>
  <c r="L409" i="9"/>
  <c r="M409" i="9"/>
  <c r="N409" i="9"/>
  <c r="O409" i="9"/>
  <c r="P409" i="9"/>
  <c r="Q409" i="9"/>
  <c r="R409" i="9"/>
  <c r="S409" i="9"/>
  <c r="T409" i="9"/>
  <c r="U409" i="9"/>
  <c r="V409" i="9"/>
  <c r="W409" i="9"/>
  <c r="X409" i="9"/>
  <c r="Y409" i="9"/>
  <c r="Z409" i="9"/>
  <c r="AA409" i="9"/>
  <c r="AB409" i="9"/>
  <c r="AC409" i="9"/>
  <c r="AD409" i="9"/>
  <c r="AE409" i="9"/>
  <c r="AF409" i="9"/>
  <c r="AG409" i="9"/>
  <c r="AH409" i="9"/>
  <c r="B410" i="9"/>
  <c r="C410" i="9"/>
  <c r="D410" i="9"/>
  <c r="E410" i="9"/>
  <c r="F410" i="9"/>
  <c r="G410" i="9"/>
  <c r="H410" i="9"/>
  <c r="I410" i="9"/>
  <c r="K410" i="9"/>
  <c r="L410" i="9"/>
  <c r="M410" i="9"/>
  <c r="N410" i="9"/>
  <c r="O410" i="9"/>
  <c r="P410" i="9"/>
  <c r="Q410" i="9"/>
  <c r="R410" i="9"/>
  <c r="S410" i="9"/>
  <c r="T410" i="9"/>
  <c r="U410" i="9"/>
  <c r="V410" i="9"/>
  <c r="W410" i="9"/>
  <c r="X410" i="9"/>
  <c r="Y410" i="9"/>
  <c r="Z410" i="9"/>
  <c r="AA410" i="9"/>
  <c r="AB410" i="9"/>
  <c r="AC410" i="9"/>
  <c r="AD410" i="9"/>
  <c r="AE410" i="9"/>
  <c r="AF410" i="9"/>
  <c r="AG410" i="9"/>
  <c r="AH410" i="9"/>
  <c r="B411" i="9"/>
  <c r="C411" i="9"/>
  <c r="D411" i="9"/>
  <c r="E411" i="9"/>
  <c r="F411" i="9"/>
  <c r="G411" i="9"/>
  <c r="H411" i="9"/>
  <c r="I411" i="9"/>
  <c r="K411" i="9"/>
  <c r="L411" i="9"/>
  <c r="M411" i="9"/>
  <c r="N411" i="9"/>
  <c r="O411" i="9"/>
  <c r="P411" i="9"/>
  <c r="Q411" i="9"/>
  <c r="R411" i="9"/>
  <c r="S411" i="9"/>
  <c r="T411" i="9"/>
  <c r="U411" i="9"/>
  <c r="V411" i="9"/>
  <c r="W411" i="9"/>
  <c r="X411" i="9"/>
  <c r="Y411" i="9"/>
  <c r="Z411" i="9"/>
  <c r="AA411" i="9"/>
  <c r="AB411" i="9"/>
  <c r="AC411" i="9"/>
  <c r="AD411" i="9"/>
  <c r="AE411" i="9"/>
  <c r="AF411" i="9"/>
  <c r="AG411" i="9"/>
  <c r="AH411" i="9"/>
  <c r="B412" i="9"/>
  <c r="C412" i="9"/>
  <c r="D412" i="9"/>
  <c r="E412" i="9"/>
  <c r="F412" i="9"/>
  <c r="G412" i="9"/>
  <c r="H412" i="9"/>
  <c r="I412" i="9"/>
  <c r="K412" i="9"/>
  <c r="L412" i="9"/>
  <c r="M412" i="9"/>
  <c r="N412" i="9"/>
  <c r="O412" i="9"/>
  <c r="P412" i="9"/>
  <c r="Q412" i="9"/>
  <c r="R412" i="9"/>
  <c r="S412" i="9"/>
  <c r="T412" i="9"/>
  <c r="U412" i="9"/>
  <c r="V412" i="9"/>
  <c r="W412" i="9"/>
  <c r="X412" i="9"/>
  <c r="Y412" i="9"/>
  <c r="Z412" i="9"/>
  <c r="AA412" i="9"/>
  <c r="AB412" i="9"/>
  <c r="AC412" i="9"/>
  <c r="AD412" i="9"/>
  <c r="AE412" i="9"/>
  <c r="AF412" i="9"/>
  <c r="AG412" i="9"/>
  <c r="AH412" i="9"/>
  <c r="B413" i="9"/>
  <c r="C413" i="9"/>
  <c r="D413" i="9"/>
  <c r="E413" i="9"/>
  <c r="F413" i="9"/>
  <c r="G413" i="9"/>
  <c r="H413" i="9"/>
  <c r="I413" i="9"/>
  <c r="K413" i="9"/>
  <c r="L413" i="9"/>
  <c r="M413" i="9"/>
  <c r="N413" i="9"/>
  <c r="O413" i="9"/>
  <c r="P413" i="9"/>
  <c r="Q413" i="9"/>
  <c r="R413" i="9"/>
  <c r="S413" i="9"/>
  <c r="T413" i="9"/>
  <c r="U413" i="9"/>
  <c r="V413" i="9"/>
  <c r="W413" i="9"/>
  <c r="X413" i="9"/>
  <c r="Y413" i="9"/>
  <c r="Z413" i="9"/>
  <c r="AA413" i="9"/>
  <c r="AB413" i="9"/>
  <c r="AC413" i="9"/>
  <c r="AD413" i="9"/>
  <c r="AE413" i="9"/>
  <c r="AF413" i="9"/>
  <c r="AG413" i="9"/>
  <c r="AH413" i="9"/>
  <c r="B414" i="9"/>
  <c r="C414" i="9"/>
  <c r="D414" i="9"/>
  <c r="E414" i="9"/>
  <c r="F414" i="9"/>
  <c r="G414" i="9"/>
  <c r="H414" i="9"/>
  <c r="I414" i="9"/>
  <c r="K414" i="9"/>
  <c r="L414" i="9"/>
  <c r="M414" i="9"/>
  <c r="N414" i="9"/>
  <c r="O414" i="9"/>
  <c r="P414" i="9"/>
  <c r="Q414" i="9"/>
  <c r="R414" i="9"/>
  <c r="S414" i="9"/>
  <c r="T414" i="9"/>
  <c r="U414" i="9"/>
  <c r="V414" i="9"/>
  <c r="W414" i="9"/>
  <c r="X414" i="9"/>
  <c r="Y414" i="9"/>
  <c r="Z414" i="9"/>
  <c r="AA414" i="9"/>
  <c r="AB414" i="9"/>
  <c r="AC414" i="9"/>
  <c r="AD414" i="9"/>
  <c r="AE414" i="9"/>
  <c r="AF414" i="9"/>
  <c r="AG414" i="9"/>
  <c r="AH414" i="9"/>
  <c r="B415" i="9"/>
  <c r="C415" i="9"/>
  <c r="D415" i="9"/>
  <c r="E415" i="9"/>
  <c r="F415" i="9"/>
  <c r="G415" i="9"/>
  <c r="H415" i="9"/>
  <c r="I415" i="9"/>
  <c r="K415" i="9"/>
  <c r="L415" i="9"/>
  <c r="M415" i="9"/>
  <c r="N415" i="9"/>
  <c r="O415" i="9"/>
  <c r="P415" i="9"/>
  <c r="Q415" i="9"/>
  <c r="R415" i="9"/>
  <c r="S415" i="9"/>
  <c r="T415" i="9"/>
  <c r="U415" i="9"/>
  <c r="V415" i="9"/>
  <c r="W415" i="9"/>
  <c r="X415" i="9"/>
  <c r="Y415" i="9"/>
  <c r="Z415" i="9"/>
  <c r="AA415" i="9"/>
  <c r="AB415" i="9"/>
  <c r="AC415" i="9"/>
  <c r="AD415" i="9"/>
  <c r="AE415" i="9"/>
  <c r="AF415" i="9"/>
  <c r="AG415" i="9"/>
  <c r="AH415" i="9"/>
  <c r="B416" i="9"/>
  <c r="C416" i="9"/>
  <c r="D416" i="9"/>
  <c r="E416" i="9"/>
  <c r="F416" i="9"/>
  <c r="G416" i="9"/>
  <c r="H416" i="9"/>
  <c r="I416" i="9"/>
  <c r="K416" i="9"/>
  <c r="L416" i="9"/>
  <c r="M416" i="9"/>
  <c r="N416" i="9"/>
  <c r="O416" i="9"/>
  <c r="P416" i="9"/>
  <c r="Q416" i="9"/>
  <c r="R416" i="9"/>
  <c r="S416" i="9"/>
  <c r="T416" i="9"/>
  <c r="U416" i="9"/>
  <c r="V416" i="9"/>
  <c r="W416" i="9"/>
  <c r="X416" i="9"/>
  <c r="Y416" i="9"/>
  <c r="Z416" i="9"/>
  <c r="AA416" i="9"/>
  <c r="AB416" i="9"/>
  <c r="AC416" i="9"/>
  <c r="AD416" i="9"/>
  <c r="AE416" i="9"/>
  <c r="AF416" i="9"/>
  <c r="AG416" i="9"/>
  <c r="AH416" i="9"/>
  <c r="B417" i="9"/>
  <c r="C417" i="9"/>
  <c r="D417" i="9"/>
  <c r="E417" i="9"/>
  <c r="F417" i="9"/>
  <c r="G417" i="9"/>
  <c r="H417" i="9"/>
  <c r="I417" i="9"/>
  <c r="K417" i="9"/>
  <c r="L417" i="9"/>
  <c r="M417" i="9"/>
  <c r="N417" i="9"/>
  <c r="O417" i="9"/>
  <c r="P417" i="9"/>
  <c r="Q417" i="9"/>
  <c r="R417" i="9"/>
  <c r="S417" i="9"/>
  <c r="T417" i="9"/>
  <c r="U417" i="9"/>
  <c r="V417" i="9"/>
  <c r="W417" i="9"/>
  <c r="X417" i="9"/>
  <c r="Y417" i="9"/>
  <c r="Z417" i="9"/>
  <c r="AA417" i="9"/>
  <c r="AB417" i="9"/>
  <c r="AC417" i="9"/>
  <c r="AD417" i="9"/>
  <c r="AE417" i="9"/>
  <c r="AF417" i="9"/>
  <c r="AG417" i="9"/>
  <c r="AH417" i="9"/>
  <c r="B418" i="9"/>
  <c r="C418" i="9"/>
  <c r="D418" i="9"/>
  <c r="E418" i="9"/>
  <c r="F418" i="9"/>
  <c r="G418" i="9"/>
  <c r="H418" i="9"/>
  <c r="I418" i="9"/>
  <c r="K418" i="9"/>
  <c r="L418" i="9"/>
  <c r="M418" i="9"/>
  <c r="N418" i="9"/>
  <c r="O418" i="9"/>
  <c r="P418" i="9"/>
  <c r="Q418" i="9"/>
  <c r="R418" i="9"/>
  <c r="S418" i="9"/>
  <c r="T418" i="9"/>
  <c r="U418" i="9"/>
  <c r="V418" i="9"/>
  <c r="W418" i="9"/>
  <c r="X418" i="9"/>
  <c r="Y418" i="9"/>
  <c r="Z418" i="9"/>
  <c r="AA418" i="9"/>
  <c r="AB418" i="9"/>
  <c r="AC418" i="9"/>
  <c r="AD418" i="9"/>
  <c r="AE418" i="9"/>
  <c r="AF418" i="9"/>
  <c r="AG418" i="9"/>
  <c r="AH418" i="9"/>
  <c r="B419" i="9"/>
  <c r="C419" i="9"/>
  <c r="D419" i="9"/>
  <c r="E419" i="9"/>
  <c r="F419" i="9"/>
  <c r="G419" i="9"/>
  <c r="H419" i="9"/>
  <c r="I419" i="9"/>
  <c r="K419" i="9"/>
  <c r="L419" i="9"/>
  <c r="M419" i="9"/>
  <c r="N419" i="9"/>
  <c r="O419" i="9"/>
  <c r="P419" i="9"/>
  <c r="Q419" i="9"/>
  <c r="R419" i="9"/>
  <c r="S419" i="9"/>
  <c r="T419" i="9"/>
  <c r="U419" i="9"/>
  <c r="V419" i="9"/>
  <c r="W419" i="9"/>
  <c r="X419" i="9"/>
  <c r="Y419" i="9"/>
  <c r="Z419" i="9"/>
  <c r="AA419" i="9"/>
  <c r="AB419" i="9"/>
  <c r="AC419" i="9"/>
  <c r="AD419" i="9"/>
  <c r="AE419" i="9"/>
  <c r="AF419" i="9"/>
  <c r="AG419" i="9"/>
  <c r="AH419" i="9"/>
  <c r="B420" i="9"/>
  <c r="C420" i="9"/>
  <c r="D420" i="9"/>
  <c r="E420" i="9"/>
  <c r="F420" i="9"/>
  <c r="G420" i="9"/>
  <c r="H420" i="9"/>
  <c r="I420" i="9"/>
  <c r="K420" i="9"/>
  <c r="L420" i="9"/>
  <c r="M420" i="9"/>
  <c r="N420" i="9"/>
  <c r="O420" i="9"/>
  <c r="P420" i="9"/>
  <c r="Q420" i="9"/>
  <c r="R420" i="9"/>
  <c r="S420" i="9"/>
  <c r="T420" i="9"/>
  <c r="U420" i="9"/>
  <c r="V420" i="9"/>
  <c r="W420" i="9"/>
  <c r="X420" i="9"/>
  <c r="Y420" i="9"/>
  <c r="Z420" i="9"/>
  <c r="AA420" i="9"/>
  <c r="AB420" i="9"/>
  <c r="AC420" i="9"/>
  <c r="AD420" i="9"/>
  <c r="AE420" i="9"/>
  <c r="AF420" i="9"/>
  <c r="AG420" i="9"/>
  <c r="AH420" i="9"/>
  <c r="B421" i="9"/>
  <c r="C421" i="9"/>
  <c r="D421" i="9"/>
  <c r="E421" i="9"/>
  <c r="F421" i="9"/>
  <c r="G421" i="9"/>
  <c r="H421" i="9"/>
  <c r="I421" i="9"/>
  <c r="K421" i="9"/>
  <c r="L421" i="9"/>
  <c r="M421" i="9"/>
  <c r="N421" i="9"/>
  <c r="O421" i="9"/>
  <c r="P421" i="9"/>
  <c r="Q421" i="9"/>
  <c r="R421" i="9"/>
  <c r="S421" i="9"/>
  <c r="T421" i="9"/>
  <c r="U421" i="9"/>
  <c r="V421" i="9"/>
  <c r="W421" i="9"/>
  <c r="X421" i="9"/>
  <c r="Y421" i="9"/>
  <c r="Z421" i="9"/>
  <c r="AA421" i="9"/>
  <c r="AB421" i="9"/>
  <c r="AC421" i="9"/>
  <c r="AD421" i="9"/>
  <c r="AE421" i="9"/>
  <c r="AF421" i="9"/>
  <c r="AG421" i="9"/>
  <c r="AH421" i="9"/>
  <c r="B422" i="9"/>
  <c r="C422" i="9"/>
  <c r="D422" i="9"/>
  <c r="E422" i="9"/>
  <c r="F422" i="9"/>
  <c r="G422" i="9"/>
  <c r="H422" i="9"/>
  <c r="I422" i="9"/>
  <c r="K422" i="9"/>
  <c r="L422" i="9"/>
  <c r="M422" i="9"/>
  <c r="N422" i="9"/>
  <c r="O422" i="9"/>
  <c r="P422" i="9"/>
  <c r="Q422" i="9"/>
  <c r="R422" i="9"/>
  <c r="S422" i="9"/>
  <c r="T422" i="9"/>
  <c r="U422" i="9"/>
  <c r="V422" i="9"/>
  <c r="W422" i="9"/>
  <c r="X422" i="9"/>
  <c r="Y422" i="9"/>
  <c r="Z422" i="9"/>
  <c r="AA422" i="9"/>
  <c r="AB422" i="9"/>
  <c r="AC422" i="9"/>
  <c r="AD422" i="9"/>
  <c r="AE422" i="9"/>
  <c r="AF422" i="9"/>
  <c r="AG422" i="9"/>
  <c r="AH422" i="9"/>
  <c r="B423" i="9"/>
  <c r="C423" i="9"/>
  <c r="D423" i="9"/>
  <c r="E423" i="9"/>
  <c r="F423" i="9"/>
  <c r="G423" i="9"/>
  <c r="H423" i="9"/>
  <c r="I423" i="9"/>
  <c r="K423" i="9"/>
  <c r="L423" i="9"/>
  <c r="M423" i="9"/>
  <c r="N423" i="9"/>
  <c r="O423" i="9"/>
  <c r="P423" i="9"/>
  <c r="Q423" i="9"/>
  <c r="R423" i="9"/>
  <c r="S423" i="9"/>
  <c r="T423" i="9"/>
  <c r="U423" i="9"/>
  <c r="V423" i="9"/>
  <c r="W423" i="9"/>
  <c r="X423" i="9"/>
  <c r="Y423" i="9"/>
  <c r="Z423" i="9"/>
  <c r="AA423" i="9"/>
  <c r="AB423" i="9"/>
  <c r="AC423" i="9"/>
  <c r="AD423" i="9"/>
  <c r="AE423" i="9"/>
  <c r="AF423" i="9"/>
  <c r="AG423" i="9"/>
  <c r="AH423" i="9"/>
  <c r="B424" i="9"/>
  <c r="C424" i="9"/>
  <c r="D424" i="9"/>
  <c r="E424" i="9"/>
  <c r="F424" i="9"/>
  <c r="G424" i="9"/>
  <c r="H424" i="9"/>
  <c r="I424" i="9"/>
  <c r="K424" i="9"/>
  <c r="L424" i="9"/>
  <c r="M424" i="9"/>
  <c r="N424" i="9"/>
  <c r="O424" i="9"/>
  <c r="P424" i="9"/>
  <c r="Q424" i="9"/>
  <c r="R424" i="9"/>
  <c r="S424" i="9"/>
  <c r="T424" i="9"/>
  <c r="U424" i="9"/>
  <c r="V424" i="9"/>
  <c r="W424" i="9"/>
  <c r="X424" i="9"/>
  <c r="Y424" i="9"/>
  <c r="Z424" i="9"/>
  <c r="AA424" i="9"/>
  <c r="AB424" i="9"/>
  <c r="AC424" i="9"/>
  <c r="AD424" i="9"/>
  <c r="AE424" i="9"/>
  <c r="AF424" i="9"/>
  <c r="AG424" i="9"/>
  <c r="AH424" i="9"/>
  <c r="B425" i="9"/>
  <c r="C425" i="9"/>
  <c r="D425" i="9"/>
  <c r="E425" i="9"/>
  <c r="F425" i="9"/>
  <c r="G425" i="9"/>
  <c r="H425" i="9"/>
  <c r="I425" i="9"/>
  <c r="K425" i="9"/>
  <c r="L425" i="9"/>
  <c r="M425" i="9"/>
  <c r="N425" i="9"/>
  <c r="O425" i="9"/>
  <c r="P425" i="9"/>
  <c r="Q425" i="9"/>
  <c r="R425" i="9"/>
  <c r="S425" i="9"/>
  <c r="T425" i="9"/>
  <c r="U425" i="9"/>
  <c r="V425" i="9"/>
  <c r="W425" i="9"/>
  <c r="X425" i="9"/>
  <c r="Y425" i="9"/>
  <c r="Z425" i="9"/>
  <c r="AA425" i="9"/>
  <c r="AB425" i="9"/>
  <c r="AC425" i="9"/>
  <c r="AD425" i="9"/>
  <c r="AE425" i="9"/>
  <c r="AF425" i="9"/>
  <c r="AG425" i="9"/>
  <c r="AH425" i="9"/>
  <c r="B426" i="9"/>
  <c r="C426" i="9"/>
  <c r="D426" i="9"/>
  <c r="E426" i="9"/>
  <c r="F426" i="9"/>
  <c r="G426" i="9"/>
  <c r="H426" i="9"/>
  <c r="I426" i="9"/>
  <c r="K426" i="9"/>
  <c r="L426" i="9"/>
  <c r="M426" i="9"/>
  <c r="N426" i="9"/>
  <c r="O426" i="9"/>
  <c r="P426" i="9"/>
  <c r="Q426" i="9"/>
  <c r="R426" i="9"/>
  <c r="S426" i="9"/>
  <c r="T426" i="9"/>
  <c r="U426" i="9"/>
  <c r="V426" i="9"/>
  <c r="W426" i="9"/>
  <c r="X426" i="9"/>
  <c r="Y426" i="9"/>
  <c r="Z426" i="9"/>
  <c r="AA426" i="9"/>
  <c r="AB426" i="9"/>
  <c r="AC426" i="9"/>
  <c r="AD426" i="9"/>
  <c r="AE426" i="9"/>
  <c r="AF426" i="9"/>
  <c r="AG426" i="9"/>
  <c r="AH426" i="9"/>
  <c r="B427" i="9"/>
  <c r="C427" i="9"/>
  <c r="D427" i="9"/>
  <c r="E427" i="9"/>
  <c r="F427" i="9"/>
  <c r="G427" i="9"/>
  <c r="H427" i="9"/>
  <c r="I427" i="9"/>
  <c r="K427" i="9"/>
  <c r="L427" i="9"/>
  <c r="M427" i="9"/>
  <c r="N427" i="9"/>
  <c r="O427" i="9"/>
  <c r="P427" i="9"/>
  <c r="Q427" i="9"/>
  <c r="R427" i="9"/>
  <c r="S427" i="9"/>
  <c r="T427" i="9"/>
  <c r="U427" i="9"/>
  <c r="V427" i="9"/>
  <c r="W427" i="9"/>
  <c r="X427" i="9"/>
  <c r="Y427" i="9"/>
  <c r="Z427" i="9"/>
  <c r="AA427" i="9"/>
  <c r="AB427" i="9"/>
  <c r="AC427" i="9"/>
  <c r="AD427" i="9"/>
  <c r="AE427" i="9"/>
  <c r="AF427" i="9"/>
  <c r="AG427" i="9"/>
  <c r="AH427" i="9"/>
  <c r="B428" i="9"/>
  <c r="C428" i="9"/>
  <c r="D428" i="9"/>
  <c r="E428" i="9"/>
  <c r="F428" i="9"/>
  <c r="G428" i="9"/>
  <c r="H428" i="9"/>
  <c r="I428" i="9"/>
  <c r="K428" i="9"/>
  <c r="L428" i="9"/>
  <c r="M428" i="9"/>
  <c r="N428" i="9"/>
  <c r="O428" i="9"/>
  <c r="P428" i="9"/>
  <c r="Q428" i="9"/>
  <c r="R428" i="9"/>
  <c r="S428" i="9"/>
  <c r="T428" i="9"/>
  <c r="U428" i="9"/>
  <c r="V428" i="9"/>
  <c r="W428" i="9"/>
  <c r="X428" i="9"/>
  <c r="Y428" i="9"/>
  <c r="Z428" i="9"/>
  <c r="AA428" i="9"/>
  <c r="AB428" i="9"/>
  <c r="AC428" i="9"/>
  <c r="AD428" i="9"/>
  <c r="AE428" i="9"/>
  <c r="AF428" i="9"/>
  <c r="AG428" i="9"/>
  <c r="AH428" i="9"/>
  <c r="B429" i="9"/>
  <c r="C429" i="9"/>
  <c r="D429" i="9"/>
  <c r="E429" i="9"/>
  <c r="F429" i="9"/>
  <c r="G429" i="9"/>
  <c r="H429" i="9"/>
  <c r="I429" i="9"/>
  <c r="K429" i="9"/>
  <c r="L429" i="9"/>
  <c r="M429" i="9"/>
  <c r="N429" i="9"/>
  <c r="O429" i="9"/>
  <c r="P429" i="9"/>
  <c r="Q429" i="9"/>
  <c r="R429" i="9"/>
  <c r="S429" i="9"/>
  <c r="T429" i="9"/>
  <c r="U429" i="9"/>
  <c r="V429" i="9"/>
  <c r="W429" i="9"/>
  <c r="X429" i="9"/>
  <c r="Y429" i="9"/>
  <c r="Z429" i="9"/>
  <c r="AA429" i="9"/>
  <c r="AB429" i="9"/>
  <c r="AC429" i="9"/>
  <c r="AD429" i="9"/>
  <c r="AE429" i="9"/>
  <c r="AF429" i="9"/>
  <c r="AG429" i="9"/>
  <c r="AH429" i="9"/>
  <c r="B430" i="9"/>
  <c r="C430" i="9"/>
  <c r="D430" i="9"/>
  <c r="E430" i="9"/>
  <c r="F430" i="9"/>
  <c r="G430" i="9"/>
  <c r="H430" i="9"/>
  <c r="I430" i="9"/>
  <c r="K430" i="9"/>
  <c r="L430" i="9"/>
  <c r="M430" i="9"/>
  <c r="N430" i="9"/>
  <c r="O430" i="9"/>
  <c r="P430" i="9"/>
  <c r="Q430" i="9"/>
  <c r="R430" i="9"/>
  <c r="S430" i="9"/>
  <c r="T430" i="9"/>
  <c r="U430" i="9"/>
  <c r="V430" i="9"/>
  <c r="W430" i="9"/>
  <c r="X430" i="9"/>
  <c r="Y430" i="9"/>
  <c r="Z430" i="9"/>
  <c r="AA430" i="9"/>
  <c r="AB430" i="9"/>
  <c r="AC430" i="9"/>
  <c r="AD430" i="9"/>
  <c r="AE430" i="9"/>
  <c r="AF430" i="9"/>
  <c r="AG430" i="9"/>
  <c r="AH430" i="9"/>
  <c r="B431" i="9"/>
  <c r="C431" i="9"/>
  <c r="D431" i="9"/>
  <c r="E431" i="9"/>
  <c r="F431" i="9"/>
  <c r="G431" i="9"/>
  <c r="H431" i="9"/>
  <c r="I431" i="9"/>
  <c r="K431" i="9"/>
  <c r="L431" i="9"/>
  <c r="M431" i="9"/>
  <c r="N431" i="9"/>
  <c r="O431" i="9"/>
  <c r="P431" i="9"/>
  <c r="Q431" i="9"/>
  <c r="R431" i="9"/>
  <c r="S431" i="9"/>
  <c r="T431" i="9"/>
  <c r="U431" i="9"/>
  <c r="V431" i="9"/>
  <c r="W431" i="9"/>
  <c r="X431" i="9"/>
  <c r="Y431" i="9"/>
  <c r="Z431" i="9"/>
  <c r="AA431" i="9"/>
  <c r="AB431" i="9"/>
  <c r="AC431" i="9"/>
  <c r="AD431" i="9"/>
  <c r="AE431" i="9"/>
  <c r="AF431" i="9"/>
  <c r="AG431" i="9"/>
  <c r="AH431" i="9"/>
  <c r="B432" i="9"/>
  <c r="C432" i="9"/>
  <c r="D432" i="9"/>
  <c r="E432" i="9"/>
  <c r="F432" i="9"/>
  <c r="G432" i="9"/>
  <c r="H432" i="9"/>
  <c r="I432" i="9"/>
  <c r="K432" i="9"/>
  <c r="L432" i="9"/>
  <c r="M432" i="9"/>
  <c r="N432" i="9"/>
  <c r="O432" i="9"/>
  <c r="P432" i="9"/>
  <c r="Q432" i="9"/>
  <c r="R432" i="9"/>
  <c r="S432" i="9"/>
  <c r="T432" i="9"/>
  <c r="U432" i="9"/>
  <c r="V432" i="9"/>
  <c r="W432" i="9"/>
  <c r="X432" i="9"/>
  <c r="Y432" i="9"/>
  <c r="Z432" i="9"/>
  <c r="AA432" i="9"/>
  <c r="AB432" i="9"/>
  <c r="AC432" i="9"/>
  <c r="AD432" i="9"/>
  <c r="AE432" i="9"/>
  <c r="AF432" i="9"/>
  <c r="AG432" i="9"/>
  <c r="AH432" i="9"/>
  <c r="B433" i="9"/>
  <c r="C433" i="9"/>
  <c r="D433" i="9"/>
  <c r="E433" i="9"/>
  <c r="F433" i="9"/>
  <c r="G433" i="9"/>
  <c r="H433" i="9"/>
  <c r="I433" i="9"/>
  <c r="K433" i="9"/>
  <c r="L433" i="9"/>
  <c r="M433" i="9"/>
  <c r="N433" i="9"/>
  <c r="O433" i="9"/>
  <c r="P433" i="9"/>
  <c r="Q433" i="9"/>
  <c r="R433" i="9"/>
  <c r="S433" i="9"/>
  <c r="T433" i="9"/>
  <c r="U433" i="9"/>
  <c r="V433" i="9"/>
  <c r="W433" i="9"/>
  <c r="X433" i="9"/>
  <c r="Y433" i="9"/>
  <c r="Z433" i="9"/>
  <c r="AA433" i="9"/>
  <c r="AB433" i="9"/>
  <c r="AC433" i="9"/>
  <c r="AD433" i="9"/>
  <c r="AE433" i="9"/>
  <c r="AF433" i="9"/>
  <c r="AG433" i="9"/>
  <c r="AH433" i="9"/>
  <c r="B434" i="9"/>
  <c r="C434" i="9"/>
  <c r="D434" i="9"/>
  <c r="E434" i="9"/>
  <c r="F434" i="9"/>
  <c r="G434" i="9"/>
  <c r="H434" i="9"/>
  <c r="I434" i="9"/>
  <c r="K434" i="9"/>
  <c r="L434" i="9"/>
  <c r="M434" i="9"/>
  <c r="N434" i="9"/>
  <c r="O434" i="9"/>
  <c r="P434" i="9"/>
  <c r="Q434" i="9"/>
  <c r="R434" i="9"/>
  <c r="S434" i="9"/>
  <c r="T434" i="9"/>
  <c r="U434" i="9"/>
  <c r="V434" i="9"/>
  <c r="W434" i="9"/>
  <c r="X434" i="9"/>
  <c r="Y434" i="9"/>
  <c r="Z434" i="9"/>
  <c r="AA434" i="9"/>
  <c r="AB434" i="9"/>
  <c r="AC434" i="9"/>
  <c r="AD434" i="9"/>
  <c r="AE434" i="9"/>
  <c r="AF434" i="9"/>
  <c r="AG434" i="9"/>
  <c r="AH434" i="9"/>
  <c r="B435" i="9"/>
  <c r="C435" i="9"/>
  <c r="D435" i="9"/>
  <c r="E435" i="9"/>
  <c r="F435" i="9"/>
  <c r="G435" i="9"/>
  <c r="H435" i="9"/>
  <c r="I435" i="9"/>
  <c r="K435" i="9"/>
  <c r="L435" i="9"/>
  <c r="M435" i="9"/>
  <c r="N435" i="9"/>
  <c r="O435" i="9"/>
  <c r="P435" i="9"/>
  <c r="Q435" i="9"/>
  <c r="R435" i="9"/>
  <c r="S435" i="9"/>
  <c r="T435" i="9"/>
  <c r="U435" i="9"/>
  <c r="V435" i="9"/>
  <c r="W435" i="9"/>
  <c r="X435" i="9"/>
  <c r="Y435" i="9"/>
  <c r="Z435" i="9"/>
  <c r="AA435" i="9"/>
  <c r="AB435" i="9"/>
  <c r="AC435" i="9"/>
  <c r="AD435" i="9"/>
  <c r="AE435" i="9"/>
  <c r="AF435" i="9"/>
  <c r="AG435" i="9"/>
  <c r="AH435" i="9"/>
  <c r="B436" i="9"/>
  <c r="C436" i="9"/>
  <c r="D436" i="9"/>
  <c r="E436" i="9"/>
  <c r="F436" i="9"/>
  <c r="G436" i="9"/>
  <c r="H436" i="9"/>
  <c r="I436" i="9"/>
  <c r="K436" i="9"/>
  <c r="L436" i="9"/>
  <c r="M436" i="9"/>
  <c r="N436" i="9"/>
  <c r="O436" i="9"/>
  <c r="P436" i="9"/>
  <c r="Q436" i="9"/>
  <c r="R436" i="9"/>
  <c r="S436" i="9"/>
  <c r="T436" i="9"/>
  <c r="U436" i="9"/>
  <c r="V436" i="9"/>
  <c r="W436" i="9"/>
  <c r="X436" i="9"/>
  <c r="Y436" i="9"/>
  <c r="Z436" i="9"/>
  <c r="AA436" i="9"/>
  <c r="AB436" i="9"/>
  <c r="AC436" i="9"/>
  <c r="AD436" i="9"/>
  <c r="AE436" i="9"/>
  <c r="AF436" i="9"/>
  <c r="AG436" i="9"/>
  <c r="AH436" i="9"/>
  <c r="B437" i="9"/>
  <c r="C437" i="9"/>
  <c r="D437" i="9"/>
  <c r="E437" i="9"/>
  <c r="F437" i="9"/>
  <c r="G437" i="9"/>
  <c r="H437" i="9"/>
  <c r="I437" i="9"/>
  <c r="K437" i="9"/>
  <c r="L437" i="9"/>
  <c r="M437" i="9"/>
  <c r="N437" i="9"/>
  <c r="O437" i="9"/>
  <c r="P437" i="9"/>
  <c r="Q437" i="9"/>
  <c r="R437" i="9"/>
  <c r="S437" i="9"/>
  <c r="T437" i="9"/>
  <c r="U437" i="9"/>
  <c r="V437" i="9"/>
  <c r="W437" i="9"/>
  <c r="X437" i="9"/>
  <c r="Y437" i="9"/>
  <c r="Z437" i="9"/>
  <c r="AA437" i="9"/>
  <c r="AB437" i="9"/>
  <c r="AC437" i="9"/>
  <c r="AD437" i="9"/>
  <c r="AE437" i="9"/>
  <c r="AF437" i="9"/>
  <c r="AG437" i="9"/>
  <c r="AH437" i="9"/>
  <c r="B438" i="9"/>
  <c r="C438" i="9"/>
  <c r="D438" i="9"/>
  <c r="E438" i="9"/>
  <c r="F438" i="9"/>
  <c r="G438" i="9"/>
  <c r="H438" i="9"/>
  <c r="I438" i="9"/>
  <c r="K438" i="9"/>
  <c r="L438" i="9"/>
  <c r="M438" i="9"/>
  <c r="N438" i="9"/>
  <c r="O438" i="9"/>
  <c r="P438" i="9"/>
  <c r="Q438" i="9"/>
  <c r="R438" i="9"/>
  <c r="S438" i="9"/>
  <c r="T438" i="9"/>
  <c r="U438" i="9"/>
  <c r="V438" i="9"/>
  <c r="W438" i="9"/>
  <c r="X438" i="9"/>
  <c r="Y438" i="9"/>
  <c r="Z438" i="9"/>
  <c r="AA438" i="9"/>
  <c r="AB438" i="9"/>
  <c r="AC438" i="9"/>
  <c r="AD438" i="9"/>
  <c r="AE438" i="9"/>
  <c r="AF438" i="9"/>
  <c r="AG438" i="9"/>
  <c r="AH438" i="9"/>
  <c r="B439" i="9"/>
  <c r="C439" i="9"/>
  <c r="D439" i="9"/>
  <c r="E439" i="9"/>
  <c r="F439" i="9"/>
  <c r="G439" i="9"/>
  <c r="H439" i="9"/>
  <c r="I439" i="9"/>
  <c r="K439" i="9"/>
  <c r="L439" i="9"/>
  <c r="M439" i="9"/>
  <c r="N439" i="9"/>
  <c r="O439" i="9"/>
  <c r="P439" i="9"/>
  <c r="Q439" i="9"/>
  <c r="R439" i="9"/>
  <c r="S439" i="9"/>
  <c r="T439" i="9"/>
  <c r="U439" i="9"/>
  <c r="V439" i="9"/>
  <c r="W439" i="9"/>
  <c r="X439" i="9"/>
  <c r="Y439" i="9"/>
  <c r="Z439" i="9"/>
  <c r="AA439" i="9"/>
  <c r="AB439" i="9"/>
  <c r="AC439" i="9"/>
  <c r="AD439" i="9"/>
  <c r="AE439" i="9"/>
  <c r="AF439" i="9"/>
  <c r="AG439" i="9"/>
  <c r="AH439" i="9"/>
  <c r="B440" i="9"/>
  <c r="C440" i="9"/>
  <c r="D440" i="9"/>
  <c r="E440" i="9"/>
  <c r="F440" i="9"/>
  <c r="G440" i="9"/>
  <c r="H440" i="9"/>
  <c r="I440" i="9"/>
  <c r="K440" i="9"/>
  <c r="L440" i="9"/>
  <c r="M440" i="9"/>
  <c r="N440" i="9"/>
  <c r="O440" i="9"/>
  <c r="P440" i="9"/>
  <c r="Q440" i="9"/>
  <c r="R440" i="9"/>
  <c r="S440" i="9"/>
  <c r="T440" i="9"/>
  <c r="U440" i="9"/>
  <c r="V440" i="9"/>
  <c r="W440" i="9"/>
  <c r="X440" i="9"/>
  <c r="Y440" i="9"/>
  <c r="Z440" i="9"/>
  <c r="AA440" i="9"/>
  <c r="AB440" i="9"/>
  <c r="AC440" i="9"/>
  <c r="AD440" i="9"/>
  <c r="AE440" i="9"/>
  <c r="AF440" i="9"/>
  <c r="AG440" i="9"/>
  <c r="AH440" i="9"/>
  <c r="B441" i="9"/>
  <c r="C441" i="9"/>
  <c r="D441" i="9"/>
  <c r="E441" i="9"/>
  <c r="F441" i="9"/>
  <c r="G441" i="9"/>
  <c r="H441" i="9"/>
  <c r="I441" i="9"/>
  <c r="K441" i="9"/>
  <c r="L441" i="9"/>
  <c r="M441" i="9"/>
  <c r="N441" i="9"/>
  <c r="O441" i="9"/>
  <c r="P441" i="9"/>
  <c r="Q441" i="9"/>
  <c r="R441" i="9"/>
  <c r="S441" i="9"/>
  <c r="T441" i="9"/>
  <c r="U441" i="9"/>
  <c r="V441" i="9"/>
  <c r="W441" i="9"/>
  <c r="X441" i="9"/>
  <c r="Y441" i="9"/>
  <c r="Z441" i="9"/>
  <c r="AA441" i="9"/>
  <c r="AB441" i="9"/>
  <c r="AC441" i="9"/>
  <c r="AD441" i="9"/>
  <c r="AE441" i="9"/>
  <c r="AF441" i="9"/>
  <c r="AG441" i="9"/>
  <c r="AH441" i="9"/>
  <c r="B442" i="9"/>
  <c r="C442" i="9"/>
  <c r="D442" i="9"/>
  <c r="E442" i="9"/>
  <c r="F442" i="9"/>
  <c r="G442" i="9"/>
  <c r="H442" i="9"/>
  <c r="I442" i="9"/>
  <c r="K442" i="9"/>
  <c r="L442" i="9"/>
  <c r="M442" i="9"/>
  <c r="N442" i="9"/>
  <c r="O442" i="9"/>
  <c r="P442" i="9"/>
  <c r="Q442" i="9"/>
  <c r="R442" i="9"/>
  <c r="S442" i="9"/>
  <c r="T442" i="9"/>
  <c r="U442" i="9"/>
  <c r="V442" i="9"/>
  <c r="W442" i="9"/>
  <c r="X442" i="9"/>
  <c r="Y442" i="9"/>
  <c r="Z442" i="9"/>
  <c r="AA442" i="9"/>
  <c r="AB442" i="9"/>
  <c r="AC442" i="9"/>
  <c r="AD442" i="9"/>
  <c r="AE442" i="9"/>
  <c r="AF442" i="9"/>
  <c r="AG442" i="9"/>
  <c r="AH442" i="9"/>
  <c r="B443" i="9"/>
  <c r="C443" i="9"/>
  <c r="D443" i="9"/>
  <c r="E443" i="9"/>
  <c r="F443" i="9"/>
  <c r="G443" i="9"/>
  <c r="H443" i="9"/>
  <c r="I443" i="9"/>
  <c r="K443" i="9"/>
  <c r="L443" i="9"/>
  <c r="M443" i="9"/>
  <c r="N443" i="9"/>
  <c r="O443" i="9"/>
  <c r="P443" i="9"/>
  <c r="Q443" i="9"/>
  <c r="R443" i="9"/>
  <c r="S443" i="9"/>
  <c r="T443" i="9"/>
  <c r="U443" i="9"/>
  <c r="V443" i="9"/>
  <c r="W443" i="9"/>
  <c r="X443" i="9"/>
  <c r="Y443" i="9"/>
  <c r="Z443" i="9"/>
  <c r="AA443" i="9"/>
  <c r="AB443" i="9"/>
  <c r="AC443" i="9"/>
  <c r="AD443" i="9"/>
  <c r="AE443" i="9"/>
  <c r="AF443" i="9"/>
  <c r="AG443" i="9"/>
  <c r="AH443" i="9"/>
  <c r="B444" i="9"/>
  <c r="C444" i="9"/>
  <c r="D444" i="9"/>
  <c r="E444" i="9"/>
  <c r="F444" i="9"/>
  <c r="G444" i="9"/>
  <c r="H444" i="9"/>
  <c r="I444" i="9"/>
  <c r="K444" i="9"/>
  <c r="L444" i="9"/>
  <c r="M444" i="9"/>
  <c r="N444" i="9"/>
  <c r="O444" i="9"/>
  <c r="P444" i="9"/>
  <c r="Q444" i="9"/>
  <c r="R444" i="9"/>
  <c r="S444" i="9"/>
  <c r="T444" i="9"/>
  <c r="U444" i="9"/>
  <c r="V444" i="9"/>
  <c r="W444" i="9"/>
  <c r="X444" i="9"/>
  <c r="Y444" i="9"/>
  <c r="Z444" i="9"/>
  <c r="AA444" i="9"/>
  <c r="AB444" i="9"/>
  <c r="AC444" i="9"/>
  <c r="AD444" i="9"/>
  <c r="AE444" i="9"/>
  <c r="AF444" i="9"/>
  <c r="AG444" i="9"/>
  <c r="AH444" i="9"/>
  <c r="B445" i="9"/>
  <c r="C445" i="9"/>
  <c r="D445" i="9"/>
  <c r="E445" i="9"/>
  <c r="F445" i="9"/>
  <c r="G445" i="9"/>
  <c r="H445" i="9"/>
  <c r="I445" i="9"/>
  <c r="K445" i="9"/>
  <c r="L445" i="9"/>
  <c r="M445" i="9"/>
  <c r="N445" i="9"/>
  <c r="O445" i="9"/>
  <c r="P445" i="9"/>
  <c r="Q445" i="9"/>
  <c r="R445" i="9"/>
  <c r="S445" i="9"/>
  <c r="T445" i="9"/>
  <c r="U445" i="9"/>
  <c r="V445" i="9"/>
  <c r="W445" i="9"/>
  <c r="X445" i="9"/>
  <c r="Y445" i="9"/>
  <c r="Z445" i="9"/>
  <c r="AA445" i="9"/>
  <c r="AB445" i="9"/>
  <c r="AC445" i="9"/>
  <c r="AD445" i="9"/>
  <c r="AE445" i="9"/>
  <c r="AF445" i="9"/>
  <c r="AG445" i="9"/>
  <c r="AH445" i="9"/>
  <c r="B446" i="9"/>
  <c r="C446" i="9"/>
  <c r="D446" i="9"/>
  <c r="E446" i="9"/>
  <c r="F446" i="9"/>
  <c r="G446" i="9"/>
  <c r="H446" i="9"/>
  <c r="I446" i="9"/>
  <c r="K446" i="9"/>
  <c r="L446" i="9"/>
  <c r="M446" i="9"/>
  <c r="N446" i="9"/>
  <c r="O446" i="9"/>
  <c r="P446" i="9"/>
  <c r="Q446" i="9"/>
  <c r="R446" i="9"/>
  <c r="S446" i="9"/>
  <c r="T446" i="9"/>
  <c r="U446" i="9"/>
  <c r="V446" i="9"/>
  <c r="W446" i="9"/>
  <c r="X446" i="9"/>
  <c r="Y446" i="9"/>
  <c r="Z446" i="9"/>
  <c r="AA446" i="9"/>
  <c r="AB446" i="9"/>
  <c r="AC446" i="9"/>
  <c r="AD446" i="9"/>
  <c r="AE446" i="9"/>
  <c r="AF446" i="9"/>
  <c r="AG446" i="9"/>
  <c r="AH446" i="9"/>
  <c r="B447" i="9"/>
  <c r="C447" i="9"/>
  <c r="D447" i="9"/>
  <c r="E447" i="9"/>
  <c r="F447" i="9"/>
  <c r="G447" i="9"/>
  <c r="H447" i="9"/>
  <c r="I447" i="9"/>
  <c r="K447" i="9"/>
  <c r="L447" i="9"/>
  <c r="M447" i="9"/>
  <c r="N447" i="9"/>
  <c r="O447" i="9"/>
  <c r="P447" i="9"/>
  <c r="Q447" i="9"/>
  <c r="R447" i="9"/>
  <c r="S447" i="9"/>
  <c r="T447" i="9"/>
  <c r="U447" i="9"/>
  <c r="V447" i="9"/>
  <c r="W447" i="9"/>
  <c r="X447" i="9"/>
  <c r="Y447" i="9"/>
  <c r="Z447" i="9"/>
  <c r="AA447" i="9"/>
  <c r="AB447" i="9"/>
  <c r="AC447" i="9"/>
  <c r="AD447" i="9"/>
  <c r="AE447" i="9"/>
  <c r="AF447" i="9"/>
  <c r="AG447" i="9"/>
  <c r="AH447" i="9"/>
  <c r="B448" i="9"/>
  <c r="C448" i="9"/>
  <c r="D448" i="9"/>
  <c r="E448" i="9"/>
  <c r="F448" i="9"/>
  <c r="G448" i="9"/>
  <c r="H448" i="9"/>
  <c r="I448" i="9"/>
  <c r="K448" i="9"/>
  <c r="L448" i="9"/>
  <c r="M448" i="9"/>
  <c r="N448" i="9"/>
  <c r="O448" i="9"/>
  <c r="P448" i="9"/>
  <c r="Q448" i="9"/>
  <c r="R448" i="9"/>
  <c r="S448" i="9"/>
  <c r="T448" i="9"/>
  <c r="U448" i="9"/>
  <c r="V448" i="9"/>
  <c r="W448" i="9"/>
  <c r="X448" i="9"/>
  <c r="Y448" i="9"/>
  <c r="Z448" i="9"/>
  <c r="AA448" i="9"/>
  <c r="AB448" i="9"/>
  <c r="AC448" i="9"/>
  <c r="AD448" i="9"/>
  <c r="AE448" i="9"/>
  <c r="AF448" i="9"/>
  <c r="AG448" i="9"/>
  <c r="AH448" i="9"/>
  <c r="B449" i="9"/>
  <c r="C449" i="9"/>
  <c r="D449" i="9"/>
  <c r="E449" i="9"/>
  <c r="F449" i="9"/>
  <c r="G449" i="9"/>
  <c r="H449" i="9"/>
  <c r="I449" i="9"/>
  <c r="K449" i="9"/>
  <c r="L449" i="9"/>
  <c r="M449" i="9"/>
  <c r="N449" i="9"/>
  <c r="O449" i="9"/>
  <c r="P449" i="9"/>
  <c r="Q449" i="9"/>
  <c r="R449" i="9"/>
  <c r="S449" i="9"/>
  <c r="T449" i="9"/>
  <c r="U449" i="9"/>
  <c r="V449" i="9"/>
  <c r="W449" i="9"/>
  <c r="X449" i="9"/>
  <c r="Y449" i="9"/>
  <c r="Z449" i="9"/>
  <c r="AA449" i="9"/>
  <c r="AB449" i="9"/>
  <c r="AC449" i="9"/>
  <c r="AD449" i="9"/>
  <c r="AE449" i="9"/>
  <c r="AF449" i="9"/>
  <c r="AG449" i="9"/>
  <c r="AH449" i="9"/>
  <c r="B450" i="9"/>
  <c r="C450" i="9"/>
  <c r="D450" i="9"/>
  <c r="E450" i="9"/>
  <c r="F450" i="9"/>
  <c r="G450" i="9"/>
  <c r="H450" i="9"/>
  <c r="I450" i="9"/>
  <c r="K450" i="9"/>
  <c r="L450" i="9"/>
  <c r="M450" i="9"/>
  <c r="N450" i="9"/>
  <c r="O450" i="9"/>
  <c r="P450" i="9"/>
  <c r="Q450" i="9"/>
  <c r="R450" i="9"/>
  <c r="S450" i="9"/>
  <c r="T450" i="9"/>
  <c r="U450" i="9"/>
  <c r="V450" i="9"/>
  <c r="W450" i="9"/>
  <c r="X450" i="9"/>
  <c r="Y450" i="9"/>
  <c r="Z450" i="9"/>
  <c r="AA450" i="9"/>
  <c r="AB450" i="9"/>
  <c r="AC450" i="9"/>
  <c r="AD450" i="9"/>
  <c r="AE450" i="9"/>
  <c r="AF450" i="9"/>
  <c r="AG450" i="9"/>
  <c r="AH450" i="9"/>
  <c r="B451" i="9"/>
  <c r="C451" i="9"/>
  <c r="D451" i="9"/>
  <c r="E451" i="9"/>
  <c r="F451" i="9"/>
  <c r="G451" i="9"/>
  <c r="H451" i="9"/>
  <c r="I451" i="9"/>
  <c r="K451" i="9"/>
  <c r="L451" i="9"/>
  <c r="M451" i="9"/>
  <c r="N451" i="9"/>
  <c r="O451" i="9"/>
  <c r="P451" i="9"/>
  <c r="Q451" i="9"/>
  <c r="R451" i="9"/>
  <c r="S451" i="9"/>
  <c r="T451" i="9"/>
  <c r="U451" i="9"/>
  <c r="V451" i="9"/>
  <c r="W451" i="9"/>
  <c r="X451" i="9"/>
  <c r="Y451" i="9"/>
  <c r="Z451" i="9"/>
  <c r="AA451" i="9"/>
  <c r="AB451" i="9"/>
  <c r="AC451" i="9"/>
  <c r="AD451" i="9"/>
  <c r="AE451" i="9"/>
  <c r="AF451" i="9"/>
  <c r="AG451" i="9"/>
  <c r="AH451" i="9"/>
  <c r="B452" i="9"/>
  <c r="C452" i="9"/>
  <c r="D452" i="9"/>
  <c r="E452" i="9"/>
  <c r="F452" i="9"/>
  <c r="G452" i="9"/>
  <c r="H452" i="9"/>
  <c r="I452" i="9"/>
  <c r="K452" i="9"/>
  <c r="L452" i="9"/>
  <c r="M452" i="9"/>
  <c r="N452" i="9"/>
  <c r="O452" i="9"/>
  <c r="P452" i="9"/>
  <c r="Q452" i="9"/>
  <c r="R452" i="9"/>
  <c r="S452" i="9"/>
  <c r="T452" i="9"/>
  <c r="U452" i="9"/>
  <c r="V452" i="9"/>
  <c r="W452" i="9"/>
  <c r="X452" i="9"/>
  <c r="Y452" i="9"/>
  <c r="Z452" i="9"/>
  <c r="AA452" i="9"/>
  <c r="AB452" i="9"/>
  <c r="AC452" i="9"/>
  <c r="AD452" i="9"/>
  <c r="AE452" i="9"/>
  <c r="AF452" i="9"/>
  <c r="AG452" i="9"/>
  <c r="AH452" i="9"/>
  <c r="B453" i="9"/>
  <c r="C453" i="9"/>
  <c r="D453" i="9"/>
  <c r="E453" i="9"/>
  <c r="F453" i="9"/>
  <c r="G453" i="9"/>
  <c r="H453" i="9"/>
  <c r="I453" i="9"/>
  <c r="K453" i="9"/>
  <c r="L453" i="9"/>
  <c r="M453" i="9"/>
  <c r="N453" i="9"/>
  <c r="O453" i="9"/>
  <c r="P453" i="9"/>
  <c r="Q453" i="9"/>
  <c r="R453" i="9"/>
  <c r="S453" i="9"/>
  <c r="T453" i="9"/>
  <c r="U453" i="9"/>
  <c r="V453" i="9"/>
  <c r="W453" i="9"/>
  <c r="X453" i="9"/>
  <c r="Y453" i="9"/>
  <c r="Z453" i="9"/>
  <c r="AA453" i="9"/>
  <c r="AB453" i="9"/>
  <c r="AC453" i="9"/>
  <c r="AD453" i="9"/>
  <c r="AE453" i="9"/>
  <c r="AF453" i="9"/>
  <c r="AG453" i="9"/>
  <c r="AH453" i="9"/>
  <c r="B454" i="9"/>
  <c r="C454" i="9"/>
  <c r="D454" i="9"/>
  <c r="E454" i="9"/>
  <c r="F454" i="9"/>
  <c r="G454" i="9"/>
  <c r="H454" i="9"/>
  <c r="I454" i="9"/>
  <c r="K454" i="9"/>
  <c r="L454" i="9"/>
  <c r="M454" i="9"/>
  <c r="N454" i="9"/>
  <c r="O454" i="9"/>
  <c r="P454" i="9"/>
  <c r="Q454" i="9"/>
  <c r="R454" i="9"/>
  <c r="S454" i="9"/>
  <c r="T454" i="9"/>
  <c r="U454" i="9"/>
  <c r="V454" i="9"/>
  <c r="W454" i="9"/>
  <c r="X454" i="9"/>
  <c r="Y454" i="9"/>
  <c r="Z454" i="9"/>
  <c r="AA454" i="9"/>
  <c r="AB454" i="9"/>
  <c r="AC454" i="9"/>
  <c r="AD454" i="9"/>
  <c r="AE454" i="9"/>
  <c r="AF454" i="9"/>
  <c r="AG454" i="9"/>
  <c r="AH454" i="9"/>
  <c r="B455" i="9"/>
  <c r="C455" i="9"/>
  <c r="D455" i="9"/>
  <c r="E455" i="9"/>
  <c r="F455" i="9"/>
  <c r="G455" i="9"/>
  <c r="H455" i="9"/>
  <c r="I455" i="9"/>
  <c r="K455" i="9"/>
  <c r="L455" i="9"/>
  <c r="M455" i="9"/>
  <c r="N455" i="9"/>
  <c r="O455" i="9"/>
  <c r="P455" i="9"/>
  <c r="Q455" i="9"/>
  <c r="R455" i="9"/>
  <c r="S455" i="9"/>
  <c r="T455" i="9"/>
  <c r="U455" i="9"/>
  <c r="V455" i="9"/>
  <c r="W455" i="9"/>
  <c r="X455" i="9"/>
  <c r="Y455" i="9"/>
  <c r="Z455" i="9"/>
  <c r="AA455" i="9"/>
  <c r="AB455" i="9"/>
  <c r="AC455" i="9"/>
  <c r="AD455" i="9"/>
  <c r="AE455" i="9"/>
  <c r="AF455" i="9"/>
  <c r="AG455" i="9"/>
  <c r="AH455" i="9"/>
  <c r="B456" i="9"/>
  <c r="C456" i="9"/>
  <c r="D456" i="9"/>
  <c r="E456" i="9"/>
  <c r="F456" i="9"/>
  <c r="G456" i="9"/>
  <c r="H456" i="9"/>
  <c r="I456" i="9"/>
  <c r="K456" i="9"/>
  <c r="L456" i="9"/>
  <c r="M456" i="9"/>
  <c r="N456" i="9"/>
  <c r="O456" i="9"/>
  <c r="P456" i="9"/>
  <c r="Q456" i="9"/>
  <c r="R456" i="9"/>
  <c r="S456" i="9"/>
  <c r="T456" i="9"/>
  <c r="U456" i="9"/>
  <c r="V456" i="9"/>
  <c r="W456" i="9"/>
  <c r="X456" i="9"/>
  <c r="Y456" i="9"/>
  <c r="Z456" i="9"/>
  <c r="AA456" i="9"/>
  <c r="AB456" i="9"/>
  <c r="AC456" i="9"/>
  <c r="AD456" i="9"/>
  <c r="AE456" i="9"/>
  <c r="AF456" i="9"/>
  <c r="AG456" i="9"/>
  <c r="AH456" i="9"/>
  <c r="B457" i="9"/>
  <c r="C457" i="9"/>
  <c r="D457" i="9"/>
  <c r="E457" i="9"/>
  <c r="F457" i="9"/>
  <c r="G457" i="9"/>
  <c r="H457" i="9"/>
  <c r="I457" i="9"/>
  <c r="K457" i="9"/>
  <c r="L457" i="9"/>
  <c r="M457" i="9"/>
  <c r="N457" i="9"/>
  <c r="O457" i="9"/>
  <c r="P457" i="9"/>
  <c r="Q457" i="9"/>
  <c r="R457" i="9"/>
  <c r="S457" i="9"/>
  <c r="T457" i="9"/>
  <c r="U457" i="9"/>
  <c r="V457" i="9"/>
  <c r="W457" i="9"/>
  <c r="X457" i="9"/>
  <c r="Y457" i="9"/>
  <c r="Z457" i="9"/>
  <c r="AA457" i="9"/>
  <c r="AB457" i="9"/>
  <c r="AC457" i="9"/>
  <c r="AD457" i="9"/>
  <c r="AE457" i="9"/>
  <c r="AF457" i="9"/>
  <c r="AG457" i="9"/>
  <c r="AH457" i="9"/>
  <c r="B458" i="9"/>
  <c r="C458" i="9"/>
  <c r="D458" i="9"/>
  <c r="E458" i="9"/>
  <c r="F458" i="9"/>
  <c r="G458" i="9"/>
  <c r="H458" i="9"/>
  <c r="I458" i="9"/>
  <c r="K458" i="9"/>
  <c r="L458" i="9"/>
  <c r="M458" i="9"/>
  <c r="N458" i="9"/>
  <c r="O458" i="9"/>
  <c r="P458" i="9"/>
  <c r="Q458" i="9"/>
  <c r="R458" i="9"/>
  <c r="S458" i="9"/>
  <c r="T458" i="9"/>
  <c r="U458" i="9"/>
  <c r="V458" i="9"/>
  <c r="W458" i="9"/>
  <c r="X458" i="9"/>
  <c r="Y458" i="9"/>
  <c r="Z458" i="9"/>
  <c r="AA458" i="9"/>
  <c r="AB458" i="9"/>
  <c r="AC458" i="9"/>
  <c r="AD458" i="9"/>
  <c r="AE458" i="9"/>
  <c r="AF458" i="9"/>
  <c r="AG458" i="9"/>
  <c r="AH458" i="9"/>
  <c r="B459" i="9"/>
  <c r="C459" i="9"/>
  <c r="D459" i="9"/>
  <c r="E459" i="9"/>
  <c r="F459" i="9"/>
  <c r="G459" i="9"/>
  <c r="H459" i="9"/>
  <c r="I459" i="9"/>
  <c r="K459" i="9"/>
  <c r="L459" i="9"/>
  <c r="M459" i="9"/>
  <c r="N459" i="9"/>
  <c r="O459" i="9"/>
  <c r="P459" i="9"/>
  <c r="Q459" i="9"/>
  <c r="R459" i="9"/>
  <c r="S459" i="9"/>
  <c r="T459" i="9"/>
  <c r="U459" i="9"/>
  <c r="V459" i="9"/>
  <c r="W459" i="9"/>
  <c r="X459" i="9"/>
  <c r="Y459" i="9"/>
  <c r="Z459" i="9"/>
  <c r="AA459" i="9"/>
  <c r="AB459" i="9"/>
  <c r="AC459" i="9"/>
  <c r="AD459" i="9"/>
  <c r="AE459" i="9"/>
  <c r="AF459" i="9"/>
  <c r="AG459" i="9"/>
  <c r="AH459" i="9"/>
  <c r="B460" i="9"/>
  <c r="C460" i="9"/>
  <c r="D460" i="9"/>
  <c r="E460" i="9"/>
  <c r="F460" i="9"/>
  <c r="G460" i="9"/>
  <c r="H460" i="9"/>
  <c r="I460" i="9"/>
  <c r="K460" i="9"/>
  <c r="L460" i="9"/>
  <c r="M460" i="9"/>
  <c r="N460" i="9"/>
  <c r="O460" i="9"/>
  <c r="P460" i="9"/>
  <c r="Q460" i="9"/>
  <c r="R460" i="9"/>
  <c r="S460" i="9"/>
  <c r="T460" i="9"/>
  <c r="U460" i="9"/>
  <c r="V460" i="9"/>
  <c r="W460" i="9"/>
  <c r="X460" i="9"/>
  <c r="Y460" i="9"/>
  <c r="Z460" i="9"/>
  <c r="AA460" i="9"/>
  <c r="AB460" i="9"/>
  <c r="AC460" i="9"/>
  <c r="AD460" i="9"/>
  <c r="AE460" i="9"/>
  <c r="AF460" i="9"/>
  <c r="AG460" i="9"/>
  <c r="AH460" i="9"/>
  <c r="B461" i="9"/>
  <c r="C461" i="9"/>
  <c r="D461" i="9"/>
  <c r="E461" i="9"/>
  <c r="F461" i="9"/>
  <c r="G461" i="9"/>
  <c r="H461" i="9"/>
  <c r="I461" i="9"/>
  <c r="K461" i="9"/>
  <c r="L461" i="9"/>
  <c r="M461" i="9"/>
  <c r="N461" i="9"/>
  <c r="O461" i="9"/>
  <c r="P461" i="9"/>
  <c r="Q461" i="9"/>
  <c r="R461" i="9"/>
  <c r="S461" i="9"/>
  <c r="T461" i="9"/>
  <c r="U461" i="9"/>
  <c r="V461" i="9"/>
  <c r="W461" i="9"/>
  <c r="X461" i="9"/>
  <c r="Y461" i="9"/>
  <c r="Z461" i="9"/>
  <c r="AA461" i="9"/>
  <c r="AB461" i="9"/>
  <c r="AC461" i="9"/>
  <c r="AD461" i="9"/>
  <c r="AE461" i="9"/>
  <c r="AF461" i="9"/>
  <c r="AG461" i="9"/>
  <c r="AH461" i="9"/>
  <c r="B462" i="9"/>
  <c r="C462" i="9"/>
  <c r="D462" i="9"/>
  <c r="E462" i="9"/>
  <c r="F462" i="9"/>
  <c r="G462" i="9"/>
  <c r="H462" i="9"/>
  <c r="I462" i="9"/>
  <c r="K462" i="9"/>
  <c r="L462" i="9"/>
  <c r="M462" i="9"/>
  <c r="N462" i="9"/>
  <c r="O462" i="9"/>
  <c r="P462" i="9"/>
  <c r="Q462" i="9"/>
  <c r="R462" i="9"/>
  <c r="S462" i="9"/>
  <c r="T462" i="9"/>
  <c r="U462" i="9"/>
  <c r="V462" i="9"/>
  <c r="W462" i="9"/>
  <c r="X462" i="9"/>
  <c r="Y462" i="9"/>
  <c r="Z462" i="9"/>
  <c r="AA462" i="9"/>
  <c r="AB462" i="9"/>
  <c r="AC462" i="9"/>
  <c r="AD462" i="9"/>
  <c r="AE462" i="9"/>
  <c r="AF462" i="9"/>
  <c r="AG462" i="9"/>
  <c r="AH462" i="9"/>
  <c r="B463" i="9"/>
  <c r="C463" i="9"/>
  <c r="D463" i="9"/>
  <c r="E463" i="9"/>
  <c r="F463" i="9"/>
  <c r="G463" i="9"/>
  <c r="H463" i="9"/>
  <c r="I463" i="9"/>
  <c r="K463" i="9"/>
  <c r="L463" i="9"/>
  <c r="M463" i="9"/>
  <c r="N463" i="9"/>
  <c r="O463" i="9"/>
  <c r="P463" i="9"/>
  <c r="Q463" i="9"/>
  <c r="R463" i="9"/>
  <c r="S463" i="9"/>
  <c r="T463" i="9"/>
  <c r="U463" i="9"/>
  <c r="V463" i="9"/>
  <c r="W463" i="9"/>
  <c r="X463" i="9"/>
  <c r="Y463" i="9"/>
  <c r="Z463" i="9"/>
  <c r="AA463" i="9"/>
  <c r="AB463" i="9"/>
  <c r="AC463" i="9"/>
  <c r="AD463" i="9"/>
  <c r="AE463" i="9"/>
  <c r="AF463" i="9"/>
  <c r="AG463" i="9"/>
  <c r="AH463" i="9"/>
  <c r="B464" i="9"/>
  <c r="C464" i="9"/>
  <c r="D464" i="9"/>
  <c r="E464" i="9"/>
  <c r="F464" i="9"/>
  <c r="G464" i="9"/>
  <c r="H464" i="9"/>
  <c r="I464" i="9"/>
  <c r="K464" i="9"/>
  <c r="L464" i="9"/>
  <c r="M464" i="9"/>
  <c r="N464" i="9"/>
  <c r="O464" i="9"/>
  <c r="P464" i="9"/>
  <c r="Q464" i="9"/>
  <c r="R464" i="9"/>
  <c r="S464" i="9"/>
  <c r="T464" i="9"/>
  <c r="U464" i="9"/>
  <c r="V464" i="9"/>
  <c r="W464" i="9"/>
  <c r="X464" i="9"/>
  <c r="Y464" i="9"/>
  <c r="Z464" i="9"/>
  <c r="AA464" i="9"/>
  <c r="AB464" i="9"/>
  <c r="AC464" i="9"/>
  <c r="AD464" i="9"/>
  <c r="AE464" i="9"/>
  <c r="AF464" i="9"/>
  <c r="AG464" i="9"/>
  <c r="AH464" i="9"/>
  <c r="B465" i="9"/>
  <c r="C465" i="9"/>
  <c r="D465" i="9"/>
  <c r="E465" i="9"/>
  <c r="F465" i="9"/>
  <c r="G465" i="9"/>
  <c r="H465" i="9"/>
  <c r="I465" i="9"/>
  <c r="K465" i="9"/>
  <c r="L465" i="9"/>
  <c r="M465" i="9"/>
  <c r="N465" i="9"/>
  <c r="O465" i="9"/>
  <c r="P465" i="9"/>
  <c r="Q465" i="9"/>
  <c r="R465" i="9"/>
  <c r="S465" i="9"/>
  <c r="T465" i="9"/>
  <c r="U465" i="9"/>
  <c r="V465" i="9"/>
  <c r="W465" i="9"/>
  <c r="X465" i="9"/>
  <c r="Y465" i="9"/>
  <c r="Z465" i="9"/>
  <c r="AA465" i="9"/>
  <c r="AB465" i="9"/>
  <c r="AC465" i="9"/>
  <c r="AD465" i="9"/>
  <c r="AE465" i="9"/>
  <c r="AF465" i="9"/>
  <c r="AG465" i="9"/>
  <c r="AH465" i="9"/>
  <c r="B466" i="9"/>
  <c r="C466" i="9"/>
  <c r="D466" i="9"/>
  <c r="E466" i="9"/>
  <c r="F466" i="9"/>
  <c r="G466" i="9"/>
  <c r="H466" i="9"/>
  <c r="I466" i="9"/>
  <c r="K466" i="9"/>
  <c r="L466" i="9"/>
  <c r="M466" i="9"/>
  <c r="N466" i="9"/>
  <c r="O466" i="9"/>
  <c r="P466" i="9"/>
  <c r="Q466" i="9"/>
  <c r="R466" i="9"/>
  <c r="S466" i="9"/>
  <c r="T466" i="9"/>
  <c r="U466" i="9"/>
  <c r="V466" i="9"/>
  <c r="W466" i="9"/>
  <c r="X466" i="9"/>
  <c r="Y466" i="9"/>
  <c r="Z466" i="9"/>
  <c r="AA466" i="9"/>
  <c r="AB466" i="9"/>
  <c r="AC466" i="9"/>
  <c r="AD466" i="9"/>
  <c r="AE466" i="9"/>
  <c r="AF466" i="9"/>
  <c r="AG466" i="9"/>
  <c r="AH466" i="9"/>
  <c r="B467" i="9"/>
  <c r="C467" i="9"/>
  <c r="D467" i="9"/>
  <c r="E467" i="9"/>
  <c r="F467" i="9"/>
  <c r="G467" i="9"/>
  <c r="H467" i="9"/>
  <c r="I467" i="9"/>
  <c r="K467" i="9"/>
  <c r="L467" i="9"/>
  <c r="M467" i="9"/>
  <c r="N467" i="9"/>
  <c r="O467" i="9"/>
  <c r="P467" i="9"/>
  <c r="Q467" i="9"/>
  <c r="R467" i="9"/>
  <c r="S467" i="9"/>
  <c r="T467" i="9"/>
  <c r="U467" i="9"/>
  <c r="V467" i="9"/>
  <c r="W467" i="9"/>
  <c r="X467" i="9"/>
  <c r="Y467" i="9"/>
  <c r="Z467" i="9"/>
  <c r="AA467" i="9"/>
  <c r="AB467" i="9"/>
  <c r="AC467" i="9"/>
  <c r="AD467" i="9"/>
  <c r="AE467" i="9"/>
  <c r="AF467" i="9"/>
  <c r="AG467" i="9"/>
  <c r="AH467" i="9"/>
  <c r="B468" i="9"/>
  <c r="C468" i="9"/>
  <c r="D468" i="9"/>
  <c r="E468" i="9"/>
  <c r="F468" i="9"/>
  <c r="G468" i="9"/>
  <c r="H468" i="9"/>
  <c r="I468" i="9"/>
  <c r="K468" i="9"/>
  <c r="L468" i="9"/>
  <c r="M468" i="9"/>
  <c r="N468" i="9"/>
  <c r="O468" i="9"/>
  <c r="P468" i="9"/>
  <c r="Q468" i="9"/>
  <c r="R468" i="9"/>
  <c r="S468" i="9"/>
  <c r="T468" i="9"/>
  <c r="U468" i="9"/>
  <c r="V468" i="9"/>
  <c r="W468" i="9"/>
  <c r="X468" i="9"/>
  <c r="Y468" i="9"/>
  <c r="Z468" i="9"/>
  <c r="AA468" i="9"/>
  <c r="AB468" i="9"/>
  <c r="AC468" i="9"/>
  <c r="AD468" i="9"/>
  <c r="AE468" i="9"/>
  <c r="AF468" i="9"/>
  <c r="AG468" i="9"/>
  <c r="AH468" i="9"/>
  <c r="B469" i="9"/>
  <c r="C469" i="9"/>
  <c r="D469" i="9"/>
  <c r="E469" i="9"/>
  <c r="F469" i="9"/>
  <c r="G469" i="9"/>
  <c r="H469" i="9"/>
  <c r="I469" i="9"/>
  <c r="K469" i="9"/>
  <c r="L469" i="9"/>
  <c r="M469" i="9"/>
  <c r="N469" i="9"/>
  <c r="O469" i="9"/>
  <c r="P469" i="9"/>
  <c r="Q469" i="9"/>
  <c r="R469" i="9"/>
  <c r="S469" i="9"/>
  <c r="T469" i="9"/>
  <c r="U469" i="9"/>
  <c r="V469" i="9"/>
  <c r="W469" i="9"/>
  <c r="X469" i="9"/>
  <c r="Y469" i="9"/>
  <c r="Z469" i="9"/>
  <c r="AA469" i="9"/>
  <c r="AB469" i="9"/>
  <c r="AC469" i="9"/>
  <c r="AD469" i="9"/>
  <c r="AE469" i="9"/>
  <c r="AF469" i="9"/>
  <c r="AG469" i="9"/>
  <c r="AH469" i="9"/>
  <c r="B470" i="9"/>
  <c r="C470" i="9"/>
  <c r="D470" i="9"/>
  <c r="E470" i="9"/>
  <c r="F470" i="9"/>
  <c r="G470" i="9"/>
  <c r="H470" i="9"/>
  <c r="I470" i="9"/>
  <c r="K470" i="9"/>
  <c r="L470" i="9"/>
  <c r="M470" i="9"/>
  <c r="N470" i="9"/>
  <c r="O470" i="9"/>
  <c r="P470" i="9"/>
  <c r="Q470" i="9"/>
  <c r="R470" i="9"/>
  <c r="S470" i="9"/>
  <c r="T470" i="9"/>
  <c r="U470" i="9"/>
  <c r="V470" i="9"/>
  <c r="W470" i="9"/>
  <c r="X470" i="9"/>
  <c r="Y470" i="9"/>
  <c r="Z470" i="9"/>
  <c r="AA470" i="9"/>
  <c r="AB470" i="9"/>
  <c r="AC470" i="9"/>
  <c r="AD470" i="9"/>
  <c r="AE470" i="9"/>
  <c r="AF470" i="9"/>
  <c r="AG470" i="9"/>
  <c r="AH470" i="9"/>
  <c r="B471" i="9"/>
  <c r="C471" i="9"/>
  <c r="D471" i="9"/>
  <c r="E471" i="9"/>
  <c r="F471" i="9"/>
  <c r="G471" i="9"/>
  <c r="H471" i="9"/>
  <c r="I471" i="9"/>
  <c r="K471" i="9"/>
  <c r="L471" i="9"/>
  <c r="M471" i="9"/>
  <c r="N471" i="9"/>
  <c r="O471" i="9"/>
  <c r="P471" i="9"/>
  <c r="Q471" i="9"/>
  <c r="R471" i="9"/>
  <c r="S471" i="9"/>
  <c r="T471" i="9"/>
  <c r="U471" i="9"/>
  <c r="V471" i="9"/>
  <c r="W471" i="9"/>
  <c r="X471" i="9"/>
  <c r="Y471" i="9"/>
  <c r="Z471" i="9"/>
  <c r="AA471" i="9"/>
  <c r="AB471" i="9"/>
  <c r="AC471" i="9"/>
  <c r="AD471" i="9"/>
  <c r="AE471" i="9"/>
  <c r="AF471" i="9"/>
  <c r="AG471" i="9"/>
  <c r="AH471" i="9"/>
  <c r="B472" i="9"/>
  <c r="C472" i="9"/>
  <c r="D472" i="9"/>
  <c r="E472" i="9"/>
  <c r="F472" i="9"/>
  <c r="G472" i="9"/>
  <c r="H472" i="9"/>
  <c r="I472" i="9"/>
  <c r="K472" i="9"/>
  <c r="L472" i="9"/>
  <c r="M472" i="9"/>
  <c r="N472" i="9"/>
  <c r="O472" i="9"/>
  <c r="P472" i="9"/>
  <c r="Q472" i="9"/>
  <c r="R472" i="9"/>
  <c r="S472" i="9"/>
  <c r="T472" i="9"/>
  <c r="U472" i="9"/>
  <c r="V472" i="9"/>
  <c r="W472" i="9"/>
  <c r="X472" i="9"/>
  <c r="Y472" i="9"/>
  <c r="Z472" i="9"/>
  <c r="AA472" i="9"/>
  <c r="AB472" i="9"/>
  <c r="AC472" i="9"/>
  <c r="AD472" i="9"/>
  <c r="AE472" i="9"/>
  <c r="AF472" i="9"/>
  <c r="AG472" i="9"/>
  <c r="AH472" i="9"/>
  <c r="B473" i="9"/>
  <c r="C473" i="9"/>
  <c r="D473" i="9"/>
  <c r="E473" i="9"/>
  <c r="F473" i="9"/>
  <c r="G473" i="9"/>
  <c r="H473" i="9"/>
  <c r="I473" i="9"/>
  <c r="K473" i="9"/>
  <c r="L473" i="9"/>
  <c r="M473" i="9"/>
  <c r="N473" i="9"/>
  <c r="O473" i="9"/>
  <c r="P473" i="9"/>
  <c r="Q473" i="9"/>
  <c r="R473" i="9"/>
  <c r="S473" i="9"/>
  <c r="T473" i="9"/>
  <c r="U473" i="9"/>
  <c r="V473" i="9"/>
  <c r="W473" i="9"/>
  <c r="X473" i="9"/>
  <c r="Y473" i="9"/>
  <c r="Z473" i="9"/>
  <c r="AA473" i="9"/>
  <c r="AB473" i="9"/>
  <c r="AC473" i="9"/>
  <c r="AD473" i="9"/>
  <c r="AE473" i="9"/>
  <c r="AF473" i="9"/>
  <c r="AG473" i="9"/>
  <c r="AH473" i="9"/>
  <c r="B474" i="9"/>
  <c r="C474" i="9"/>
  <c r="D474" i="9"/>
  <c r="E474" i="9"/>
  <c r="F474" i="9"/>
  <c r="G474" i="9"/>
  <c r="H474" i="9"/>
  <c r="I474" i="9"/>
  <c r="K474" i="9"/>
  <c r="L474" i="9"/>
  <c r="M474" i="9"/>
  <c r="N474" i="9"/>
  <c r="O474" i="9"/>
  <c r="P474" i="9"/>
  <c r="Q474" i="9"/>
  <c r="R474" i="9"/>
  <c r="S474" i="9"/>
  <c r="T474" i="9"/>
  <c r="U474" i="9"/>
  <c r="V474" i="9"/>
  <c r="W474" i="9"/>
  <c r="X474" i="9"/>
  <c r="Y474" i="9"/>
  <c r="Z474" i="9"/>
  <c r="AA474" i="9"/>
  <c r="AB474" i="9"/>
  <c r="AC474" i="9"/>
  <c r="AD474" i="9"/>
  <c r="AE474" i="9"/>
  <c r="AF474" i="9"/>
  <c r="AG474" i="9"/>
  <c r="AH474" i="9"/>
  <c r="B475" i="9"/>
  <c r="C475" i="9"/>
  <c r="D475" i="9"/>
  <c r="E475" i="9"/>
  <c r="F475" i="9"/>
  <c r="G475" i="9"/>
  <c r="H475" i="9"/>
  <c r="I475" i="9"/>
  <c r="K475" i="9"/>
  <c r="L475" i="9"/>
  <c r="M475" i="9"/>
  <c r="N475" i="9"/>
  <c r="O475" i="9"/>
  <c r="P475" i="9"/>
  <c r="Q475" i="9"/>
  <c r="R475" i="9"/>
  <c r="S475" i="9"/>
  <c r="T475" i="9"/>
  <c r="U475" i="9"/>
  <c r="V475" i="9"/>
  <c r="W475" i="9"/>
  <c r="X475" i="9"/>
  <c r="Y475" i="9"/>
  <c r="Z475" i="9"/>
  <c r="AA475" i="9"/>
  <c r="AB475" i="9"/>
  <c r="AC475" i="9"/>
  <c r="AD475" i="9"/>
  <c r="AE475" i="9"/>
  <c r="AF475" i="9"/>
  <c r="AG475" i="9"/>
  <c r="AH475" i="9"/>
  <c r="B476" i="9"/>
  <c r="C476" i="9"/>
  <c r="D476" i="9"/>
  <c r="E476" i="9"/>
  <c r="F476" i="9"/>
  <c r="G476" i="9"/>
  <c r="H476" i="9"/>
  <c r="I476" i="9"/>
  <c r="K476" i="9"/>
  <c r="L476" i="9"/>
  <c r="M476" i="9"/>
  <c r="N476" i="9"/>
  <c r="O476" i="9"/>
  <c r="P476" i="9"/>
  <c r="Q476" i="9"/>
  <c r="R476" i="9"/>
  <c r="S476" i="9"/>
  <c r="T476" i="9"/>
  <c r="U476" i="9"/>
  <c r="V476" i="9"/>
  <c r="W476" i="9"/>
  <c r="X476" i="9"/>
  <c r="Y476" i="9"/>
  <c r="Z476" i="9"/>
  <c r="AA476" i="9"/>
  <c r="AB476" i="9"/>
  <c r="AC476" i="9"/>
  <c r="AD476" i="9"/>
  <c r="AE476" i="9"/>
  <c r="AF476" i="9"/>
  <c r="AG476" i="9"/>
  <c r="AH476" i="9"/>
  <c r="B477" i="9"/>
  <c r="C477" i="9"/>
  <c r="D477" i="9"/>
  <c r="E477" i="9"/>
  <c r="F477" i="9"/>
  <c r="G477" i="9"/>
  <c r="H477" i="9"/>
  <c r="I477" i="9"/>
  <c r="K477" i="9"/>
  <c r="L477" i="9"/>
  <c r="M477" i="9"/>
  <c r="N477" i="9"/>
  <c r="O477" i="9"/>
  <c r="P477" i="9"/>
  <c r="Q477" i="9"/>
  <c r="R477" i="9"/>
  <c r="S477" i="9"/>
  <c r="T477" i="9"/>
  <c r="U477" i="9"/>
  <c r="V477" i="9"/>
  <c r="W477" i="9"/>
  <c r="X477" i="9"/>
  <c r="Y477" i="9"/>
  <c r="Z477" i="9"/>
  <c r="AA477" i="9"/>
  <c r="AB477" i="9"/>
  <c r="AC477" i="9"/>
  <c r="AD477" i="9"/>
  <c r="AE477" i="9"/>
  <c r="AF477" i="9"/>
  <c r="AG477" i="9"/>
  <c r="AH477" i="9"/>
  <c r="B478" i="9"/>
  <c r="C478" i="9"/>
  <c r="D478" i="9"/>
  <c r="E478" i="9"/>
  <c r="F478" i="9"/>
  <c r="G478" i="9"/>
  <c r="H478" i="9"/>
  <c r="I478" i="9"/>
  <c r="K478" i="9"/>
  <c r="L478" i="9"/>
  <c r="M478" i="9"/>
  <c r="N478" i="9"/>
  <c r="O478" i="9"/>
  <c r="P478" i="9"/>
  <c r="Q478" i="9"/>
  <c r="R478" i="9"/>
  <c r="S478" i="9"/>
  <c r="T478" i="9"/>
  <c r="U478" i="9"/>
  <c r="V478" i="9"/>
  <c r="W478" i="9"/>
  <c r="X478" i="9"/>
  <c r="Y478" i="9"/>
  <c r="Z478" i="9"/>
  <c r="AA478" i="9"/>
  <c r="AB478" i="9"/>
  <c r="AC478" i="9"/>
  <c r="AD478" i="9"/>
  <c r="AE478" i="9"/>
  <c r="AF478" i="9"/>
  <c r="AG478" i="9"/>
  <c r="AH478" i="9"/>
  <c r="B479" i="9"/>
  <c r="C479" i="9"/>
  <c r="D479" i="9"/>
  <c r="E479" i="9"/>
  <c r="F479" i="9"/>
  <c r="G479" i="9"/>
  <c r="H479" i="9"/>
  <c r="I479" i="9"/>
  <c r="K479" i="9"/>
  <c r="L479" i="9"/>
  <c r="M479" i="9"/>
  <c r="N479" i="9"/>
  <c r="O479" i="9"/>
  <c r="P479" i="9"/>
  <c r="Q479" i="9"/>
  <c r="R479" i="9"/>
  <c r="S479" i="9"/>
  <c r="T479" i="9"/>
  <c r="U479" i="9"/>
  <c r="V479" i="9"/>
  <c r="W479" i="9"/>
  <c r="X479" i="9"/>
  <c r="Y479" i="9"/>
  <c r="Z479" i="9"/>
  <c r="AA479" i="9"/>
  <c r="AB479" i="9"/>
  <c r="AC479" i="9"/>
  <c r="AD479" i="9"/>
  <c r="AE479" i="9"/>
  <c r="AF479" i="9"/>
  <c r="AG479" i="9"/>
  <c r="AH479" i="9"/>
  <c r="B480" i="9"/>
  <c r="C480" i="9"/>
  <c r="D480" i="9"/>
  <c r="E480" i="9"/>
  <c r="F480" i="9"/>
  <c r="G480" i="9"/>
  <c r="H480" i="9"/>
  <c r="I480" i="9"/>
  <c r="K480" i="9"/>
  <c r="L480" i="9"/>
  <c r="M480" i="9"/>
  <c r="N480" i="9"/>
  <c r="O480" i="9"/>
  <c r="P480" i="9"/>
  <c r="Q480" i="9"/>
  <c r="R480" i="9"/>
  <c r="S480" i="9"/>
  <c r="T480" i="9"/>
  <c r="U480" i="9"/>
  <c r="V480" i="9"/>
  <c r="W480" i="9"/>
  <c r="X480" i="9"/>
  <c r="Y480" i="9"/>
  <c r="Z480" i="9"/>
  <c r="AA480" i="9"/>
  <c r="AB480" i="9"/>
  <c r="AC480" i="9"/>
  <c r="AD480" i="9"/>
  <c r="AE480" i="9"/>
  <c r="AF480" i="9"/>
  <c r="AG480" i="9"/>
  <c r="AH480" i="9"/>
  <c r="B481" i="9"/>
  <c r="C481" i="9"/>
  <c r="D481" i="9"/>
  <c r="E481" i="9"/>
  <c r="F481" i="9"/>
  <c r="G481" i="9"/>
  <c r="H481" i="9"/>
  <c r="I481" i="9"/>
  <c r="K481" i="9"/>
  <c r="L481" i="9"/>
  <c r="M481" i="9"/>
  <c r="N481" i="9"/>
  <c r="O481" i="9"/>
  <c r="P481" i="9"/>
  <c r="Q481" i="9"/>
  <c r="R481" i="9"/>
  <c r="S481" i="9"/>
  <c r="T481" i="9"/>
  <c r="U481" i="9"/>
  <c r="V481" i="9"/>
  <c r="W481" i="9"/>
  <c r="X481" i="9"/>
  <c r="Y481" i="9"/>
  <c r="Z481" i="9"/>
  <c r="AA481" i="9"/>
  <c r="AB481" i="9"/>
  <c r="AC481" i="9"/>
  <c r="AD481" i="9"/>
  <c r="AE481" i="9"/>
  <c r="AF481" i="9"/>
  <c r="AG481" i="9"/>
  <c r="AH481" i="9"/>
  <c r="B482" i="9"/>
  <c r="C482" i="9"/>
  <c r="D482" i="9"/>
  <c r="E482" i="9"/>
  <c r="F482" i="9"/>
  <c r="G482" i="9"/>
  <c r="H482" i="9"/>
  <c r="I482" i="9"/>
  <c r="K482" i="9"/>
  <c r="L482" i="9"/>
  <c r="M482" i="9"/>
  <c r="N482" i="9"/>
  <c r="O482" i="9"/>
  <c r="P482" i="9"/>
  <c r="Q482" i="9"/>
  <c r="R482" i="9"/>
  <c r="S482" i="9"/>
  <c r="T482" i="9"/>
  <c r="U482" i="9"/>
  <c r="V482" i="9"/>
  <c r="W482" i="9"/>
  <c r="X482" i="9"/>
  <c r="Y482" i="9"/>
  <c r="Z482" i="9"/>
  <c r="AA482" i="9"/>
  <c r="AB482" i="9"/>
  <c r="AC482" i="9"/>
  <c r="AD482" i="9"/>
  <c r="AE482" i="9"/>
  <c r="AF482" i="9"/>
  <c r="AG482" i="9"/>
  <c r="AH482" i="9"/>
  <c r="B483" i="9"/>
  <c r="C483" i="9"/>
  <c r="D483" i="9"/>
  <c r="E483" i="9"/>
  <c r="F483" i="9"/>
  <c r="G483" i="9"/>
  <c r="H483" i="9"/>
  <c r="I483" i="9"/>
  <c r="K483" i="9"/>
  <c r="L483" i="9"/>
  <c r="M483" i="9"/>
  <c r="N483" i="9"/>
  <c r="O483" i="9"/>
  <c r="P483" i="9"/>
  <c r="Q483" i="9"/>
  <c r="R483" i="9"/>
  <c r="S483" i="9"/>
  <c r="T483" i="9"/>
  <c r="U483" i="9"/>
  <c r="V483" i="9"/>
  <c r="W483" i="9"/>
  <c r="X483" i="9"/>
  <c r="Y483" i="9"/>
  <c r="Z483" i="9"/>
  <c r="AA483" i="9"/>
  <c r="AB483" i="9"/>
  <c r="AC483" i="9"/>
  <c r="AD483" i="9"/>
  <c r="AE483" i="9"/>
  <c r="AF483" i="9"/>
  <c r="AG483" i="9"/>
  <c r="AH483" i="9"/>
  <c r="B484" i="9"/>
  <c r="C484" i="9"/>
  <c r="D484" i="9"/>
  <c r="E484" i="9"/>
  <c r="F484" i="9"/>
  <c r="G484" i="9"/>
  <c r="H484" i="9"/>
  <c r="I484" i="9"/>
  <c r="K484" i="9"/>
  <c r="L484" i="9"/>
  <c r="M484" i="9"/>
  <c r="N484" i="9"/>
  <c r="O484" i="9"/>
  <c r="P484" i="9"/>
  <c r="Q484" i="9"/>
  <c r="R484" i="9"/>
  <c r="S484" i="9"/>
  <c r="T484" i="9"/>
  <c r="U484" i="9"/>
  <c r="V484" i="9"/>
  <c r="W484" i="9"/>
  <c r="X484" i="9"/>
  <c r="Y484" i="9"/>
  <c r="Z484" i="9"/>
  <c r="AA484" i="9"/>
  <c r="AB484" i="9"/>
  <c r="AC484" i="9"/>
  <c r="AD484" i="9"/>
  <c r="AE484" i="9"/>
  <c r="AF484" i="9"/>
  <c r="AG484" i="9"/>
  <c r="AH484" i="9"/>
  <c r="B485" i="9"/>
  <c r="C485" i="9"/>
  <c r="D485" i="9"/>
  <c r="E485" i="9"/>
  <c r="F485" i="9"/>
  <c r="G485" i="9"/>
  <c r="H485" i="9"/>
  <c r="I485" i="9"/>
  <c r="K485" i="9"/>
  <c r="L485" i="9"/>
  <c r="M485" i="9"/>
  <c r="N485" i="9"/>
  <c r="O485" i="9"/>
  <c r="P485" i="9"/>
  <c r="Q485" i="9"/>
  <c r="R485" i="9"/>
  <c r="S485" i="9"/>
  <c r="T485" i="9"/>
  <c r="U485" i="9"/>
  <c r="V485" i="9"/>
  <c r="W485" i="9"/>
  <c r="X485" i="9"/>
  <c r="Y485" i="9"/>
  <c r="Z485" i="9"/>
  <c r="AA485" i="9"/>
  <c r="AB485" i="9"/>
  <c r="AC485" i="9"/>
  <c r="AD485" i="9"/>
  <c r="AE485" i="9"/>
  <c r="AF485" i="9"/>
  <c r="AG485" i="9"/>
  <c r="AH485" i="9"/>
  <c r="B486" i="9"/>
  <c r="C486" i="9"/>
  <c r="D486" i="9"/>
  <c r="E486" i="9"/>
  <c r="F486" i="9"/>
  <c r="G486" i="9"/>
  <c r="H486" i="9"/>
  <c r="I486" i="9"/>
  <c r="K486" i="9"/>
  <c r="L486" i="9"/>
  <c r="M486" i="9"/>
  <c r="N486" i="9"/>
  <c r="O486" i="9"/>
  <c r="P486" i="9"/>
  <c r="Q486" i="9"/>
  <c r="R486" i="9"/>
  <c r="S486" i="9"/>
  <c r="T486" i="9"/>
  <c r="U486" i="9"/>
  <c r="V486" i="9"/>
  <c r="W486" i="9"/>
  <c r="X486" i="9"/>
  <c r="Y486" i="9"/>
  <c r="Z486" i="9"/>
  <c r="AA486" i="9"/>
  <c r="AB486" i="9"/>
  <c r="AC486" i="9"/>
  <c r="AD486" i="9"/>
  <c r="AE486" i="9"/>
  <c r="AF486" i="9"/>
  <c r="AG486" i="9"/>
  <c r="AH486" i="9"/>
  <c r="B487" i="9"/>
  <c r="C487" i="9"/>
  <c r="D487" i="9"/>
  <c r="E487" i="9"/>
  <c r="F487" i="9"/>
  <c r="G487" i="9"/>
  <c r="H487" i="9"/>
  <c r="I487" i="9"/>
  <c r="K487" i="9"/>
  <c r="L487" i="9"/>
  <c r="M487" i="9"/>
  <c r="N487" i="9"/>
  <c r="O487" i="9"/>
  <c r="P487" i="9"/>
  <c r="Q487" i="9"/>
  <c r="R487" i="9"/>
  <c r="S487" i="9"/>
  <c r="T487" i="9"/>
  <c r="U487" i="9"/>
  <c r="V487" i="9"/>
  <c r="W487" i="9"/>
  <c r="X487" i="9"/>
  <c r="Y487" i="9"/>
  <c r="Z487" i="9"/>
  <c r="AA487" i="9"/>
  <c r="AB487" i="9"/>
  <c r="AC487" i="9"/>
  <c r="AD487" i="9"/>
  <c r="AE487" i="9"/>
  <c r="AF487" i="9"/>
  <c r="AG487" i="9"/>
  <c r="AH487" i="9"/>
  <c r="B488" i="9"/>
  <c r="C488" i="9"/>
  <c r="D488" i="9"/>
  <c r="E488" i="9"/>
  <c r="F488" i="9"/>
  <c r="G488" i="9"/>
  <c r="H488" i="9"/>
  <c r="I488" i="9"/>
  <c r="K488" i="9"/>
  <c r="L488" i="9"/>
  <c r="M488" i="9"/>
  <c r="N488" i="9"/>
  <c r="O488" i="9"/>
  <c r="P488" i="9"/>
  <c r="Q488" i="9"/>
  <c r="R488" i="9"/>
  <c r="S488" i="9"/>
  <c r="T488" i="9"/>
  <c r="U488" i="9"/>
  <c r="V488" i="9"/>
  <c r="W488" i="9"/>
  <c r="X488" i="9"/>
  <c r="Y488" i="9"/>
  <c r="Z488" i="9"/>
  <c r="AA488" i="9"/>
  <c r="AB488" i="9"/>
  <c r="AC488" i="9"/>
  <c r="AD488" i="9"/>
  <c r="AE488" i="9"/>
  <c r="AF488" i="9"/>
  <c r="AG488" i="9"/>
  <c r="AH488" i="9"/>
  <c r="B489" i="9"/>
  <c r="C489" i="9"/>
  <c r="D489" i="9"/>
  <c r="E489" i="9"/>
  <c r="F489" i="9"/>
  <c r="G489" i="9"/>
  <c r="H489" i="9"/>
  <c r="I489" i="9"/>
  <c r="K489" i="9"/>
  <c r="L489" i="9"/>
  <c r="M489" i="9"/>
  <c r="N489" i="9"/>
  <c r="O489" i="9"/>
  <c r="P489" i="9"/>
  <c r="Q489" i="9"/>
  <c r="R489" i="9"/>
  <c r="S489" i="9"/>
  <c r="T489" i="9"/>
  <c r="U489" i="9"/>
  <c r="V489" i="9"/>
  <c r="W489" i="9"/>
  <c r="X489" i="9"/>
  <c r="Y489" i="9"/>
  <c r="Z489" i="9"/>
  <c r="AA489" i="9"/>
  <c r="AB489" i="9"/>
  <c r="AC489" i="9"/>
  <c r="AD489" i="9"/>
  <c r="AE489" i="9"/>
  <c r="AF489" i="9"/>
  <c r="AG489" i="9"/>
  <c r="AH489" i="9"/>
  <c r="B490" i="9"/>
  <c r="C490" i="9"/>
  <c r="D490" i="9"/>
  <c r="E490" i="9"/>
  <c r="F490" i="9"/>
  <c r="G490" i="9"/>
  <c r="H490" i="9"/>
  <c r="I490" i="9"/>
  <c r="K490" i="9"/>
  <c r="L490" i="9"/>
  <c r="M490" i="9"/>
  <c r="N490" i="9"/>
  <c r="O490" i="9"/>
  <c r="P490" i="9"/>
  <c r="Q490" i="9"/>
  <c r="R490" i="9"/>
  <c r="S490" i="9"/>
  <c r="T490" i="9"/>
  <c r="U490" i="9"/>
  <c r="V490" i="9"/>
  <c r="W490" i="9"/>
  <c r="X490" i="9"/>
  <c r="Y490" i="9"/>
  <c r="Z490" i="9"/>
  <c r="AA490" i="9"/>
  <c r="AB490" i="9"/>
  <c r="AC490" i="9"/>
  <c r="AD490" i="9"/>
  <c r="AE490" i="9"/>
  <c r="AF490" i="9"/>
  <c r="AG490" i="9"/>
  <c r="AH490" i="9"/>
  <c r="B491" i="9"/>
  <c r="C491" i="9"/>
  <c r="D491" i="9"/>
  <c r="E491" i="9"/>
  <c r="F491" i="9"/>
  <c r="G491" i="9"/>
  <c r="H491" i="9"/>
  <c r="I491" i="9"/>
  <c r="K491" i="9"/>
  <c r="L491" i="9"/>
  <c r="M491" i="9"/>
  <c r="N491" i="9"/>
  <c r="O491" i="9"/>
  <c r="P491" i="9"/>
  <c r="Q491" i="9"/>
  <c r="R491" i="9"/>
  <c r="S491" i="9"/>
  <c r="T491" i="9"/>
  <c r="U491" i="9"/>
  <c r="V491" i="9"/>
  <c r="W491" i="9"/>
  <c r="X491" i="9"/>
  <c r="Y491" i="9"/>
  <c r="Z491" i="9"/>
  <c r="AA491" i="9"/>
  <c r="AB491" i="9"/>
  <c r="AC491" i="9"/>
  <c r="AD491" i="9"/>
  <c r="AE491" i="9"/>
  <c r="AF491" i="9"/>
  <c r="AG491" i="9"/>
  <c r="AH491" i="9"/>
  <c r="B492" i="9"/>
  <c r="C492" i="9"/>
  <c r="D492" i="9"/>
  <c r="E492" i="9"/>
  <c r="F492" i="9"/>
  <c r="G492" i="9"/>
  <c r="H492" i="9"/>
  <c r="I492" i="9"/>
  <c r="K492" i="9"/>
  <c r="L492" i="9"/>
  <c r="M492" i="9"/>
  <c r="N492" i="9"/>
  <c r="O492" i="9"/>
  <c r="P492" i="9"/>
  <c r="Q492" i="9"/>
  <c r="R492" i="9"/>
  <c r="S492" i="9"/>
  <c r="T492" i="9"/>
  <c r="U492" i="9"/>
  <c r="V492" i="9"/>
  <c r="W492" i="9"/>
  <c r="X492" i="9"/>
  <c r="Y492" i="9"/>
  <c r="Z492" i="9"/>
  <c r="AA492" i="9"/>
  <c r="AB492" i="9"/>
  <c r="AC492" i="9"/>
  <c r="AD492" i="9"/>
  <c r="AE492" i="9"/>
  <c r="AF492" i="9"/>
  <c r="AG492" i="9"/>
  <c r="AH492" i="9"/>
  <c r="B493" i="9"/>
  <c r="C493" i="9"/>
  <c r="D493" i="9"/>
  <c r="E493" i="9"/>
  <c r="F493" i="9"/>
  <c r="G493" i="9"/>
  <c r="H493" i="9"/>
  <c r="I493" i="9"/>
  <c r="K493" i="9"/>
  <c r="L493" i="9"/>
  <c r="M493" i="9"/>
  <c r="N493" i="9"/>
  <c r="O493" i="9"/>
  <c r="P493" i="9"/>
  <c r="Q493" i="9"/>
  <c r="R493" i="9"/>
  <c r="S493" i="9"/>
  <c r="T493" i="9"/>
  <c r="U493" i="9"/>
  <c r="V493" i="9"/>
  <c r="W493" i="9"/>
  <c r="X493" i="9"/>
  <c r="Y493" i="9"/>
  <c r="Z493" i="9"/>
  <c r="AA493" i="9"/>
  <c r="AB493" i="9"/>
  <c r="AC493" i="9"/>
  <c r="AD493" i="9"/>
  <c r="AE493" i="9"/>
  <c r="AF493" i="9"/>
  <c r="AG493" i="9"/>
  <c r="AH493" i="9"/>
  <c r="B494" i="9"/>
  <c r="C494" i="9"/>
  <c r="D494" i="9"/>
  <c r="E494" i="9"/>
  <c r="F494" i="9"/>
  <c r="G494" i="9"/>
  <c r="H494" i="9"/>
  <c r="I494" i="9"/>
  <c r="K494" i="9"/>
  <c r="L494" i="9"/>
  <c r="M494" i="9"/>
  <c r="N494" i="9"/>
  <c r="O494" i="9"/>
  <c r="P494" i="9"/>
  <c r="Q494" i="9"/>
  <c r="R494" i="9"/>
  <c r="S494" i="9"/>
  <c r="T494" i="9"/>
  <c r="U494" i="9"/>
  <c r="V494" i="9"/>
  <c r="W494" i="9"/>
  <c r="X494" i="9"/>
  <c r="Y494" i="9"/>
  <c r="Z494" i="9"/>
  <c r="AA494" i="9"/>
  <c r="AB494" i="9"/>
  <c r="AC494" i="9"/>
  <c r="AD494" i="9"/>
  <c r="AE494" i="9"/>
  <c r="AF494" i="9"/>
  <c r="AG494" i="9"/>
  <c r="AH494" i="9"/>
  <c r="B495" i="9"/>
  <c r="C495" i="9"/>
  <c r="D495" i="9"/>
  <c r="E495" i="9"/>
  <c r="F495" i="9"/>
  <c r="G495" i="9"/>
  <c r="H495" i="9"/>
  <c r="I495" i="9"/>
  <c r="K495" i="9"/>
  <c r="L495" i="9"/>
  <c r="M495" i="9"/>
  <c r="N495" i="9"/>
  <c r="O495" i="9"/>
  <c r="P495" i="9"/>
  <c r="Q495" i="9"/>
  <c r="R495" i="9"/>
  <c r="S495" i="9"/>
  <c r="T495" i="9"/>
  <c r="U495" i="9"/>
  <c r="V495" i="9"/>
  <c r="W495" i="9"/>
  <c r="X495" i="9"/>
  <c r="Y495" i="9"/>
  <c r="Z495" i="9"/>
  <c r="AA495" i="9"/>
  <c r="AB495" i="9"/>
  <c r="AC495" i="9"/>
  <c r="AD495" i="9"/>
  <c r="AE495" i="9"/>
  <c r="AF495" i="9"/>
  <c r="AG495" i="9"/>
  <c r="AH495" i="9"/>
  <c r="B496" i="9"/>
  <c r="C496" i="9"/>
  <c r="D496" i="9"/>
  <c r="E496" i="9"/>
  <c r="F496" i="9"/>
  <c r="G496" i="9"/>
  <c r="H496" i="9"/>
  <c r="I496" i="9"/>
  <c r="K496" i="9"/>
  <c r="L496" i="9"/>
  <c r="M496" i="9"/>
  <c r="N496" i="9"/>
  <c r="O496" i="9"/>
  <c r="P496" i="9"/>
  <c r="Q496" i="9"/>
  <c r="R496" i="9"/>
  <c r="S496" i="9"/>
  <c r="T496" i="9"/>
  <c r="U496" i="9"/>
  <c r="V496" i="9"/>
  <c r="W496" i="9"/>
  <c r="X496" i="9"/>
  <c r="Y496" i="9"/>
  <c r="Z496" i="9"/>
  <c r="AA496" i="9"/>
  <c r="AB496" i="9"/>
  <c r="AC496" i="9"/>
  <c r="AD496" i="9"/>
  <c r="AE496" i="9"/>
  <c r="AF496" i="9"/>
  <c r="AG496" i="9"/>
  <c r="AH496" i="9"/>
  <c r="B497" i="9"/>
  <c r="C497" i="9"/>
  <c r="D497" i="9"/>
  <c r="E497" i="9"/>
  <c r="F497" i="9"/>
  <c r="G497" i="9"/>
  <c r="H497" i="9"/>
  <c r="I497" i="9"/>
  <c r="K497" i="9"/>
  <c r="L497" i="9"/>
  <c r="M497" i="9"/>
  <c r="N497" i="9"/>
  <c r="O497" i="9"/>
  <c r="P497" i="9"/>
  <c r="Q497" i="9"/>
  <c r="R497" i="9"/>
  <c r="S497" i="9"/>
  <c r="T497" i="9"/>
  <c r="U497" i="9"/>
  <c r="V497" i="9"/>
  <c r="W497" i="9"/>
  <c r="X497" i="9"/>
  <c r="Y497" i="9"/>
  <c r="Z497" i="9"/>
  <c r="AA497" i="9"/>
  <c r="AB497" i="9"/>
  <c r="AC497" i="9"/>
  <c r="AD497" i="9"/>
  <c r="AE497" i="9"/>
  <c r="AF497" i="9"/>
  <c r="AG497" i="9"/>
  <c r="AH497" i="9"/>
  <c r="B498" i="9"/>
  <c r="C498" i="9"/>
  <c r="D498" i="9"/>
  <c r="E498" i="9"/>
  <c r="F498" i="9"/>
  <c r="G498" i="9"/>
  <c r="H498" i="9"/>
  <c r="I498" i="9"/>
  <c r="K498" i="9"/>
  <c r="L498" i="9"/>
  <c r="M498" i="9"/>
  <c r="N498" i="9"/>
  <c r="O498" i="9"/>
  <c r="P498" i="9"/>
  <c r="Q498" i="9"/>
  <c r="R498" i="9"/>
  <c r="S498" i="9"/>
  <c r="T498" i="9"/>
  <c r="U498" i="9"/>
  <c r="V498" i="9"/>
  <c r="W498" i="9"/>
  <c r="X498" i="9"/>
  <c r="Y498" i="9"/>
  <c r="Z498" i="9"/>
  <c r="AA498" i="9"/>
  <c r="AB498" i="9"/>
  <c r="AC498" i="9"/>
  <c r="AD498" i="9"/>
  <c r="AE498" i="9"/>
  <c r="AF498" i="9"/>
  <c r="AG498" i="9"/>
  <c r="AH498" i="9"/>
  <c r="B499" i="9"/>
  <c r="C499" i="9"/>
  <c r="D499" i="9"/>
  <c r="E499" i="9"/>
  <c r="F499" i="9"/>
  <c r="G499" i="9"/>
  <c r="H499" i="9"/>
  <c r="I499" i="9"/>
  <c r="K499" i="9"/>
  <c r="L499" i="9"/>
  <c r="M499" i="9"/>
  <c r="N499" i="9"/>
  <c r="O499" i="9"/>
  <c r="P499" i="9"/>
  <c r="Q499" i="9"/>
  <c r="R499" i="9"/>
  <c r="S499" i="9"/>
  <c r="T499" i="9"/>
  <c r="U499" i="9"/>
  <c r="V499" i="9"/>
  <c r="W499" i="9"/>
  <c r="X499" i="9"/>
  <c r="Y499" i="9"/>
  <c r="Z499" i="9"/>
  <c r="AA499" i="9"/>
  <c r="AB499" i="9"/>
  <c r="AC499" i="9"/>
  <c r="AD499" i="9"/>
  <c r="AE499" i="9"/>
  <c r="AF499" i="9"/>
  <c r="AG499" i="9"/>
  <c r="AH499" i="9"/>
  <c r="B500" i="9"/>
  <c r="C500" i="9"/>
  <c r="D500" i="9"/>
  <c r="E500" i="9"/>
  <c r="F500" i="9"/>
  <c r="G500" i="9"/>
  <c r="H500" i="9"/>
  <c r="I500" i="9"/>
  <c r="K500" i="9"/>
  <c r="L500" i="9"/>
  <c r="M500" i="9"/>
  <c r="N500" i="9"/>
  <c r="O500" i="9"/>
  <c r="P500" i="9"/>
  <c r="Q500" i="9"/>
  <c r="R500" i="9"/>
  <c r="S500" i="9"/>
  <c r="T500" i="9"/>
  <c r="U500" i="9"/>
  <c r="V500" i="9"/>
  <c r="W500" i="9"/>
  <c r="X500" i="9"/>
  <c r="Y500" i="9"/>
  <c r="Z500" i="9"/>
  <c r="AA500" i="9"/>
  <c r="AB500" i="9"/>
  <c r="AC500" i="9"/>
  <c r="AD500" i="9"/>
  <c r="AE500" i="9"/>
  <c r="AF500" i="9"/>
  <c r="AG500" i="9"/>
  <c r="AH500" i="9"/>
  <c r="A46" i="9"/>
  <c r="A47" i="9"/>
  <c r="A48" i="9"/>
  <c r="A49" i="9"/>
  <c r="A50" i="9"/>
  <c r="A51" i="9"/>
  <c r="A52" i="9"/>
  <c r="A53" i="9"/>
  <c r="A54" i="9"/>
  <c r="A55" i="9"/>
  <c r="A56" i="9"/>
  <c r="A57" i="9"/>
  <c r="A58" i="9"/>
  <c r="A59" i="9"/>
  <c r="A60" i="9"/>
  <c r="A61" i="9"/>
  <c r="A62" i="9"/>
  <c r="A63" i="9"/>
  <c r="A64" i="9"/>
  <c r="A65" i="9"/>
  <c r="A66" i="9"/>
  <c r="A67" i="9"/>
  <c r="A68" i="9"/>
  <c r="A69" i="9"/>
  <c r="A70" i="9"/>
  <c r="A71" i="9"/>
  <c r="A72" i="9"/>
  <c r="A73" i="9"/>
  <c r="A74" i="9"/>
  <c r="A75" i="9"/>
  <c r="A76" i="9"/>
  <c r="A77" i="9"/>
  <c r="A78" i="9"/>
  <c r="A79" i="9"/>
  <c r="A80" i="9"/>
  <c r="A81" i="9"/>
  <c r="A82" i="9"/>
  <c r="A83" i="9"/>
  <c r="A84" i="9"/>
  <c r="A85" i="9"/>
  <c r="A86" i="9"/>
  <c r="A87" i="9"/>
  <c r="A88" i="9"/>
  <c r="A89" i="9"/>
  <c r="A90" i="9"/>
  <c r="A91" i="9"/>
  <c r="A92" i="9"/>
  <c r="A93" i="9"/>
  <c r="A94" i="9"/>
  <c r="A95" i="9"/>
  <c r="A96" i="9"/>
  <c r="A97" i="9"/>
  <c r="A98" i="9"/>
  <c r="A99" i="9"/>
  <c r="A100" i="9"/>
  <c r="A101" i="9"/>
  <c r="A102" i="9"/>
  <c r="A103" i="9"/>
  <c r="A104" i="9"/>
  <c r="A105" i="9"/>
  <c r="A106" i="9"/>
  <c r="A107" i="9"/>
  <c r="A108" i="9"/>
  <c r="A109" i="9"/>
  <c r="A110" i="9"/>
  <c r="A111" i="9"/>
  <c r="A112" i="9"/>
  <c r="A113" i="9"/>
  <c r="A114" i="9"/>
  <c r="A115" i="9"/>
  <c r="A116" i="9"/>
  <c r="A117" i="9"/>
  <c r="A118" i="9"/>
  <c r="A119" i="9"/>
  <c r="A120" i="9"/>
  <c r="A121" i="9"/>
  <c r="A122" i="9"/>
  <c r="A123" i="9"/>
  <c r="A124" i="9"/>
  <c r="A125" i="9"/>
  <c r="A126" i="9"/>
  <c r="A127" i="9"/>
  <c r="A128" i="9"/>
  <c r="A129" i="9"/>
  <c r="A130" i="9"/>
  <c r="A131" i="9"/>
  <c r="A132" i="9"/>
  <c r="A133" i="9"/>
  <c r="A134" i="9"/>
  <c r="A135" i="9"/>
  <c r="A136" i="9"/>
  <c r="A137" i="9"/>
  <c r="A138" i="9"/>
  <c r="A139" i="9"/>
  <c r="A140" i="9"/>
  <c r="A141" i="9"/>
  <c r="A142" i="9"/>
  <c r="A143" i="9"/>
  <c r="A144" i="9"/>
  <c r="A145" i="9"/>
  <c r="A146" i="9"/>
  <c r="A147" i="9"/>
  <c r="A148" i="9"/>
  <c r="A149" i="9"/>
  <c r="A150" i="9"/>
  <c r="A151" i="9"/>
  <c r="A152" i="9"/>
  <c r="A153" i="9"/>
  <c r="A154" i="9"/>
  <c r="A155" i="9"/>
  <c r="A156" i="9"/>
  <c r="A157" i="9"/>
  <c r="A158" i="9"/>
  <c r="A159" i="9"/>
  <c r="A160" i="9"/>
  <c r="A161" i="9"/>
  <c r="A162" i="9"/>
  <c r="A163" i="9"/>
  <c r="A164" i="9"/>
  <c r="A165" i="9"/>
  <c r="A166" i="9"/>
  <c r="A167" i="9"/>
  <c r="A168" i="9"/>
  <c r="A169" i="9"/>
  <c r="A170" i="9"/>
  <c r="A171" i="9"/>
  <c r="A172" i="9"/>
  <c r="A173" i="9"/>
  <c r="A174" i="9"/>
  <c r="A175" i="9"/>
  <c r="A176" i="9"/>
  <c r="A177" i="9"/>
  <c r="A178" i="9"/>
  <c r="A179" i="9"/>
  <c r="A180" i="9"/>
  <c r="A181" i="9"/>
  <c r="A182" i="9"/>
  <c r="A183" i="9"/>
  <c r="A184" i="9"/>
  <c r="A185" i="9"/>
  <c r="A186" i="9"/>
  <c r="A187" i="9"/>
  <c r="A188" i="9"/>
  <c r="A189" i="9"/>
  <c r="A190" i="9"/>
  <c r="A191" i="9"/>
  <c r="A192" i="9"/>
  <c r="A193" i="9"/>
  <c r="A194" i="9"/>
  <c r="A195" i="9"/>
  <c r="A196" i="9"/>
  <c r="A197" i="9"/>
  <c r="A198" i="9"/>
  <c r="A199" i="9"/>
  <c r="A200" i="9"/>
  <c r="A201" i="9"/>
  <c r="A202" i="9"/>
  <c r="A203" i="9"/>
  <c r="A204" i="9"/>
  <c r="A205" i="9"/>
  <c r="A206" i="9"/>
  <c r="A207" i="9"/>
  <c r="A208" i="9"/>
  <c r="A209" i="9"/>
  <c r="A210" i="9"/>
  <c r="A211" i="9"/>
  <c r="A212" i="9"/>
  <c r="A213" i="9"/>
  <c r="A214" i="9"/>
  <c r="A215" i="9"/>
  <c r="A216" i="9"/>
  <c r="A217" i="9"/>
  <c r="A218" i="9"/>
  <c r="A219" i="9"/>
  <c r="A220" i="9"/>
  <c r="A221" i="9"/>
  <c r="A222" i="9"/>
  <c r="A223" i="9"/>
  <c r="A224" i="9"/>
  <c r="A225" i="9"/>
  <c r="A226" i="9"/>
  <c r="A227" i="9"/>
  <c r="A228" i="9"/>
  <c r="A229" i="9"/>
  <c r="A230" i="9"/>
  <c r="A231" i="9"/>
  <c r="A232" i="9"/>
  <c r="A233" i="9"/>
  <c r="A234" i="9"/>
  <c r="A235" i="9"/>
  <c r="A236" i="9"/>
  <c r="A237" i="9"/>
  <c r="A238" i="9"/>
  <c r="A239" i="9"/>
  <c r="A240" i="9"/>
  <c r="A241" i="9"/>
  <c r="A242" i="9"/>
  <c r="A243" i="9"/>
  <c r="A244" i="9"/>
  <c r="A245" i="9"/>
  <c r="A246" i="9"/>
  <c r="A247" i="9"/>
  <c r="A248" i="9"/>
  <c r="A249" i="9"/>
  <c r="A250" i="9"/>
  <c r="A251" i="9"/>
  <c r="A252" i="9"/>
  <c r="A253" i="9"/>
  <c r="A254" i="9"/>
  <c r="A255" i="9"/>
  <c r="A256" i="9"/>
  <c r="A257" i="9"/>
  <c r="A258" i="9"/>
  <c r="A259" i="9"/>
  <c r="A260" i="9"/>
  <c r="A261" i="9"/>
  <c r="A262" i="9"/>
  <c r="A263" i="9"/>
  <c r="A264" i="9"/>
  <c r="A265" i="9"/>
  <c r="A266" i="9"/>
  <c r="A267" i="9"/>
  <c r="A268" i="9"/>
  <c r="A269" i="9"/>
  <c r="A270" i="9"/>
  <c r="A271" i="9"/>
  <c r="A272" i="9"/>
  <c r="A273" i="9"/>
  <c r="A274" i="9"/>
  <c r="A275" i="9"/>
  <c r="A276" i="9"/>
  <c r="A277" i="9"/>
  <c r="A278" i="9"/>
  <c r="A279" i="9"/>
  <c r="A280" i="9"/>
  <c r="A281" i="9"/>
  <c r="A282" i="9"/>
  <c r="A283" i="9"/>
  <c r="A284" i="9"/>
  <c r="A285" i="9"/>
  <c r="A286" i="9"/>
  <c r="A287" i="9"/>
  <c r="A288" i="9"/>
  <c r="A289" i="9"/>
  <c r="A290" i="9"/>
  <c r="A291" i="9"/>
  <c r="A292" i="9"/>
  <c r="A293" i="9"/>
  <c r="A294" i="9"/>
  <c r="A295" i="9"/>
  <c r="A296" i="9"/>
  <c r="A297" i="9"/>
  <c r="A298" i="9"/>
  <c r="A299" i="9"/>
  <c r="A300" i="9"/>
  <c r="A301" i="9"/>
  <c r="A302" i="9"/>
  <c r="A303" i="9"/>
  <c r="A304" i="9"/>
  <c r="A305" i="9"/>
  <c r="A306" i="9"/>
  <c r="A307" i="9"/>
  <c r="A308" i="9"/>
  <c r="A309" i="9"/>
  <c r="A310" i="9"/>
  <c r="A311" i="9"/>
  <c r="A312" i="9"/>
  <c r="A313" i="9"/>
  <c r="A314" i="9"/>
  <c r="A315" i="9"/>
  <c r="A316" i="9"/>
  <c r="A317" i="9"/>
  <c r="A318" i="9"/>
  <c r="A319" i="9"/>
  <c r="A320" i="9"/>
  <c r="A321" i="9"/>
  <c r="A322" i="9"/>
  <c r="A323" i="9"/>
  <c r="A324" i="9"/>
  <c r="A325" i="9"/>
  <c r="A326" i="9"/>
  <c r="A327" i="9"/>
  <c r="A328" i="9"/>
  <c r="A329" i="9"/>
  <c r="A330" i="9"/>
  <c r="A331" i="9"/>
  <c r="A332" i="9"/>
  <c r="A333" i="9"/>
  <c r="A334" i="9"/>
  <c r="A335" i="9"/>
  <c r="A336" i="9"/>
  <c r="A337" i="9"/>
  <c r="A338" i="9"/>
  <c r="A339" i="9"/>
  <c r="A340" i="9"/>
  <c r="A341" i="9"/>
  <c r="A342" i="9"/>
  <c r="A343" i="9"/>
  <c r="A344" i="9"/>
  <c r="A345" i="9"/>
  <c r="A346" i="9"/>
  <c r="A347" i="9"/>
  <c r="A348" i="9"/>
  <c r="A349" i="9"/>
  <c r="A350" i="9"/>
  <c r="A351" i="9"/>
  <c r="A352" i="9"/>
  <c r="A353" i="9"/>
  <c r="A354" i="9"/>
  <c r="A355" i="9"/>
  <c r="A356" i="9"/>
  <c r="A357" i="9"/>
  <c r="A358" i="9"/>
  <c r="A359" i="9"/>
  <c r="A360" i="9"/>
  <c r="A361" i="9"/>
  <c r="A362" i="9"/>
  <c r="A363" i="9"/>
  <c r="A364" i="9"/>
  <c r="A365" i="9"/>
  <c r="A366" i="9"/>
  <c r="A367" i="9"/>
  <c r="A368" i="9"/>
  <c r="A369" i="9"/>
  <c r="A370" i="9"/>
  <c r="A371" i="9"/>
  <c r="A372" i="9"/>
  <c r="A373" i="9"/>
  <c r="A374" i="9"/>
  <c r="A375" i="9"/>
  <c r="A376" i="9"/>
  <c r="A377" i="9"/>
  <c r="A378" i="9"/>
  <c r="A379" i="9"/>
  <c r="A380" i="9"/>
  <c r="A381" i="9"/>
  <c r="A382" i="9"/>
  <c r="A383" i="9"/>
  <c r="A384" i="9"/>
  <c r="A385" i="9"/>
  <c r="A386" i="9"/>
  <c r="A387" i="9"/>
  <c r="A388" i="9"/>
  <c r="A389" i="9"/>
  <c r="A390" i="9"/>
  <c r="A391" i="9"/>
  <c r="A392" i="9"/>
  <c r="A393" i="9"/>
  <c r="A394" i="9"/>
  <c r="A395" i="9"/>
  <c r="A396" i="9"/>
  <c r="A397" i="9"/>
  <c r="A398" i="9"/>
  <c r="A399" i="9"/>
  <c r="A400" i="9"/>
  <c r="A401" i="9"/>
  <c r="A402" i="9"/>
  <c r="A403" i="9"/>
  <c r="A404" i="9"/>
  <c r="A405" i="9"/>
  <c r="A406" i="9"/>
  <c r="A407" i="9"/>
  <c r="A408" i="9"/>
  <c r="A409" i="9"/>
  <c r="A410" i="9"/>
  <c r="A411" i="9"/>
  <c r="A412" i="9"/>
  <c r="A413" i="9"/>
  <c r="A414" i="9"/>
  <c r="A415" i="9"/>
  <c r="A416" i="9"/>
  <c r="A417" i="9"/>
  <c r="A418" i="9"/>
  <c r="A419" i="9"/>
  <c r="A420" i="9"/>
  <c r="A421" i="9"/>
  <c r="A422" i="9"/>
  <c r="A423" i="9"/>
  <c r="A424" i="9"/>
  <c r="A425" i="9"/>
  <c r="A426" i="9"/>
  <c r="A427" i="9"/>
  <c r="A428" i="9"/>
  <c r="A429" i="9"/>
  <c r="A430" i="9"/>
  <c r="A431" i="9"/>
  <c r="A432" i="9"/>
  <c r="A433" i="9"/>
  <c r="A434" i="9"/>
  <c r="A435" i="9"/>
  <c r="A436" i="9"/>
  <c r="A437" i="9"/>
  <c r="A438" i="9"/>
  <c r="A439" i="9"/>
  <c r="A440" i="9"/>
  <c r="A441" i="9"/>
  <c r="A442" i="9"/>
  <c r="A443" i="9"/>
  <c r="A444" i="9"/>
  <c r="A445" i="9"/>
  <c r="A446" i="9"/>
  <c r="A447" i="9"/>
  <c r="A448" i="9"/>
  <c r="A449" i="9"/>
  <c r="A450" i="9"/>
  <c r="A451" i="9"/>
  <c r="A452" i="9"/>
  <c r="A453" i="9"/>
  <c r="A454" i="9"/>
  <c r="A455" i="9"/>
  <c r="A456" i="9"/>
  <c r="A457" i="9"/>
  <c r="A458" i="9"/>
  <c r="A459" i="9"/>
  <c r="A460" i="9"/>
  <c r="A461" i="9"/>
  <c r="A462" i="9"/>
  <c r="A463" i="9"/>
  <c r="A464" i="9"/>
  <c r="A465" i="9"/>
  <c r="A466" i="9"/>
  <c r="A467" i="9"/>
  <c r="A468" i="9"/>
  <c r="A469" i="9"/>
  <c r="A470" i="9"/>
  <c r="A471" i="9"/>
  <c r="A472" i="9"/>
  <c r="A473" i="9"/>
  <c r="A474" i="9"/>
  <c r="A475" i="9"/>
  <c r="A476" i="9"/>
  <c r="A477" i="9"/>
  <c r="A478" i="9"/>
  <c r="A479" i="9"/>
  <c r="A480" i="9"/>
  <c r="A481" i="9"/>
  <c r="A482" i="9"/>
  <c r="A483" i="9"/>
  <c r="A484" i="9"/>
  <c r="A485" i="9"/>
  <c r="A486" i="9"/>
  <c r="A487" i="9"/>
  <c r="A488" i="9"/>
  <c r="A489" i="9"/>
  <c r="A490" i="9"/>
  <c r="A491" i="9"/>
  <c r="A492" i="9"/>
  <c r="A493" i="9"/>
  <c r="A494" i="9"/>
  <c r="A495" i="9"/>
  <c r="A496" i="9"/>
  <c r="A497" i="9"/>
  <c r="A498" i="9"/>
  <c r="A499" i="9"/>
  <c r="A500" i="9"/>
  <c r="AH5" i="9"/>
  <c r="AH6" i="9"/>
  <c r="AH7" i="9"/>
  <c r="AH8" i="9"/>
  <c r="AH9" i="9"/>
  <c r="AH10" i="9"/>
  <c r="AH11" i="9"/>
  <c r="AH12" i="9"/>
  <c r="AH13" i="9"/>
  <c r="AH14" i="9"/>
  <c r="AH15" i="9"/>
  <c r="AH16" i="9"/>
  <c r="AH17" i="9"/>
  <c r="AH18" i="9"/>
  <c r="AH19" i="9"/>
  <c r="AH20" i="9"/>
  <c r="AH21" i="9"/>
  <c r="AH22" i="9"/>
  <c r="AH23" i="9"/>
  <c r="AH24" i="9"/>
  <c r="AH25" i="9"/>
  <c r="AH26" i="9"/>
  <c r="AH27" i="9"/>
  <c r="AH28" i="9"/>
  <c r="AH29" i="9"/>
  <c r="AH30" i="9"/>
  <c r="AH31" i="9"/>
  <c r="AH32" i="9"/>
  <c r="AH33" i="9"/>
  <c r="AH34" i="9"/>
  <c r="AH35" i="9"/>
  <c r="AH36" i="9"/>
  <c r="AH37" i="9"/>
  <c r="AH38" i="9"/>
  <c r="AH39" i="9"/>
  <c r="AH40" i="9"/>
  <c r="AH41" i="9"/>
  <c r="AH42" i="9"/>
  <c r="AH43" i="9"/>
  <c r="AH44" i="9"/>
  <c r="AH45" i="9"/>
  <c r="AG5" i="9"/>
  <c r="AG6" i="9"/>
  <c r="AG7" i="9"/>
  <c r="AG8" i="9"/>
  <c r="AG9" i="9"/>
  <c r="AG10" i="9"/>
  <c r="AG11" i="9"/>
  <c r="AG12" i="9"/>
  <c r="AG13" i="9"/>
  <c r="AG14" i="9"/>
  <c r="AG15" i="9"/>
  <c r="AG16" i="9"/>
  <c r="AG17" i="9"/>
  <c r="AG18" i="9"/>
  <c r="AG19" i="9"/>
  <c r="AG20" i="9"/>
  <c r="AG21" i="9"/>
  <c r="AG22" i="9"/>
  <c r="AG23" i="9"/>
  <c r="AG24" i="9"/>
  <c r="AG25" i="9"/>
  <c r="AG26" i="9"/>
  <c r="AG27" i="9"/>
  <c r="AG28" i="9"/>
  <c r="AG29" i="9"/>
  <c r="AG30" i="9"/>
  <c r="AG31" i="9"/>
  <c r="AG32" i="9"/>
  <c r="AG33" i="9"/>
  <c r="AG34" i="9"/>
  <c r="AG35" i="9"/>
  <c r="AG36" i="9"/>
  <c r="AG37" i="9"/>
  <c r="AG38" i="9"/>
  <c r="AG39" i="9"/>
  <c r="AG40" i="9"/>
  <c r="AG41" i="9"/>
  <c r="AG42" i="9"/>
  <c r="AG43" i="9"/>
  <c r="AG44" i="9"/>
  <c r="AG45" i="9"/>
  <c r="AF5" i="9"/>
  <c r="AF6" i="9"/>
  <c r="AF7" i="9"/>
  <c r="AF8" i="9"/>
  <c r="AF9" i="9"/>
  <c r="AF10" i="9"/>
  <c r="AF11" i="9"/>
  <c r="AF12" i="9"/>
  <c r="AF13" i="9"/>
  <c r="AF14" i="9"/>
  <c r="AF15" i="9"/>
  <c r="AF16" i="9"/>
  <c r="AF17" i="9"/>
  <c r="AF18" i="9"/>
  <c r="AF19" i="9"/>
  <c r="AF20" i="9"/>
  <c r="AF21" i="9"/>
  <c r="AF22" i="9"/>
  <c r="AF23" i="9"/>
  <c r="AF24" i="9"/>
  <c r="AF25" i="9"/>
  <c r="AF26" i="9"/>
  <c r="AF27" i="9"/>
  <c r="AF28" i="9"/>
  <c r="AF29" i="9"/>
  <c r="AF30" i="9"/>
  <c r="AF31" i="9"/>
  <c r="AF32" i="9"/>
  <c r="AF33" i="9"/>
  <c r="AF34" i="9"/>
  <c r="AF35" i="9"/>
  <c r="AF36" i="9"/>
  <c r="AF37" i="9"/>
  <c r="AF38" i="9"/>
  <c r="AF39" i="9"/>
  <c r="AF40" i="9"/>
  <c r="AF41" i="9"/>
  <c r="AF42" i="9"/>
  <c r="AF43" i="9"/>
  <c r="AF44" i="9"/>
  <c r="AF45" i="9"/>
  <c r="AE5" i="9"/>
  <c r="AE6" i="9"/>
  <c r="AE7" i="9"/>
  <c r="AE8" i="9"/>
  <c r="AE9" i="9"/>
  <c r="AE10" i="9"/>
  <c r="AE11" i="9"/>
  <c r="AE12" i="9"/>
  <c r="AE13" i="9"/>
  <c r="AE14" i="9"/>
  <c r="AE15" i="9"/>
  <c r="AE16" i="9"/>
  <c r="AE17" i="9"/>
  <c r="AE18" i="9"/>
  <c r="AE19" i="9"/>
  <c r="AE20" i="9"/>
  <c r="AE21" i="9"/>
  <c r="AE22" i="9"/>
  <c r="AE23" i="9"/>
  <c r="AE24" i="9"/>
  <c r="AE25" i="9"/>
  <c r="AE26" i="9"/>
  <c r="AE27" i="9"/>
  <c r="AE28" i="9"/>
  <c r="AE29" i="9"/>
  <c r="AE30" i="9"/>
  <c r="AE31" i="9"/>
  <c r="AE32" i="9"/>
  <c r="AE33" i="9"/>
  <c r="AE34" i="9"/>
  <c r="AE35" i="9"/>
  <c r="AE36" i="9"/>
  <c r="AE37" i="9"/>
  <c r="AE38" i="9"/>
  <c r="AE39" i="9"/>
  <c r="AE40" i="9"/>
  <c r="AE41" i="9"/>
  <c r="AE42" i="9"/>
  <c r="AE43" i="9"/>
  <c r="AE44" i="9"/>
  <c r="AE45" i="9"/>
  <c r="AD5" i="9"/>
  <c r="AD6" i="9"/>
  <c r="AD7" i="9"/>
  <c r="AD8" i="9"/>
  <c r="AD9" i="9"/>
  <c r="AD10" i="9"/>
  <c r="AD11" i="9"/>
  <c r="AD12" i="9"/>
  <c r="AD13" i="9"/>
  <c r="AD14" i="9"/>
  <c r="AD15" i="9"/>
  <c r="AD16" i="9"/>
  <c r="AD17" i="9"/>
  <c r="AD18" i="9"/>
  <c r="AD19" i="9"/>
  <c r="AD20" i="9"/>
  <c r="AD21" i="9"/>
  <c r="AD22" i="9"/>
  <c r="AD23" i="9"/>
  <c r="AD24" i="9"/>
  <c r="AD25" i="9"/>
  <c r="AD26" i="9"/>
  <c r="AD27" i="9"/>
  <c r="AD28" i="9"/>
  <c r="AD29" i="9"/>
  <c r="AD30" i="9"/>
  <c r="AD31" i="9"/>
  <c r="AD32" i="9"/>
  <c r="AD33" i="9"/>
  <c r="AD34" i="9"/>
  <c r="AD35" i="9"/>
  <c r="AD36" i="9"/>
  <c r="AD37" i="9"/>
  <c r="AD38" i="9"/>
  <c r="AD39" i="9"/>
  <c r="AD40" i="9"/>
  <c r="AD41" i="9"/>
  <c r="AD42" i="9"/>
  <c r="AD43" i="9"/>
  <c r="AD44" i="9"/>
  <c r="AD45" i="9"/>
  <c r="AC5" i="9"/>
  <c r="AC6" i="9"/>
  <c r="AC7" i="9"/>
  <c r="AC8" i="9"/>
  <c r="AC9" i="9"/>
  <c r="AC10" i="9"/>
  <c r="AC11" i="9"/>
  <c r="AC12" i="9"/>
  <c r="AC13" i="9"/>
  <c r="AC14" i="9"/>
  <c r="AC15" i="9"/>
  <c r="AC16" i="9"/>
  <c r="AC17" i="9"/>
  <c r="AC18" i="9"/>
  <c r="AC19" i="9"/>
  <c r="AC20" i="9"/>
  <c r="AC21" i="9"/>
  <c r="AC22" i="9"/>
  <c r="AC23" i="9"/>
  <c r="AC24" i="9"/>
  <c r="AC25" i="9"/>
  <c r="AC26" i="9"/>
  <c r="AC27" i="9"/>
  <c r="AC28" i="9"/>
  <c r="AC29" i="9"/>
  <c r="AC30" i="9"/>
  <c r="AC31" i="9"/>
  <c r="AC32" i="9"/>
  <c r="AC33" i="9"/>
  <c r="AC34" i="9"/>
  <c r="AC35" i="9"/>
  <c r="AC36" i="9"/>
  <c r="AC37" i="9"/>
  <c r="AC38" i="9"/>
  <c r="AC39" i="9"/>
  <c r="AC40" i="9"/>
  <c r="AC41" i="9"/>
  <c r="AC42" i="9"/>
  <c r="AC43" i="9"/>
  <c r="AC44" i="9"/>
  <c r="AC45" i="9"/>
  <c r="AB27" i="9"/>
  <c r="AB44" i="9"/>
  <c r="X8" i="9"/>
  <c r="X27" i="9"/>
  <c r="W5" i="9"/>
  <c r="AA5" i="9" s="1"/>
  <c r="W6" i="9"/>
  <c r="AB6" i="9" s="1"/>
  <c r="W7" i="9"/>
  <c r="AB7" i="9" s="1"/>
  <c r="W8" i="9"/>
  <c r="Z8" i="9" s="1"/>
  <c r="W9" i="9"/>
  <c r="AA9" i="9" s="1"/>
  <c r="W10" i="9"/>
  <c r="AA10" i="9" s="1"/>
  <c r="W11" i="9"/>
  <c r="AA11" i="9" s="1"/>
  <c r="W12" i="9"/>
  <c r="AA12" i="9" s="1"/>
  <c r="W13" i="9"/>
  <c r="Z13" i="9" s="1"/>
  <c r="W14" i="9"/>
  <c r="Z14" i="9" s="1"/>
  <c r="W15" i="9"/>
  <c r="Z15" i="9" s="1"/>
  <c r="W16" i="9"/>
  <c r="Z16" i="9" s="1"/>
  <c r="W17" i="9"/>
  <c r="Y17" i="9" s="1"/>
  <c r="W18" i="9"/>
  <c r="Y18" i="9" s="1"/>
  <c r="W19" i="9"/>
  <c r="Y19" i="9" s="1"/>
  <c r="W20" i="9"/>
  <c r="Y20" i="9" s="1"/>
  <c r="W21" i="9"/>
  <c r="X21" i="9" s="1"/>
  <c r="W22" i="9"/>
  <c r="AA22" i="9" s="1"/>
  <c r="W23" i="9"/>
  <c r="X23" i="9" s="1"/>
  <c r="W24" i="9"/>
  <c r="X24" i="9" s="1"/>
  <c r="W25" i="9"/>
  <c r="X25" i="9" s="1"/>
  <c r="W26" i="9"/>
  <c r="Y26" i="9" s="1"/>
  <c r="W27" i="9"/>
  <c r="Z27" i="9" s="1"/>
  <c r="W28" i="9"/>
  <c r="Y28" i="9" s="1"/>
  <c r="W29" i="9"/>
  <c r="Z29" i="9" s="1"/>
  <c r="W30" i="9"/>
  <c r="X30" i="9" s="1"/>
  <c r="W31" i="9"/>
  <c r="X31" i="9" s="1"/>
  <c r="W32" i="9"/>
  <c r="Z32" i="9" s="1"/>
  <c r="W33" i="9"/>
  <c r="Y33" i="9" s="1"/>
  <c r="W34" i="9"/>
  <c r="AB34" i="9" s="1"/>
  <c r="W35" i="9"/>
  <c r="Z35" i="9" s="1"/>
  <c r="W36" i="9"/>
  <c r="AB36" i="9" s="1"/>
  <c r="W37" i="9"/>
  <c r="AA37" i="9" s="1"/>
  <c r="W38" i="9"/>
  <c r="AA38" i="9" s="1"/>
  <c r="W39" i="9"/>
  <c r="Y39" i="9" s="1"/>
  <c r="W40" i="9"/>
  <c r="AA40" i="9" s="1"/>
  <c r="W41" i="9"/>
  <c r="Z41" i="9" s="1"/>
  <c r="W42" i="9"/>
  <c r="Z42" i="9" s="1"/>
  <c r="W43" i="9"/>
  <c r="Z43" i="9" s="1"/>
  <c r="W44" i="9"/>
  <c r="Z44" i="9" s="1"/>
  <c r="W45" i="9"/>
  <c r="Y45" i="9" s="1"/>
  <c r="V5" i="9"/>
  <c r="V6" i="9"/>
  <c r="V7" i="9"/>
  <c r="V8" i="9"/>
  <c r="V9" i="9"/>
  <c r="V10" i="9"/>
  <c r="V11" i="9"/>
  <c r="V12" i="9"/>
  <c r="V13" i="9"/>
  <c r="V14" i="9"/>
  <c r="V15" i="9"/>
  <c r="V16" i="9"/>
  <c r="V17" i="9"/>
  <c r="V18" i="9"/>
  <c r="V19" i="9"/>
  <c r="V20" i="9"/>
  <c r="V21" i="9"/>
  <c r="V22" i="9"/>
  <c r="V23" i="9"/>
  <c r="V24" i="9"/>
  <c r="V25" i="9"/>
  <c r="V26" i="9"/>
  <c r="V27" i="9"/>
  <c r="V28" i="9"/>
  <c r="V29" i="9"/>
  <c r="V30" i="9"/>
  <c r="V31" i="9"/>
  <c r="V32" i="9"/>
  <c r="V33" i="9"/>
  <c r="V34" i="9"/>
  <c r="V35" i="9"/>
  <c r="V36" i="9"/>
  <c r="V37" i="9"/>
  <c r="V38" i="9"/>
  <c r="V39" i="9"/>
  <c r="V40" i="9"/>
  <c r="V41" i="9"/>
  <c r="V42" i="9"/>
  <c r="V43" i="9"/>
  <c r="V44" i="9"/>
  <c r="V45" i="9"/>
  <c r="U5" i="9"/>
  <c r="U6" i="9"/>
  <c r="U7" i="9"/>
  <c r="U8" i="9"/>
  <c r="U9" i="9"/>
  <c r="U10" i="9"/>
  <c r="U11" i="9"/>
  <c r="U12" i="9"/>
  <c r="U13" i="9"/>
  <c r="U14" i="9"/>
  <c r="U15" i="9"/>
  <c r="U16" i="9"/>
  <c r="U17" i="9"/>
  <c r="U18" i="9"/>
  <c r="U19" i="9"/>
  <c r="U20" i="9"/>
  <c r="U21" i="9"/>
  <c r="U22" i="9"/>
  <c r="U23" i="9"/>
  <c r="U24" i="9"/>
  <c r="U25" i="9"/>
  <c r="U26" i="9"/>
  <c r="U27" i="9"/>
  <c r="U28" i="9"/>
  <c r="U29" i="9"/>
  <c r="U30" i="9"/>
  <c r="U31" i="9"/>
  <c r="U32" i="9"/>
  <c r="U33" i="9"/>
  <c r="U34" i="9"/>
  <c r="U35" i="9"/>
  <c r="U36" i="9"/>
  <c r="U37" i="9"/>
  <c r="U38" i="9"/>
  <c r="U39" i="9"/>
  <c r="U40" i="9"/>
  <c r="U41" i="9"/>
  <c r="U42" i="9"/>
  <c r="U43" i="9"/>
  <c r="U44" i="9"/>
  <c r="U45" i="9"/>
  <c r="T5" i="9"/>
  <c r="T6" i="9"/>
  <c r="T7" i="9"/>
  <c r="T8" i="9"/>
  <c r="T9" i="9"/>
  <c r="T10" i="9"/>
  <c r="T11" i="9"/>
  <c r="T12" i="9"/>
  <c r="T13" i="9"/>
  <c r="T14" i="9"/>
  <c r="T15" i="9"/>
  <c r="T16" i="9"/>
  <c r="T17" i="9"/>
  <c r="T18" i="9"/>
  <c r="T19" i="9"/>
  <c r="T20" i="9"/>
  <c r="T21" i="9"/>
  <c r="T22" i="9"/>
  <c r="T23" i="9"/>
  <c r="T24" i="9"/>
  <c r="T25" i="9"/>
  <c r="T26" i="9"/>
  <c r="T27" i="9"/>
  <c r="T28" i="9"/>
  <c r="T29" i="9"/>
  <c r="T30" i="9"/>
  <c r="T31" i="9"/>
  <c r="T32" i="9"/>
  <c r="T33" i="9"/>
  <c r="T34" i="9"/>
  <c r="T35" i="9"/>
  <c r="T36" i="9"/>
  <c r="T37" i="9"/>
  <c r="T38" i="9"/>
  <c r="T39" i="9"/>
  <c r="T40" i="9"/>
  <c r="T41" i="9"/>
  <c r="T42" i="9"/>
  <c r="T43" i="9"/>
  <c r="T44" i="9"/>
  <c r="T45" i="9"/>
  <c r="S5" i="9"/>
  <c r="S6" i="9"/>
  <c r="S7" i="9"/>
  <c r="S8" i="9"/>
  <c r="S9" i="9"/>
  <c r="S10" i="9"/>
  <c r="S11" i="9"/>
  <c r="S12" i="9"/>
  <c r="S13" i="9"/>
  <c r="S14" i="9"/>
  <c r="S15" i="9"/>
  <c r="S16" i="9"/>
  <c r="S17" i="9"/>
  <c r="S18" i="9"/>
  <c r="S19" i="9"/>
  <c r="S20" i="9"/>
  <c r="S21" i="9"/>
  <c r="S22" i="9"/>
  <c r="S23" i="9"/>
  <c r="S24" i="9"/>
  <c r="S25" i="9"/>
  <c r="S26" i="9"/>
  <c r="S27" i="9"/>
  <c r="S28" i="9"/>
  <c r="S29" i="9"/>
  <c r="S30" i="9"/>
  <c r="S31" i="9"/>
  <c r="S32" i="9"/>
  <c r="S33" i="9"/>
  <c r="S34" i="9"/>
  <c r="S35" i="9"/>
  <c r="S36" i="9"/>
  <c r="S37" i="9"/>
  <c r="S38" i="9"/>
  <c r="S39" i="9"/>
  <c r="S40" i="9"/>
  <c r="S41" i="9"/>
  <c r="S42" i="9"/>
  <c r="S43" i="9"/>
  <c r="S44" i="9"/>
  <c r="S45" i="9"/>
  <c r="R5" i="9"/>
  <c r="R6" i="9"/>
  <c r="R7" i="9"/>
  <c r="R8" i="9"/>
  <c r="R9" i="9"/>
  <c r="R10" i="9"/>
  <c r="R11" i="9"/>
  <c r="R12" i="9"/>
  <c r="R13" i="9"/>
  <c r="R14" i="9"/>
  <c r="R15" i="9"/>
  <c r="R16" i="9"/>
  <c r="R17" i="9"/>
  <c r="R18" i="9"/>
  <c r="R19" i="9"/>
  <c r="R20" i="9"/>
  <c r="R21" i="9"/>
  <c r="R22" i="9"/>
  <c r="R23" i="9"/>
  <c r="R24" i="9"/>
  <c r="R25" i="9"/>
  <c r="R26" i="9"/>
  <c r="R27" i="9"/>
  <c r="R28" i="9"/>
  <c r="R29" i="9"/>
  <c r="R30" i="9"/>
  <c r="R31" i="9"/>
  <c r="R32" i="9"/>
  <c r="R33" i="9"/>
  <c r="R34" i="9"/>
  <c r="R35" i="9"/>
  <c r="R36" i="9"/>
  <c r="R37" i="9"/>
  <c r="R38" i="9"/>
  <c r="R39" i="9"/>
  <c r="R40" i="9"/>
  <c r="R41" i="9"/>
  <c r="R42" i="9"/>
  <c r="R43" i="9"/>
  <c r="R44" i="9"/>
  <c r="R45" i="9"/>
  <c r="Q5" i="9"/>
  <c r="Q6" i="9"/>
  <c r="Q7" i="9"/>
  <c r="Q8" i="9"/>
  <c r="Q9" i="9"/>
  <c r="Q10" i="9"/>
  <c r="Q11" i="9"/>
  <c r="Q12" i="9"/>
  <c r="Q13" i="9"/>
  <c r="Q14" i="9"/>
  <c r="Q15" i="9"/>
  <c r="Q16" i="9"/>
  <c r="Q17" i="9"/>
  <c r="Q18" i="9"/>
  <c r="Q19" i="9"/>
  <c r="Q20" i="9"/>
  <c r="Q21" i="9"/>
  <c r="Q22" i="9"/>
  <c r="Q23" i="9"/>
  <c r="Q24" i="9"/>
  <c r="Q25" i="9"/>
  <c r="Q26" i="9"/>
  <c r="Q27" i="9"/>
  <c r="Q28" i="9"/>
  <c r="Q29" i="9"/>
  <c r="Q30" i="9"/>
  <c r="Q31" i="9"/>
  <c r="Q32" i="9"/>
  <c r="Q33" i="9"/>
  <c r="Q34" i="9"/>
  <c r="Q35" i="9"/>
  <c r="Q36" i="9"/>
  <c r="Q37" i="9"/>
  <c r="Q38" i="9"/>
  <c r="Q39" i="9"/>
  <c r="Q40" i="9"/>
  <c r="Q41" i="9"/>
  <c r="Q42" i="9"/>
  <c r="Q43" i="9"/>
  <c r="Q44" i="9"/>
  <c r="Q45" i="9"/>
  <c r="P5" i="9"/>
  <c r="P6" i="9"/>
  <c r="P7" i="9"/>
  <c r="P8" i="9"/>
  <c r="P9" i="9"/>
  <c r="P10" i="9"/>
  <c r="P11" i="9"/>
  <c r="P12" i="9"/>
  <c r="P13" i="9"/>
  <c r="P14" i="9"/>
  <c r="P15" i="9"/>
  <c r="P16" i="9"/>
  <c r="P17" i="9"/>
  <c r="P18" i="9"/>
  <c r="P19" i="9"/>
  <c r="P20" i="9"/>
  <c r="P21" i="9"/>
  <c r="P22" i="9"/>
  <c r="P23" i="9"/>
  <c r="P24" i="9"/>
  <c r="P25" i="9"/>
  <c r="P26" i="9"/>
  <c r="P27" i="9"/>
  <c r="P28" i="9"/>
  <c r="P29" i="9"/>
  <c r="P30" i="9"/>
  <c r="P31" i="9"/>
  <c r="P32" i="9"/>
  <c r="P33" i="9"/>
  <c r="P34" i="9"/>
  <c r="P35" i="9"/>
  <c r="P36" i="9"/>
  <c r="P37" i="9"/>
  <c r="P38" i="9"/>
  <c r="P39" i="9"/>
  <c r="P40" i="9"/>
  <c r="P41" i="9"/>
  <c r="P42" i="9"/>
  <c r="P43" i="9"/>
  <c r="P44" i="9"/>
  <c r="P45" i="9"/>
  <c r="O5" i="9"/>
  <c r="O6" i="9"/>
  <c r="O7" i="9"/>
  <c r="O8" i="9"/>
  <c r="O9" i="9"/>
  <c r="O10" i="9"/>
  <c r="O11" i="9"/>
  <c r="O12" i="9"/>
  <c r="O13" i="9"/>
  <c r="O14" i="9"/>
  <c r="O15" i="9"/>
  <c r="O16" i="9"/>
  <c r="O17" i="9"/>
  <c r="O18" i="9"/>
  <c r="O19" i="9"/>
  <c r="O20" i="9"/>
  <c r="O21" i="9"/>
  <c r="O22" i="9"/>
  <c r="O23" i="9"/>
  <c r="O24" i="9"/>
  <c r="O25" i="9"/>
  <c r="O26" i="9"/>
  <c r="O27" i="9"/>
  <c r="O28" i="9"/>
  <c r="O29" i="9"/>
  <c r="O30" i="9"/>
  <c r="O31" i="9"/>
  <c r="O32" i="9"/>
  <c r="O33" i="9"/>
  <c r="O34" i="9"/>
  <c r="O35" i="9"/>
  <c r="O36" i="9"/>
  <c r="O37" i="9"/>
  <c r="O38" i="9"/>
  <c r="O39" i="9"/>
  <c r="O40" i="9"/>
  <c r="O41" i="9"/>
  <c r="O42" i="9"/>
  <c r="O43" i="9"/>
  <c r="O44" i="9"/>
  <c r="O45" i="9"/>
  <c r="N5" i="9"/>
  <c r="N6" i="9"/>
  <c r="N7" i="9"/>
  <c r="N8" i="9"/>
  <c r="N9" i="9"/>
  <c r="N10" i="9"/>
  <c r="N11" i="9"/>
  <c r="N12" i="9"/>
  <c r="N13" i="9"/>
  <c r="N14" i="9"/>
  <c r="N15" i="9"/>
  <c r="N16" i="9"/>
  <c r="N17" i="9"/>
  <c r="N18" i="9"/>
  <c r="N19" i="9"/>
  <c r="N20" i="9"/>
  <c r="N21" i="9"/>
  <c r="N22" i="9"/>
  <c r="N23" i="9"/>
  <c r="N24" i="9"/>
  <c r="N25" i="9"/>
  <c r="N26" i="9"/>
  <c r="N27" i="9"/>
  <c r="N28" i="9"/>
  <c r="N29" i="9"/>
  <c r="N30" i="9"/>
  <c r="N31" i="9"/>
  <c r="N32" i="9"/>
  <c r="N33" i="9"/>
  <c r="N34" i="9"/>
  <c r="N35" i="9"/>
  <c r="N36" i="9"/>
  <c r="N37" i="9"/>
  <c r="N38" i="9"/>
  <c r="N39" i="9"/>
  <c r="N40" i="9"/>
  <c r="N41" i="9"/>
  <c r="N42" i="9"/>
  <c r="N43" i="9"/>
  <c r="N44" i="9"/>
  <c r="N45" i="9"/>
  <c r="M5" i="9"/>
  <c r="M6" i="9"/>
  <c r="M7" i="9"/>
  <c r="M8" i="9"/>
  <c r="M9" i="9"/>
  <c r="M10" i="9"/>
  <c r="M11" i="9"/>
  <c r="M12" i="9"/>
  <c r="M13" i="9"/>
  <c r="M14" i="9"/>
  <c r="M15" i="9"/>
  <c r="M16" i="9"/>
  <c r="M17" i="9"/>
  <c r="M18" i="9"/>
  <c r="M19" i="9"/>
  <c r="M20" i="9"/>
  <c r="M21" i="9"/>
  <c r="M22" i="9"/>
  <c r="M23" i="9"/>
  <c r="M24" i="9"/>
  <c r="M25" i="9"/>
  <c r="M26" i="9"/>
  <c r="M27" i="9"/>
  <c r="M28" i="9"/>
  <c r="M29" i="9"/>
  <c r="M30" i="9"/>
  <c r="M31" i="9"/>
  <c r="M32" i="9"/>
  <c r="M33" i="9"/>
  <c r="M34" i="9"/>
  <c r="M35" i="9"/>
  <c r="M36" i="9"/>
  <c r="M37" i="9"/>
  <c r="M38" i="9"/>
  <c r="M39" i="9"/>
  <c r="M40" i="9"/>
  <c r="M41" i="9"/>
  <c r="M42" i="9"/>
  <c r="M43" i="9"/>
  <c r="M44" i="9"/>
  <c r="M45" i="9"/>
  <c r="L5" i="9"/>
  <c r="L6" i="9"/>
  <c r="L7" i="9"/>
  <c r="L8" i="9"/>
  <c r="L9" i="9"/>
  <c r="L10" i="9"/>
  <c r="L11" i="9"/>
  <c r="L12" i="9"/>
  <c r="L13" i="9"/>
  <c r="L14" i="9"/>
  <c r="L15" i="9"/>
  <c r="L16" i="9"/>
  <c r="L17" i="9"/>
  <c r="L18" i="9"/>
  <c r="L19" i="9"/>
  <c r="L20" i="9"/>
  <c r="L21" i="9"/>
  <c r="L22" i="9"/>
  <c r="L23" i="9"/>
  <c r="L24" i="9"/>
  <c r="L25" i="9"/>
  <c r="L26" i="9"/>
  <c r="L27" i="9"/>
  <c r="L28" i="9"/>
  <c r="L29" i="9"/>
  <c r="L30" i="9"/>
  <c r="L31" i="9"/>
  <c r="L32" i="9"/>
  <c r="L33" i="9"/>
  <c r="L34" i="9"/>
  <c r="L35" i="9"/>
  <c r="L36" i="9"/>
  <c r="L37" i="9"/>
  <c r="L38" i="9"/>
  <c r="L39" i="9"/>
  <c r="L40" i="9"/>
  <c r="L41" i="9"/>
  <c r="L42" i="9"/>
  <c r="L43" i="9"/>
  <c r="L44" i="9"/>
  <c r="L45" i="9"/>
  <c r="K5" i="9"/>
  <c r="K6" i="9"/>
  <c r="K7" i="9"/>
  <c r="K8" i="9"/>
  <c r="K9" i="9"/>
  <c r="K10" i="9"/>
  <c r="K11" i="9"/>
  <c r="K12" i="9"/>
  <c r="K13" i="9"/>
  <c r="K14" i="9"/>
  <c r="K15" i="9"/>
  <c r="K16" i="9"/>
  <c r="K17" i="9"/>
  <c r="K18" i="9"/>
  <c r="K19" i="9"/>
  <c r="K20" i="9"/>
  <c r="K21" i="9"/>
  <c r="K22" i="9"/>
  <c r="K23" i="9"/>
  <c r="K24" i="9"/>
  <c r="K25" i="9"/>
  <c r="K26" i="9"/>
  <c r="K27" i="9"/>
  <c r="K28" i="9"/>
  <c r="K29" i="9"/>
  <c r="K30" i="9"/>
  <c r="K31" i="9"/>
  <c r="K32" i="9"/>
  <c r="K33" i="9"/>
  <c r="K34" i="9"/>
  <c r="K35" i="9"/>
  <c r="K36" i="9"/>
  <c r="K37" i="9"/>
  <c r="K38" i="9"/>
  <c r="K39" i="9"/>
  <c r="K40" i="9"/>
  <c r="K41" i="9"/>
  <c r="K42" i="9"/>
  <c r="K43" i="9"/>
  <c r="K44" i="9"/>
  <c r="K45" i="9"/>
  <c r="I5" i="9"/>
  <c r="I6" i="9"/>
  <c r="I7" i="9"/>
  <c r="I8" i="9"/>
  <c r="I9" i="9"/>
  <c r="I10" i="9"/>
  <c r="I11" i="9"/>
  <c r="I12" i="9"/>
  <c r="I13" i="9"/>
  <c r="I14" i="9"/>
  <c r="I15" i="9"/>
  <c r="I16" i="9"/>
  <c r="I17" i="9"/>
  <c r="I18" i="9"/>
  <c r="I19" i="9"/>
  <c r="I20" i="9"/>
  <c r="I21" i="9"/>
  <c r="I22" i="9"/>
  <c r="I23" i="9"/>
  <c r="I24" i="9"/>
  <c r="I25" i="9"/>
  <c r="I26" i="9"/>
  <c r="I27" i="9"/>
  <c r="I28" i="9"/>
  <c r="I29" i="9"/>
  <c r="I30" i="9"/>
  <c r="I31" i="9"/>
  <c r="I32" i="9"/>
  <c r="I33" i="9"/>
  <c r="I34" i="9"/>
  <c r="I35" i="9"/>
  <c r="I36" i="9"/>
  <c r="I37" i="9"/>
  <c r="I38" i="9"/>
  <c r="I39" i="9"/>
  <c r="I40" i="9"/>
  <c r="I41" i="9"/>
  <c r="I42" i="9"/>
  <c r="I43" i="9"/>
  <c r="I44" i="9"/>
  <c r="I45" i="9"/>
  <c r="H5" i="9"/>
  <c r="H6" i="9"/>
  <c r="H7" i="9"/>
  <c r="H8" i="9"/>
  <c r="H9" i="9"/>
  <c r="H10" i="9"/>
  <c r="H11" i="9"/>
  <c r="H12" i="9"/>
  <c r="H13" i="9"/>
  <c r="H14" i="9"/>
  <c r="H15" i="9"/>
  <c r="H16" i="9"/>
  <c r="H17" i="9"/>
  <c r="H18" i="9"/>
  <c r="H19" i="9"/>
  <c r="H20" i="9"/>
  <c r="H21" i="9"/>
  <c r="H22" i="9"/>
  <c r="H23" i="9"/>
  <c r="H24" i="9"/>
  <c r="H25" i="9"/>
  <c r="H26" i="9"/>
  <c r="H27" i="9"/>
  <c r="H28" i="9"/>
  <c r="H29" i="9"/>
  <c r="H30" i="9"/>
  <c r="H31" i="9"/>
  <c r="H32" i="9"/>
  <c r="H33" i="9"/>
  <c r="H34" i="9"/>
  <c r="H35" i="9"/>
  <c r="H36" i="9"/>
  <c r="H37" i="9"/>
  <c r="H38" i="9"/>
  <c r="H39" i="9"/>
  <c r="H40" i="9"/>
  <c r="H41" i="9"/>
  <c r="H42" i="9"/>
  <c r="H43" i="9"/>
  <c r="H44" i="9"/>
  <c r="H45" i="9"/>
  <c r="G5" i="9"/>
  <c r="G6" i="9"/>
  <c r="G7" i="9"/>
  <c r="G8" i="9"/>
  <c r="G9" i="9"/>
  <c r="G10" i="9"/>
  <c r="G11" i="9"/>
  <c r="G12" i="9"/>
  <c r="G13" i="9"/>
  <c r="G14" i="9"/>
  <c r="G15" i="9"/>
  <c r="G16" i="9"/>
  <c r="G17" i="9"/>
  <c r="G18" i="9"/>
  <c r="G19" i="9"/>
  <c r="G20" i="9"/>
  <c r="G21" i="9"/>
  <c r="G22" i="9"/>
  <c r="G23" i="9"/>
  <c r="G24" i="9"/>
  <c r="G25" i="9"/>
  <c r="G26" i="9"/>
  <c r="G27" i="9"/>
  <c r="G28" i="9"/>
  <c r="G29" i="9"/>
  <c r="G30" i="9"/>
  <c r="G31" i="9"/>
  <c r="G32" i="9"/>
  <c r="G33" i="9"/>
  <c r="G34" i="9"/>
  <c r="G35" i="9"/>
  <c r="G36" i="9"/>
  <c r="G37" i="9"/>
  <c r="G38" i="9"/>
  <c r="G39" i="9"/>
  <c r="G40" i="9"/>
  <c r="G41" i="9"/>
  <c r="G42" i="9"/>
  <c r="G43" i="9"/>
  <c r="G44" i="9"/>
  <c r="G45" i="9"/>
  <c r="F5" i="9"/>
  <c r="F6" i="9"/>
  <c r="F7" i="9"/>
  <c r="F8" i="9"/>
  <c r="F9" i="9"/>
  <c r="F10" i="9"/>
  <c r="F11" i="9"/>
  <c r="F12" i="9"/>
  <c r="F13" i="9"/>
  <c r="F14" i="9"/>
  <c r="F15" i="9"/>
  <c r="F16" i="9"/>
  <c r="F17" i="9"/>
  <c r="F18" i="9"/>
  <c r="F19" i="9"/>
  <c r="F20" i="9"/>
  <c r="F21" i="9"/>
  <c r="F22" i="9"/>
  <c r="F23" i="9"/>
  <c r="F24" i="9"/>
  <c r="F25" i="9"/>
  <c r="F26" i="9"/>
  <c r="F27" i="9"/>
  <c r="F28" i="9"/>
  <c r="F29" i="9"/>
  <c r="F30" i="9"/>
  <c r="F31" i="9"/>
  <c r="F32" i="9"/>
  <c r="F33" i="9"/>
  <c r="F34" i="9"/>
  <c r="F35" i="9"/>
  <c r="F36" i="9"/>
  <c r="F37" i="9"/>
  <c r="F38" i="9"/>
  <c r="F39" i="9"/>
  <c r="F40" i="9"/>
  <c r="F41" i="9"/>
  <c r="F42" i="9"/>
  <c r="F43" i="9"/>
  <c r="F44" i="9"/>
  <c r="F45" i="9"/>
  <c r="E5" i="9"/>
  <c r="E6" i="9"/>
  <c r="E7" i="9"/>
  <c r="E8" i="9"/>
  <c r="E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D5" i="9"/>
  <c r="D6" i="9"/>
  <c r="D7" i="9"/>
  <c r="D8" i="9"/>
  <c r="D9" i="9"/>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D42" i="9"/>
  <c r="D43" i="9"/>
  <c r="D44" i="9"/>
  <c r="D45" i="9"/>
  <c r="C5" i="9"/>
  <c r="C6" i="9"/>
  <c r="C7" i="9"/>
  <c r="C8" i="9"/>
  <c r="C9" i="9"/>
  <c r="C10" i="9"/>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C42" i="9"/>
  <c r="C43" i="9"/>
  <c r="C44" i="9"/>
  <c r="C45"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A5" i="9"/>
  <c r="A6" i="9"/>
  <c r="A7" i="9"/>
  <c r="A8" i="9"/>
  <c r="A9" i="9"/>
  <c r="A10" i="9"/>
  <c r="A11" i="9"/>
  <c r="A12" i="9"/>
  <c r="A13" i="9"/>
  <c r="A14" i="9"/>
  <c r="A15" i="9"/>
  <c r="A16" i="9"/>
  <c r="A17" i="9"/>
  <c r="A18" i="9"/>
  <c r="A19" i="9"/>
  <c r="A20" i="9"/>
  <c r="A21" i="9"/>
  <c r="A22" i="9"/>
  <c r="A23" i="9"/>
  <c r="A24" i="9"/>
  <c r="A25" i="9"/>
  <c r="A26" i="9"/>
  <c r="A27" i="9"/>
  <c r="A28" i="9"/>
  <c r="A29" i="9"/>
  <c r="A30" i="9"/>
  <c r="A31" i="9"/>
  <c r="A32" i="9"/>
  <c r="A33" i="9"/>
  <c r="A34" i="9"/>
  <c r="A35" i="9"/>
  <c r="A36" i="9"/>
  <c r="A37" i="9"/>
  <c r="A38" i="9"/>
  <c r="A39" i="9"/>
  <c r="A40" i="9"/>
  <c r="A41" i="9"/>
  <c r="A42" i="9"/>
  <c r="A43" i="9"/>
  <c r="A44" i="9"/>
  <c r="A45" i="9"/>
  <c r="K23" i="17" l="1"/>
  <c r="AA44" i="9"/>
  <c r="AA42" i="9"/>
  <c r="X44" i="9"/>
  <c r="AA27" i="9"/>
  <c r="X42" i="9"/>
  <c r="AA8" i="9"/>
  <c r="Y44" i="9"/>
  <c r="AB8" i="9"/>
  <c r="Y27" i="9"/>
  <c r="Y8" i="9"/>
  <c r="Y42" i="9"/>
  <c r="AB42" i="9"/>
  <c r="AA48" i="9"/>
  <c r="AB46" i="9"/>
  <c r="AG6" i="12"/>
  <c r="AG2" i="12"/>
  <c r="AG4" i="12"/>
  <c r="AG5" i="12"/>
  <c r="Z6" i="9"/>
  <c r="X6" i="9"/>
  <c r="AA6" i="9"/>
  <c r="Y6" i="9"/>
  <c r="Y57" i="9"/>
  <c r="AB54" i="9"/>
  <c r="Y50" i="9"/>
  <c r="X47" i="9"/>
  <c r="Z49" i="9"/>
  <c r="AA46" i="9"/>
  <c r="Y46" i="9"/>
  <c r="Y35" i="9"/>
  <c r="Z57" i="9"/>
  <c r="AA50" i="9"/>
  <c r="X39" i="9"/>
  <c r="Y29" i="9"/>
  <c r="Z22" i="9"/>
  <c r="X54" i="9"/>
  <c r="X50" i="9"/>
  <c r="AA47" i="9"/>
  <c r="X46" i="9"/>
  <c r="X35" i="9"/>
  <c r="X29" i="9"/>
  <c r="Y22" i="9"/>
  <c r="X22" i="9"/>
  <c r="AB39" i="9"/>
  <c r="AB35" i="9"/>
  <c r="AA39" i="9"/>
  <c r="AB29" i="9"/>
  <c r="AA35" i="9"/>
  <c r="Z39" i="9"/>
  <c r="AA29" i="9"/>
  <c r="AB22" i="9"/>
  <c r="AG7" i="12"/>
  <c r="AA33" i="9"/>
  <c r="Y41" i="9"/>
  <c r="X36" i="9"/>
  <c r="X32" i="9"/>
  <c r="Y43" i="9"/>
  <c r="Z28" i="9"/>
  <c r="AA32" i="9"/>
  <c r="X34" i="9"/>
  <c r="AA30" i="9"/>
  <c r="Z26" i="9"/>
  <c r="AB33" i="9"/>
  <c r="Y40" i="9"/>
  <c r="AA28" i="9"/>
  <c r="X28" i="9"/>
  <c r="AB28" i="9"/>
  <c r="X45" i="9"/>
  <c r="Z38" i="9"/>
  <c r="AA26" i="9"/>
  <c r="X26" i="9"/>
  <c r="Y32" i="9"/>
  <c r="Z37" i="9"/>
  <c r="Z33" i="9"/>
  <c r="X38" i="9"/>
  <c r="Z31" i="9"/>
  <c r="X37" i="9"/>
  <c r="Y10" i="9"/>
  <c r="Z30" i="9"/>
  <c r="Z36" i="9"/>
  <c r="AA36" i="9"/>
  <c r="Y16" i="9"/>
  <c r="AB32" i="9"/>
  <c r="Y15" i="9"/>
  <c r="Z34" i="9"/>
  <c r="AA34" i="9"/>
  <c r="AB31" i="9"/>
  <c r="Y13" i="9"/>
  <c r="X7" i="9"/>
  <c r="Y11" i="9"/>
  <c r="X5" i="9"/>
  <c r="Y12" i="9"/>
  <c r="Z12" i="9"/>
  <c r="AA7" i="9"/>
  <c r="Z7" i="9"/>
  <c r="Y7" i="9"/>
  <c r="AB5" i="9"/>
  <c r="Y5" i="9"/>
  <c r="Y14" i="9"/>
  <c r="AB45" i="9"/>
  <c r="Z25" i="9"/>
  <c r="X33" i="9"/>
  <c r="AA31" i="9"/>
  <c r="Z10" i="9"/>
  <c r="Z9" i="9"/>
  <c r="AB30" i="9"/>
  <c r="Y38" i="9"/>
  <c r="AA25" i="9"/>
  <c r="X20" i="9"/>
  <c r="X19" i="9"/>
  <c r="Y34" i="9"/>
  <c r="Z5" i="9"/>
  <c r="AA16" i="9"/>
  <c r="AB26" i="9"/>
  <c r="X18" i="9"/>
  <c r="AB25" i="9"/>
  <c r="X17" i="9"/>
  <c r="Z11" i="9"/>
  <c r="X16" i="9"/>
  <c r="Y31" i="9"/>
  <c r="AB17" i="9"/>
  <c r="X11" i="9"/>
  <c r="Y30" i="9"/>
  <c r="AB16" i="9"/>
  <c r="X10" i="9"/>
  <c r="Z40" i="9"/>
  <c r="X9" i="9"/>
  <c r="X43" i="9"/>
  <c r="X15" i="9"/>
  <c r="X14" i="9"/>
  <c r="X41" i="9"/>
  <c r="X13" i="9"/>
  <c r="Y37" i="9"/>
  <c r="Y9" i="9"/>
  <c r="X40" i="9"/>
  <c r="X12" i="9"/>
  <c r="Y36" i="9"/>
  <c r="AB24" i="9"/>
  <c r="Z23" i="9"/>
  <c r="AA19" i="9"/>
  <c r="AB43" i="9"/>
  <c r="AB15" i="9"/>
  <c r="AA18" i="9"/>
  <c r="AB14" i="9"/>
  <c r="Z24" i="9"/>
  <c r="AA20" i="9"/>
  <c r="Y25" i="9"/>
  <c r="Z21" i="9"/>
  <c r="AA45" i="9"/>
  <c r="AA17" i="9"/>
  <c r="AB41" i="9"/>
  <c r="AB13" i="9"/>
  <c r="Y24" i="9"/>
  <c r="Z20" i="9"/>
  <c r="AB40" i="9"/>
  <c r="AB12" i="9"/>
  <c r="Y23" i="9"/>
  <c r="Z19" i="9"/>
  <c r="AA43" i="9"/>
  <c r="AA15" i="9"/>
  <c r="AB11" i="9"/>
  <c r="Z18" i="9"/>
  <c r="AA14" i="9"/>
  <c r="AB38" i="9"/>
  <c r="AB10" i="9"/>
  <c r="Y21" i="9"/>
  <c r="Z45" i="9"/>
  <c r="Z17" i="9"/>
  <c r="AA41" i="9"/>
  <c r="AA13" i="9"/>
  <c r="AB37" i="9"/>
  <c r="AB9" i="9"/>
  <c r="AB23" i="9"/>
  <c r="AB21" i="9"/>
  <c r="AA24" i="9"/>
  <c r="AB20" i="9"/>
  <c r="AA23" i="9"/>
  <c r="AB19" i="9"/>
  <c r="AB18" i="9"/>
  <c r="AA21" i="9"/>
</calcChain>
</file>

<file path=xl/sharedStrings.xml><?xml version="1.0" encoding="utf-8"?>
<sst xmlns="http://schemas.openxmlformats.org/spreadsheetml/2006/main" count="639" uniqueCount="204">
  <si>
    <t>Planificación y organización de la materia</t>
  </si>
  <si>
    <t>Balance</t>
  </si>
  <si>
    <t>Evaluación</t>
  </si>
  <si>
    <t>El/la docente comunicó claramente los criterios de evaluación antes de cada evaluación.</t>
  </si>
  <si>
    <t>Hubo coherencia entre lo programado y el desarrollo de la materia</t>
  </si>
  <si>
    <t>La evaluación se correspondió con lo enseñado.</t>
  </si>
  <si>
    <t>Todos los contenidos tuvieron el tiempo suficiente para lograr los aprendizajes esperados</t>
  </si>
  <si>
    <t>El/la docente utilizó el Campus Virtual como herramienta de apoyo de la asignatura</t>
  </si>
  <si>
    <t>Después de las evaluaciones, el/la docente realizó una devolución de los resultados a los/as estudiantes para mejorar los aprendizajes.</t>
  </si>
  <si>
    <t>El/la docente realizó las devoluciones en un tiempo adecuado.</t>
  </si>
  <si>
    <t>El/la docente relacionó conceptos con otros aprendidos con anterioridad en la misma materia o en otras materias.</t>
  </si>
  <si>
    <t>El/la docente estableció un ambiente agradable/seguro/de confianza para el aprendizaje.</t>
  </si>
  <si>
    <t>El/la docente usó ejemplos y casos relacionados con la realidad y/o el mundo laboral.</t>
  </si>
  <si>
    <t>El/la docente promovió un trato respetuoso entre todas las personas, independientemente de su origen social, género u orientación sexual o política.</t>
  </si>
  <si>
    <t>Los recursos y/o bibliografía propuestos me sirvieron para comprender las temáticas de la asignatura.</t>
  </si>
  <si>
    <t>El/la docente acogió positivamente las preguntas e inquietudes de los/as estudiantes.</t>
  </si>
  <si>
    <t>El/la docente desarrolló los temas con claridad.</t>
  </si>
  <si>
    <t>El/la docente generó interés en la materia y ganas de aprender.</t>
  </si>
  <si>
    <t>El/la docente fomentó la participación en clase</t>
  </si>
  <si>
    <t>He aprendido y comprendido los contenidos de esta materia.</t>
  </si>
  <si>
    <t>La materia contribuyó a confirmar mi elección por la carrera.</t>
  </si>
  <si>
    <t>Las actividades propuestas en la clase contribuyeron al aprendizaje  (trabajos prácticos individuales o grupales, visitas, etc.)</t>
  </si>
  <si>
    <t>Valor</t>
  </si>
  <si>
    <t>Clase y actividades</t>
  </si>
  <si>
    <t>Contenidos de la materia</t>
  </si>
  <si>
    <t>Ambiente y vínculo</t>
  </si>
  <si>
    <t>Al inicio de la cursada el/la docente presentó y explicó claramente el programa de la materia. (detalló objetivos, contenidos, cronograma, formas de trabajo y evaluación).</t>
  </si>
  <si>
    <t>Los instrumentos para evaluar fueron adecuados 
(multiple choice, examen oral, examen escrito, etc).</t>
  </si>
  <si>
    <t>Las tecnologías digitales que usó el docente me facilitaron el aprendizaje. (Ejemplo:  videos, recursos web, programas, presentaciones, etc.).</t>
  </si>
  <si>
    <t>LOS CONTENIDOS DE LA MATERIA</t>
  </si>
  <si>
    <t>BALANCE</t>
  </si>
  <si>
    <t>LA PLANIFICACIÓN Y LA ORGANIZACIÓN DE LA MATERIA</t>
  </si>
  <si>
    <t>LA EVALUACIÓN</t>
  </si>
  <si>
    <t>LAS CLASES Y LAS ACTIVIDADES</t>
  </si>
  <si>
    <t>EL AMBIENTE DE APRENDIZAJE Y EL VÍNCULO INTERPERSONAL</t>
  </si>
  <si>
    <t>Año Académico</t>
  </si>
  <si>
    <t>Período Lectivo</t>
  </si>
  <si>
    <t>ID Encuesta</t>
  </si>
  <si>
    <t>Unidad Académica Nombre</t>
  </si>
  <si>
    <t>Materia Código</t>
  </si>
  <si>
    <t>Materia Nombre</t>
  </si>
  <si>
    <t>Comisión Código</t>
  </si>
  <si>
    <t>Comisión Nombre</t>
  </si>
  <si>
    <t>Carrera que estás cursando:</t>
  </si>
  <si>
    <t>Tu situación en relación a esta materia</t>
  </si>
  <si>
    <t>Marcá el motivo principal por el cual abandonaste o no iniciaste la cursada</t>
  </si>
  <si>
    <t>¿Cuál problema? Seleccioná sólo una</t>
  </si>
  <si>
    <t>¿Cuál?</t>
  </si>
  <si>
    <t>Indicá el momento en que interrumpiste la cursada:</t>
  </si>
  <si>
    <t>¿Tus comentarios sobre el/la docente?</t>
  </si>
  <si>
    <t>1.1 Al inicio de la cursada el/la docente presentó y explicó claramente el programa de la materia (detalló objetivos, contenidos, cronograma, formas de trabajo y evaluación).</t>
  </si>
  <si>
    <t>1.2 Hubo coherencia entre lo programado y el desarrollo de la materia.</t>
  </si>
  <si>
    <t>1.3 Todos los contenidos tuvieron el tiempo suficiente para lograr los aprendizajes esperados.</t>
  </si>
  <si>
    <t>1.A ¿Cuál de los contenidos hubiera requerido más tiempo?</t>
  </si>
  <si>
    <t>1.4 El/la docente utilizó el Campus Virtual como herramienta de apoyo de la asignatura.</t>
  </si>
  <si>
    <t>2.1 El/la docente relacionó conceptos con otros aprendidos con anterioridad en la misma materia o en otras materias.</t>
  </si>
  <si>
    <t>2.2 El/la docente usó ejemplos y casos relacionados con la realidad y/o el mundo laboral.</t>
  </si>
  <si>
    <t>2.3 Los recursos y/o bibliografía propuestos me sirvieron para comprender las temáticas de la asignatura.</t>
  </si>
  <si>
    <t>3.1 El/la docente desarrolló los temas con claridad.</t>
  </si>
  <si>
    <t>3.2 El/la docente fomentó la participación en clase</t>
  </si>
  <si>
    <t>3.3 Las tecnologías digitales que usó el docente me facilitaron el aprendizaje (Ejemplo:  videos, recursos web, programas, presentaciones, etc.).</t>
  </si>
  <si>
    <t>3.4 Las actividades propuestas en la clase contribuyeron al aprendizaje  (trabajos prácticos individuales o grupales, visitas, etc.)</t>
  </si>
  <si>
    <t>3.A ¿Qué actividad de las propuestas te aportó más en tu aprendizaje y recomendarías mantener?</t>
  </si>
  <si>
    <t>4 ¿Tuviste instancias de evaluación de los contenidos?</t>
  </si>
  <si>
    <t>4.1 El/la docente comunicó claramente los criterios de evaluación antes de cada evaluación.</t>
  </si>
  <si>
    <t>4.2 La evaluación se correspondió con lo enseñado.</t>
  </si>
  <si>
    <t>4.3 Los instrumentos para evaluar fueron adecuados (multiple choice, examen oral, examen escrito, etc).</t>
  </si>
  <si>
    <t>4.4 Después de las evaluaciones, el/la docente realizó una devolución de los resultados a los/as estudiantes para mejorar los aprendizajes.</t>
  </si>
  <si>
    <t>4.5 El/la docente realizó las devoluciones en un tiempo adecuado.</t>
  </si>
  <si>
    <t>4.A ¿Querés agregar algún comentario sobre las evaluaciones?</t>
  </si>
  <si>
    <t>5.1 El/la docente estableció un ambiente agradable/seguro/de confianza para el aprendizaje.</t>
  </si>
  <si>
    <t>5.2 El/la docente promovió un trato respetuoso entre todas las personas, independientemente de su origen social, género u orientación sexual o política.</t>
  </si>
  <si>
    <t>5.3 El/la docente acogió positivamente las preguntas e inquietudes de los/as estudiantes.</t>
  </si>
  <si>
    <t>5.4 El/la docente generó interés en la materia y ganas de aprender.</t>
  </si>
  <si>
    <t>5.A ¿Querés agregar algún comentario sobre el ambiente para el aprendizaje y/o el vínculo interpersonal?</t>
  </si>
  <si>
    <t>6.1 He aprendido y comprendido los contenidos de esta materia.</t>
  </si>
  <si>
    <t>6.2 La materia contribuyó a confirmar mi elección por la carrera.</t>
  </si>
  <si>
    <t>6.A ¿Qué es para vos lo más importante que aprendiste en esta materia?</t>
  </si>
  <si>
    <t>6.B En general, ¿qué aspectos POSITIVOS destacarías de esta materia?</t>
  </si>
  <si>
    <t>6.C Pensando en futuras ediciones de la materia, ¿qué aspectos considerás que se podrían mejorar? ¿Querés dejar alguna sugerencia para el o la docente?</t>
  </si>
  <si>
    <t>¿Tuviste otro/a docente en esta materia?</t>
  </si>
  <si>
    <t>Apellido y nombre del/de el/la otro/a docente:</t>
  </si>
  <si>
    <t>Tus comentarios sobre el/la otro/a docente:</t>
  </si>
  <si>
    <t>MOTIVOS DE ABANDONO</t>
  </si>
  <si>
    <t>DOCENTE SOBRE EL QUE SE RESPONDE</t>
  </si>
  <si>
    <t>¿Quiénes respondieron la encuesta?</t>
  </si>
  <si>
    <t>Todos/as los/as estudiantes que se inscribieron en alguna materia durante el cuatrimestre anterior (aunque no la hayan cursado finalmente).</t>
  </si>
  <si>
    <t>¿Cuándo la respondieron?</t>
  </si>
  <si>
    <t>Al inscribirse a las materias del cuatrimestre en curso. El sistema SIU Guaraní solicitó completar la encuesta como condición para finalizar la inscripción.</t>
  </si>
  <si>
    <t>¿Qué aspectos evalúa?</t>
  </si>
  <si>
    <t>¿Cómo se elabora la síntesis de resultados?</t>
  </si>
  <si>
    <t>¿Qué encontrará en la hoja "síntesis de resultados"?</t>
  </si>
  <si>
    <t xml:space="preserve">Con las respuestas brindadas por los/as estudiantes se realizan tres cálculos:
▪️Valoración por pregunta: es el promedio de todas las respuestas que recibió cada pregunta.
▪️Valoración por dimensión: es el promedio de todas las respuestas que obtuvieron las preguntas de cada dimensión.
▪️Valoración global: es el promedio de las 6 dimensiones evaluadas. </t>
  </si>
  <si>
    <t>VALORACIÓN GLOBAL</t>
  </si>
  <si>
    <t>Docentes (SIU Guaraní)</t>
  </si>
  <si>
    <t>1-Finalicé la cursada (hayas aprobado o no)</t>
  </si>
  <si>
    <t>3-Abandoné con menos del 50% cursado / No inicié la cursada</t>
  </si>
  <si>
    <t>2-Abandoné con más del 50% cursado</t>
  </si>
  <si>
    <t>¿Qué encontrará en este archivo?</t>
  </si>
  <si>
    <t xml:space="preserve">▪️Una síntesis de resultados
▪️La base de datos con las respuestas de los/as estudiantes 
</t>
  </si>
  <si>
    <t>(Varios elementos)</t>
  </si>
  <si>
    <t>1.1</t>
  </si>
  <si>
    <t>1.2</t>
  </si>
  <si>
    <t>1.3</t>
  </si>
  <si>
    <t>1.4</t>
  </si>
  <si>
    <t>2.1</t>
  </si>
  <si>
    <t>2.2</t>
  </si>
  <si>
    <t>2.3</t>
  </si>
  <si>
    <t>3.1</t>
  </si>
  <si>
    <t>3.2</t>
  </si>
  <si>
    <t>3.3</t>
  </si>
  <si>
    <t>3.4</t>
  </si>
  <si>
    <t>4.1</t>
  </si>
  <si>
    <t>4.2</t>
  </si>
  <si>
    <t>4.3</t>
  </si>
  <si>
    <t>4.4</t>
  </si>
  <si>
    <t>4.5</t>
  </si>
  <si>
    <t>5.1</t>
  </si>
  <si>
    <t>5.2</t>
  </si>
  <si>
    <t>5.3</t>
  </si>
  <si>
    <t>5.4</t>
  </si>
  <si>
    <t>6.1</t>
  </si>
  <si>
    <t>6.2</t>
  </si>
  <si>
    <t>Valores</t>
  </si>
  <si>
    <t>Etiquetas de fila</t>
  </si>
  <si>
    <t>Apellido y nombre del/de la docente:</t>
  </si>
  <si>
    <t>Cuenta de ID Encuesta</t>
  </si>
  <si>
    <t>Total</t>
  </si>
  <si>
    <t>Docente</t>
  </si>
  <si>
    <t>La encuesta aborda seis dimensiones relacionadas con el/la docente principal de la comisión*:
1- La planificación y la organización de la materia.
2- Los contenidos.
3- Las clases y las actividades.
4- La evaluación.
5- El ambiente de aprendizaje y el vínculo interpersonal.
6- Balance general.
Además, a quienes abandonaron la materia se les consulta el motivo de abandono.
*Cada estudiante indica, en una pregunta abierta, sobre qué docente responde la encuesta. Por lo tanto, dentro de una misma comisión, esta información puede variar según la percepción de cada estudiante.
Cada pregunta de las dimensiones admite una respuesta de 1 a 5 según el grado de acuerdo:
1- Nada de acuerdo
2- Poco de acuerdo
3- Medianamente de acuerdo
4- De acuerdo
5- Muy de acuerdo</t>
  </si>
  <si>
    <t>MATERIA:</t>
  </si>
  <si>
    <t>CANTIDAD DE INSCRIPTOS/AS:</t>
  </si>
  <si>
    <t>TASA DE RESPUESTA:</t>
  </si>
  <si>
    <t>ENCUESTAS RESPONDIDAS:</t>
  </si>
  <si>
    <t>DOCENTES (SIU Guaraní):</t>
  </si>
  <si>
    <t>DOCENTE (sobre el/la que responde el estudiante)*:</t>
  </si>
  <si>
    <t>*Cada estudiante indica en la encuesta el nombre del docente sobre el que responde. Por ende, dentro de una misma comisión pueden aparecer respuestas sobre más de un docente, y su nombre puede estar escrito de diversas formas. Seleccione todas las veces que figure en la lista el nombre del docente sobre el cual quiere ver los resultados.</t>
  </si>
  <si>
    <t>COMISIÓN:</t>
  </si>
  <si>
    <t>Rango Grafico</t>
  </si>
  <si>
    <t>Rango</t>
  </si>
  <si>
    <t>4-La materia no se dictó</t>
  </si>
  <si>
    <t>(en blanco)</t>
  </si>
  <si>
    <t>BAEZ RODRIGO ADRIAN // MONAYER LEILA</t>
  </si>
  <si>
    <t>(MA-PRO0718) - FORMULACION Y EVALUACION DE PROYECTOS</t>
  </si>
  <si>
    <t>(63039) - 718M</t>
  </si>
  <si>
    <t>1</t>
  </si>
  <si>
    <t>100%</t>
  </si>
  <si>
    <r>
      <t xml:space="preserve">Información que permitirá identificar fortalezas y aspectos que pueden mejorarse
▪️La valoración global de la comisión.
▪️La valoración promedio de cada dimensión.
▪️El detalle de la valoración por cada pregunta.
Para facilitar la lectura se utiliza un sistema de colores:
</t>
    </r>
    <r>
      <rPr>
        <b/>
        <sz val="11"/>
        <color rgb="FFA1A1A1"/>
        <rFont val="Calibri"/>
        <family val="2"/>
      </rPr>
      <t>GRIS</t>
    </r>
    <r>
      <rPr>
        <sz val="11"/>
        <color rgb="FFA8A9AD"/>
        <rFont val="Calibri"/>
        <family val="2"/>
      </rPr>
      <t xml:space="preserve">: </t>
    </r>
    <r>
      <rPr>
        <sz val="11"/>
        <color theme="1"/>
        <rFont val="Calibri"/>
        <family val="2"/>
      </rPr>
      <t xml:space="preserve">1 a 3,4
</t>
    </r>
    <r>
      <rPr>
        <b/>
        <sz val="11"/>
        <color rgb="FF686561"/>
        <rFont val="Calibri"/>
        <family val="2"/>
      </rPr>
      <t>GRIS OSCURO</t>
    </r>
    <r>
      <rPr>
        <sz val="11"/>
        <color theme="1"/>
        <rFont val="Calibri"/>
        <family val="2"/>
      </rPr>
      <t xml:space="preserve">: 3,5 a 3,9
</t>
    </r>
    <r>
      <rPr>
        <b/>
        <sz val="11"/>
        <color rgb="FF5581A7"/>
        <rFont val="Calibri"/>
        <family val="2"/>
      </rPr>
      <t>CELESTE</t>
    </r>
    <r>
      <rPr>
        <sz val="11"/>
        <color theme="1"/>
        <rFont val="Calibri"/>
        <family val="2"/>
      </rPr>
      <t xml:space="preserve">: 4 a 4,4
</t>
    </r>
    <r>
      <rPr>
        <b/>
        <sz val="11"/>
        <color rgb="FF265D8E"/>
        <rFont val="Calibri"/>
        <family val="2"/>
      </rPr>
      <t>AZUL</t>
    </r>
    <r>
      <rPr>
        <sz val="11"/>
        <color theme="1"/>
        <rFont val="Calibri"/>
        <family val="2"/>
      </rPr>
      <t>: 4,5 a 5</t>
    </r>
  </si>
  <si>
    <r>
      <rPr>
        <b/>
        <sz val="10"/>
        <color rgb="FF000000"/>
        <rFont val="Arial"/>
        <family val="2"/>
        <scheme val="minor"/>
      </rPr>
      <t>Fuente:</t>
    </r>
    <r>
      <rPr>
        <sz val="10"/>
        <color rgb="FF000000"/>
        <rFont val="Arial"/>
        <family val="2"/>
        <scheme val="minor"/>
      </rPr>
      <t xml:space="preserve"> SIU Kolla - Dirección General de Información y Transparencia Institucional - Secretaría General</t>
    </r>
  </si>
  <si>
    <t>2025</t>
  </si>
  <si>
    <t>2do cuatrimestre</t>
  </si>
  <si>
    <t>Escuela Interdisciplinaria de Altos Estudios Sociales</t>
  </si>
  <si>
    <t>MA-GN00209</t>
  </si>
  <si>
    <t>Laboratorio de Datos: webscraping y procesamiento de lenguaje natural</t>
  </si>
  <si>
    <t>82009</t>
  </si>
  <si>
    <t>Laboratorio de Datos tn Rosati</t>
  </si>
  <si>
    <t>ROSATI GERMAN FEDERICO (6114)</t>
  </si>
  <si>
    <t>Licenciatura en Sociología</t>
  </si>
  <si>
    <t>No corresponde</t>
  </si>
  <si>
    <t>Rosati Germán</t>
  </si>
  <si>
    <t>Sin respuesta</t>
  </si>
  <si>
    <t>5-Muy de acuerdo</t>
  </si>
  <si>
    <t>1-Nada de acuerdo</t>
  </si>
  <si>
    <t>1-Sí</t>
  </si>
  <si>
    <t>2-No</t>
  </si>
  <si>
    <t>Rosati, Germán</t>
  </si>
  <si>
    <t>Nos aguantó 2 años</t>
  </si>
  <si>
    <t>Todas</t>
  </si>
  <si>
    <t>No</t>
  </si>
  <si>
    <t>La verdad que fue todo muy bueno</t>
  </si>
  <si>
    <t>Siento que, en términos metodológicos, es una base que solidificó todo lo visto en las otras materias.</t>
  </si>
  <si>
    <t>La posibilidad de pensar las ciencias sociales de otra manera, lo que también implica profundizar más en lo antes visto</t>
  </si>
  <si>
    <t xml:space="preserve">Tener adscriptos todos los cuatris. Sé que es casi utópico, súper difícil de lograr, pero cuando Santi fue adscripto fue una ayuda muy sustantiva. </t>
  </si>
  <si>
    <t>german rosati</t>
  </si>
  <si>
    <t>muy buen docente</t>
  </si>
  <si>
    <t xml:space="preserve">estan muy bien pensados los trabajos finales integradores y alguna actividad intermedia siempre ayuda </t>
  </si>
  <si>
    <t>muy de acuerdo</t>
  </si>
  <si>
    <t>no</t>
  </si>
  <si>
    <t>4</t>
  </si>
  <si>
    <t>la verdad que todo el contenido me pareció importante</t>
  </si>
  <si>
    <t>es la posibilidad de conocer caminos dentro de la sociologia</t>
  </si>
  <si>
    <t>creo que nada</t>
  </si>
  <si>
    <t>Licenciatura en Trabajo Social</t>
  </si>
  <si>
    <t>German Rosati</t>
  </si>
  <si>
    <t>Excelente</t>
  </si>
  <si>
    <t>Germán Rosatti</t>
  </si>
  <si>
    <t>Excelente docente siempre puntual, cumplió con todos los puntos del programa, siempre dispuesto a explicar la cantidad de veces necesarias para que podamos entender.</t>
  </si>
  <si>
    <t>el trabajo en grupo, y sostener el mismo grupo a lo largo de todo los modulos</t>
  </si>
  <si>
    <t>nos brinda herramientas super actualizadas para intentar entender el funcionamiento de la inteligencia artificial, y el procesamiento de datos .</t>
  </si>
  <si>
    <t>está muy enfocada al procesamiento de datos y las metodologías cuantitativas, algo que se ve muy poco en la carrera. Se vuelve fundamental para quienes quieran profundizar en ese campo</t>
  </si>
  <si>
    <t>de 10</t>
  </si>
  <si>
    <t>Muy buen docente. Muy comprometido con la educación</t>
  </si>
  <si>
    <t>Todo muy bien</t>
  </si>
  <si>
    <t>Licenciatura en Antropología Social y Cultural</t>
  </si>
  <si>
    <t>Germán Rosati</t>
  </si>
  <si>
    <t>las presentaciones de avances por equipo</t>
  </si>
  <si>
    <t>A analizar críticamente</t>
  </si>
  <si>
    <t>Permite pensar las Ciencias Sociales desde perspectivas computacionales</t>
  </si>
  <si>
    <t>Todo excelente sobre el docente.     ***PARA LA INSTITUCIÓN: sería bueno que las computadoras del laboratorio y el proyector tuvieran mantenimiento sostenido porque es muy difícil el trabajo en el aula con computadoras que no funcionan, que se cuelgan, etc. No todxs lxs estudiantes tienen posibilidad de llevar su propia computadora al campus. Y además es una pena que teniendo un laboratorio tan lindo no pueda ser aprovechado. ****</t>
  </si>
  <si>
    <t>(MA-GN00209) - Laboratorio de Datos: webscraping y procesamiento de lenguaje natural</t>
  </si>
  <si>
    <t>(82009) - Laboratorio de Datos tn Rosati</t>
  </si>
  <si>
    <t>11</t>
  </si>
  <si>
    <t>9</t>
  </si>
  <si>
    <t>82%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</si>
</sst>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5">
    <font>
      <sz val="10"/>
      <color rgb="FF000000"/>
      <name val="Arial"/>
      <scheme val="minor"/>
    </font>
    <font>
      <sz val="10"/>
      <color rgb="FF000000"/>
      <name val="Arial"/>
      <family val="2"/>
      <scheme val="minor"/>
    </font>
    <font>
      <sz val="10"/>
      <color theme="1"/>
      <name val="Arial"/>
      <family val="2"/>
      <scheme val="minor"/>
    </font>
    <font>
      <b/>
      <sz val="10"/>
      <color rgb="FF000000"/>
      <name val="Arial"/>
      <family val="2"/>
      <scheme val="minor"/>
    </font>
    <font>
      <sz val="10"/>
      <color theme="1"/>
      <name val="Saira UNSAM"/>
      <family val="3"/>
    </font>
    <font>
      <sz val="22"/>
      <color rgb="FF000000"/>
      <name val="Saira UNSAM Medium"/>
      <family val="3"/>
    </font>
    <font>
      <sz val="11"/>
      <color rgb="FF000000"/>
      <name val="Saira UNSAM"/>
      <family val="3"/>
    </font>
    <font>
      <sz val="11"/>
      <color rgb="FF000000"/>
      <name val="Calibri"/>
      <family val="2"/>
    </font>
    <font>
      <sz val="10"/>
      <color rgb="FF000000"/>
      <name val="Calibri"/>
      <family val="2"/>
    </font>
    <font>
      <b/>
      <sz val="11"/>
      <color rgb="FF000000"/>
      <name val="Calibri"/>
      <family val="2"/>
    </font>
    <font>
      <sz val="10"/>
      <color theme="1"/>
      <name val="Calibri"/>
      <family val="2"/>
    </font>
    <font>
      <sz val="11"/>
      <color theme="1"/>
      <name val="Calibri"/>
      <family val="2"/>
    </font>
    <font>
      <b/>
      <sz val="11"/>
      <color theme="0"/>
      <name val="Arial"/>
      <family val="2"/>
      <scheme val="minor"/>
    </font>
    <font>
      <b/>
      <sz val="12"/>
      <color theme="1"/>
      <name val="Calibri"/>
      <family val="2"/>
    </font>
    <font>
      <b/>
      <sz val="12"/>
      <color rgb="FF073763"/>
      <name val="Calibri"/>
      <family val="2"/>
    </font>
    <font>
      <sz val="11"/>
      <color rgb="FFA8A9AD"/>
      <name val="Calibri"/>
      <family val="2"/>
    </font>
    <font>
      <b/>
      <sz val="11"/>
      <color rgb="FF265D8E"/>
      <name val="Calibri"/>
      <family val="2"/>
    </font>
    <font>
      <u/>
      <sz val="10"/>
      <color theme="10"/>
      <name val="Arial"/>
      <family val="2"/>
      <scheme val="minor"/>
    </font>
    <font>
      <b/>
      <sz val="12"/>
      <color rgb="FF000000"/>
      <name val="Calibri"/>
      <family val="2"/>
    </font>
    <font>
      <sz val="12"/>
      <color rgb="FF000000"/>
      <name val="Calibri"/>
      <family val="2"/>
    </font>
    <font>
      <b/>
      <sz val="14"/>
      <color rgb="FF000000"/>
      <name val="Calibri"/>
      <family val="2"/>
    </font>
    <font>
      <b/>
      <sz val="11"/>
      <color rgb="FFA1A1A1"/>
      <name val="Calibri"/>
      <family val="2"/>
    </font>
    <font>
      <b/>
      <sz val="11"/>
      <color rgb="FF5581A7"/>
      <name val="Calibri"/>
      <family val="2"/>
    </font>
    <font>
      <b/>
      <sz val="11"/>
      <color rgb="FF686561"/>
      <name val="Calibri"/>
      <family val="2"/>
    </font>
    <font>
      <b/>
      <sz val="12"/>
      <color rgb="FF000000"/>
      <name val="Arial"/>
      <family val="2"/>
      <scheme val="minor"/>
    </font>
  </fonts>
  <fills count="7">
    <fill>
      <patternFill patternType="none"/>
    </fill>
    <fill>
      <patternFill patternType="gray125"/>
    </fill>
    <fill>
      <patternFill patternType="solid">
        <fgColor rgb="FFFFFFFF"/>
        <bgColor rgb="FFFFFFFF"/>
      </patternFill>
    </fill>
    <fill>
      <patternFill patternType="solid">
        <fgColor rgb="FF073763"/>
        <bgColor indexed="64"/>
      </patternFill>
    </fill>
    <fill>
      <patternFill patternType="solid">
        <fgColor rgb="FF0D62AF"/>
        <bgColor indexed="64"/>
      </patternFill>
    </fill>
    <fill>
      <patternFill patternType="solid">
        <fgColor theme="0" tint="-4.9989318521683403E-2"/>
        <bgColor indexed="64"/>
      </patternFill>
    </fill>
    <fill>
      <patternFill patternType="solid">
        <fgColor theme="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right/>
      <top style="medium">
        <color indexed="64"/>
      </top>
      <bottom/>
      <diagonal/>
    </border>
    <border>
      <left style="thin">
        <color indexed="64"/>
      </left>
      <right style="thin">
        <color indexed="64"/>
      </right>
      <top style="thin">
        <color indexed="64"/>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right/>
      <top style="thin">
        <color rgb="FFABABAB"/>
      </top>
      <bottom/>
      <diagonal/>
    </border>
    <border>
      <left/>
      <right style="thin">
        <color rgb="FFABABAB"/>
      </right>
      <top style="thin">
        <color rgb="FFABABAB"/>
      </top>
      <bottom/>
      <diagonal/>
    </border>
    <border>
      <left style="thin">
        <color rgb="FFABABAB"/>
      </left>
      <right/>
      <top style="thin">
        <color rgb="FFABABAB"/>
      </top>
      <bottom style="thin">
        <color rgb="FFABABAB"/>
      </bottom>
      <diagonal/>
    </border>
    <border>
      <left/>
      <right/>
      <top style="thin">
        <color rgb="FFABABAB"/>
      </top>
      <bottom style="thin">
        <color rgb="FFABABAB"/>
      </bottom>
      <diagonal/>
    </border>
    <border>
      <left/>
      <right style="thin">
        <color rgb="FFABABAB"/>
      </right>
      <top style="thin">
        <color rgb="FFABABAB"/>
      </top>
      <bottom style="thin">
        <color rgb="FFABABAB"/>
      </bottom>
      <diagonal/>
    </border>
    <border>
      <left style="thin">
        <color rgb="FFABABAB"/>
      </left>
      <right style="thin">
        <color rgb="FFABABAB"/>
      </right>
      <top style="thin">
        <color rgb="FFABABAB"/>
      </top>
      <bottom style="thin">
        <color rgb="FFABABAB"/>
      </bottom>
      <diagonal/>
    </border>
    <border>
      <left style="thin">
        <color rgb="FFABABAB"/>
      </left>
      <right style="thin">
        <color rgb="FFABABAB"/>
      </right>
      <top style="thin">
        <color rgb="FFABABAB"/>
      </top>
      <bottom/>
      <diagonal/>
    </border>
  </borders>
  <cellStyleXfs count="2">
    <xf numFmtId="0" fontId="0" fillId="0" borderId="0"/>
    <xf numFmtId="0" fontId="17" fillId="0" borderId="0" applyNumberFormat="0" applyFill="0" applyBorder="0" applyAlignment="0" applyProtection="0"/>
  </cellStyleXfs>
  <cellXfs count="73">
    <xf numFmtId="0" fontId="0" fillId="0" borderId="0" xfId="0"/>
    <xf numFmtId="0" fontId="2" fillId="0" borderId="0" xfId="0" applyFont="1" applyAlignment="1">
      <alignment wrapText="1"/>
    </xf>
    <xf numFmtId="164" fontId="2" fillId="0" borderId="0" xfId="0" applyNumberFormat="1" applyFont="1" applyAlignment="1">
      <alignment horizontal="center"/>
    </xf>
    <xf numFmtId="164" fontId="2" fillId="0" borderId="0" xfId="0" applyNumberFormat="1" applyFont="1"/>
    <xf numFmtId="0" fontId="2" fillId="0" borderId="0" xfId="0" applyFont="1" applyAlignment="1">
      <alignment horizontal="center"/>
    </xf>
    <xf numFmtId="0" fontId="1" fillId="0" borderId="0" xfId="0" applyFont="1"/>
    <xf numFmtId="0" fontId="5" fillId="0" borderId="0" xfId="0" applyFont="1"/>
    <xf numFmtId="0" fontId="6" fillId="0" borderId="0" xfId="0" applyFont="1" applyAlignment="1">
      <alignment vertical="top"/>
    </xf>
    <xf numFmtId="0" fontId="4" fillId="0" borderId="0" xfId="0" applyFont="1" applyAlignment="1">
      <alignment vertical="top" wrapText="1"/>
    </xf>
    <xf numFmtId="0" fontId="7" fillId="0" borderId="0" xfId="0" applyFont="1" applyAlignment="1">
      <alignment vertical="top" wrapText="1"/>
    </xf>
    <xf numFmtId="0" fontId="8" fillId="0" borderId="0" xfId="0" applyFont="1"/>
    <xf numFmtId="0" fontId="11" fillId="0" borderId="0" xfId="0" applyFont="1" applyAlignment="1">
      <alignment vertical="top" wrapText="1"/>
    </xf>
    <xf numFmtId="0" fontId="12" fillId="3" borderId="1" xfId="0" applyFont="1" applyFill="1" applyBorder="1" applyAlignment="1">
      <alignment horizontal="center" vertical="center" wrapText="1"/>
    </xf>
    <xf numFmtId="0" fontId="8" fillId="2" borderId="0" xfId="0" applyFont="1" applyFill="1" applyAlignment="1">
      <alignment horizontal="left" vertical="center" wrapText="1"/>
    </xf>
    <xf numFmtId="0" fontId="9" fillId="0" borderId="0" xfId="0" applyFont="1" applyAlignment="1">
      <alignment horizontal="left" vertical="center" wrapText="1"/>
    </xf>
    <xf numFmtId="0" fontId="9" fillId="2" borderId="0" xfId="0" applyFont="1" applyFill="1" applyAlignment="1">
      <alignment horizontal="left" vertical="center" wrapText="1"/>
    </xf>
    <xf numFmtId="0" fontId="9" fillId="2" borderId="5" xfId="0" applyFont="1" applyFill="1" applyBorder="1" applyAlignment="1">
      <alignment horizontal="left" vertical="center" wrapText="1"/>
    </xf>
    <xf numFmtId="0" fontId="9" fillId="2" borderId="5" xfId="0" applyFont="1" applyFill="1" applyBorder="1" applyAlignment="1">
      <alignment horizontal="left" vertical="center"/>
    </xf>
    <xf numFmtId="0" fontId="12" fillId="4" borderId="1" xfId="0" applyFont="1" applyFill="1" applyBorder="1" applyAlignment="1">
      <alignment horizontal="center" vertical="center" wrapText="1"/>
    </xf>
    <xf numFmtId="0" fontId="3" fillId="0" borderId="0" xfId="0" applyFont="1" applyAlignment="1">
      <alignment vertical="center"/>
    </xf>
    <xf numFmtId="0" fontId="7" fillId="0" borderId="0" xfId="0" applyFont="1"/>
    <xf numFmtId="164" fontId="11" fillId="0" borderId="0" xfId="0" applyNumberFormat="1" applyFont="1" applyAlignment="1">
      <alignment horizontal="center"/>
    </xf>
    <xf numFmtId="0" fontId="14" fillId="0" borderId="0" xfId="0" applyFont="1"/>
    <xf numFmtId="0" fontId="7" fillId="0" borderId="6" xfId="0" applyFont="1" applyBorder="1" applyAlignment="1">
      <alignment vertical="top" wrapText="1"/>
    </xf>
    <xf numFmtId="0" fontId="11" fillId="0" borderId="6" xfId="0" applyFont="1" applyBorder="1" applyAlignment="1">
      <alignment vertical="top" wrapText="1"/>
    </xf>
    <xf numFmtId="0" fontId="11" fillId="0" borderId="6" xfId="0" applyFont="1" applyBorder="1" applyAlignment="1">
      <alignment wrapText="1"/>
    </xf>
    <xf numFmtId="0" fontId="9" fillId="6" borderId="0" xfId="0" applyFont="1" applyFill="1" applyAlignment="1">
      <alignment horizontal="left" vertical="center"/>
    </xf>
    <xf numFmtId="1" fontId="0" fillId="0" borderId="0" xfId="0" applyNumberFormat="1"/>
    <xf numFmtId="2" fontId="0" fillId="0" borderId="0" xfId="0" applyNumberFormat="1"/>
    <xf numFmtId="0" fontId="8" fillId="2" borderId="0" xfId="0" applyFont="1" applyFill="1" applyAlignment="1">
      <alignment horizontal="left" vertical="top" wrapText="1"/>
    </xf>
    <xf numFmtId="0" fontId="9" fillId="2" borderId="0" xfId="0" applyFont="1" applyFill="1" applyAlignment="1">
      <alignment horizontal="left" vertical="center"/>
    </xf>
    <xf numFmtId="0" fontId="17" fillId="0" borderId="0" xfId="1"/>
    <xf numFmtId="0" fontId="1" fillId="6" borderId="0" xfId="0" applyFont="1" applyFill="1"/>
    <xf numFmtId="0" fontId="1" fillId="0" borderId="0" xfId="0" applyFont="1" applyAlignment="1">
      <alignment wrapText="1"/>
    </xf>
    <xf numFmtId="0" fontId="18" fillId="5" borderId="0" xfId="0" applyFont="1" applyFill="1" applyAlignment="1">
      <alignment horizontal="left" vertical="center" wrapText="1"/>
    </xf>
    <xf numFmtId="0" fontId="18" fillId="5" borderId="0" xfId="0" applyFont="1" applyFill="1" applyAlignment="1">
      <alignment horizontal="left" vertical="center"/>
    </xf>
    <xf numFmtId="0" fontId="19" fillId="0" borderId="0" xfId="0" applyFont="1" applyAlignment="1">
      <alignment horizontal="left"/>
    </xf>
    <xf numFmtId="0" fontId="20" fillId="5" borderId="0" xfId="0" applyFont="1" applyFill="1" applyAlignment="1">
      <alignment horizontal="left" vertical="center" wrapText="1"/>
    </xf>
    <xf numFmtId="0" fontId="12" fillId="3" borderId="7" xfId="0" applyFont="1" applyFill="1" applyBorder="1" applyAlignment="1">
      <alignment horizontal="center" vertical="center" wrapText="1"/>
    </xf>
    <xf numFmtId="0" fontId="12" fillId="4" borderId="7" xfId="0" applyFont="1" applyFill="1" applyBorder="1" applyAlignment="1">
      <alignment horizontal="center" vertical="center" wrapText="1"/>
    </xf>
    <xf numFmtId="0" fontId="0" fillId="0" borderId="0" xfId="0" applyAlignment="1">
      <alignment wrapText="1"/>
    </xf>
    <xf numFmtId="164" fontId="13" fillId="0" borderId="5" xfId="0" applyNumberFormat="1" applyFont="1" applyBorder="1" applyAlignment="1">
      <alignment horizontal="center" vertical="center"/>
    </xf>
    <xf numFmtId="1" fontId="1" fillId="0" borderId="0" xfId="0" applyNumberFormat="1" applyFont="1"/>
    <xf numFmtId="0" fontId="0" fillId="0" borderId="8" xfId="0" applyBorder="1"/>
    <xf numFmtId="0" fontId="0" fillId="0" borderId="8" xfId="0" pivotButton="1"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164" fontId="0" fillId="0" borderId="14" xfId="0" applyNumberFormat="1" applyBorder="1"/>
    <xf numFmtId="164" fontId="0" fillId="0" borderId="15" xfId="0" applyNumberFormat="1" applyBorder="1"/>
    <xf numFmtId="1" fontId="0" fillId="0" borderId="15" xfId="0" applyNumberFormat="1" applyBorder="1"/>
    <xf numFmtId="164" fontId="0" fillId="0" borderId="16" xfId="0" applyNumberFormat="1" applyBorder="1"/>
    <xf numFmtId="0" fontId="0" fillId="0" borderId="17" xfId="0" pivotButton="1" applyBorder="1"/>
    <xf numFmtId="0" fontId="0" fillId="0" borderId="17" xfId="0" applyBorder="1"/>
    <xf numFmtId="0" fontId="0" fillId="0" borderId="18" xfId="0" applyBorder="1"/>
    <xf numFmtId="0" fontId="0" fillId="0" borderId="14" xfId="0" applyBorder="1" applyAlignment="1">
      <alignment horizontal="left"/>
    </xf>
    <xf numFmtId="164" fontId="24" fillId="0" borderId="5" xfId="0" applyNumberFormat="1" applyFont="1" applyBorder="1" applyAlignment="1">
      <alignment horizontal="center" vertical="center"/>
    </xf>
    <xf numFmtId="164" fontId="10" fillId="0" borderId="0" xfId="0" applyNumberFormat="1" applyFont="1" applyAlignment="1">
      <alignment horizontal="center" vertical="center"/>
    </xf>
    <xf numFmtId="164" fontId="0" fillId="0" borderId="0" xfId="0" applyNumberFormat="1"/>
    <xf numFmtId="0" fontId="11" fillId="0" borderId="0" xfId="0" applyFont="1" applyAlignment="1">
      <alignment horizontal="left" vertical="top" wrapText="1"/>
    </xf>
    <xf numFmtId="0" fontId="1" fillId="0" borderId="0" xfId="0" applyFont="1" applyAlignment="1">
      <alignment horizontal="left" vertical="center" wrapText="1"/>
    </xf>
    <xf numFmtId="0" fontId="3" fillId="0" borderId="3" xfId="0" applyFont="1" applyBorder="1" applyAlignment="1">
      <alignment horizontal="center"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3" fillId="0" borderId="1" xfId="0" applyFont="1" applyBorder="1" applyAlignment="1">
      <alignment horizontal="center" vertical="center"/>
    </xf>
    <xf numFmtId="0" fontId="3" fillId="0" borderId="0" xfId="0" applyFont="1" applyAlignment="1">
      <alignment horizontal="center" vertical="center"/>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2" xfId="0" applyFont="1" applyBorder="1" applyAlignment="1">
      <alignment horizontal="center" vertical="center" wrapText="1"/>
    </xf>
    <xf numFmtId="0" fontId="0" fillId="0" borderId="17" xfId="0" applyNumberFormat="1" applyBorder="1"/>
  </cellXfs>
  <cellStyles count="2">
    <cellStyle name="Hipervínculo" xfId="1" builtinId="8"/>
    <cellStyle name="Normal" xfId="0" builtinId="0"/>
  </cellStyles>
  <dxfs count="29">
    <dxf>
      <numFmt numFmtId="1" formatCode="0"/>
    </dxf>
    <dxf>
      <numFmt numFmtId="164" formatCode="0.0"/>
    </dxf>
    <dxf>
      <numFmt numFmtId="164" formatCode="0.0"/>
    </dxf>
    <dxf>
      <numFmt numFmtId="164" formatCode="0.0"/>
    </dxf>
    <dxf>
      <numFmt numFmtId="1" formatCode="0"/>
    </dxf>
    <dxf>
      <fill>
        <patternFill>
          <bgColor rgb="FF265D8E"/>
        </patternFill>
      </fill>
    </dxf>
    <dxf>
      <fill>
        <patternFill>
          <bgColor rgb="FF96B4D3"/>
        </patternFill>
      </fill>
    </dxf>
    <dxf>
      <fill>
        <patternFill>
          <bgColor rgb="FF686561"/>
        </patternFill>
      </fill>
    </dxf>
    <dxf>
      <fill>
        <patternFill>
          <bgColor rgb="FFA1A1A1"/>
        </patternFill>
      </fill>
    </dxf>
    <dxf>
      <fill>
        <patternFill>
          <bgColor theme="1" tint="0.34998626667073579"/>
        </patternFill>
      </fill>
    </dxf>
    <dxf>
      <numFmt numFmtId="1" formatCode="0"/>
    </dxf>
    <dxf>
      <numFmt numFmtId="164" formatCode="0.0"/>
    </dxf>
    <dxf>
      <numFmt numFmtId="164" formatCode="0.0"/>
    </dxf>
    <dxf>
      <numFmt numFmtId="164" formatCode="0.0"/>
    </dxf>
    <dxf>
      <numFmt numFmtId="1" formatCode="0"/>
    </dxf>
    <dxf>
      <font>
        <sz val="10"/>
      </font>
      <border diagonalUp="0" diagonalDown="0">
        <left/>
        <right/>
        <top/>
        <bottom/>
        <vertical/>
        <horizontal/>
      </border>
    </dxf>
    <dxf>
      <font>
        <sz val="11"/>
        <name val="Calibri"/>
        <family val="2"/>
        <scheme val="none"/>
      </font>
      <border diagonalUp="0" diagonalDown="0">
        <left/>
        <right/>
        <top/>
        <bottom/>
        <vertical/>
        <horizontal/>
      </border>
    </dxf>
    <dxf>
      <fill>
        <patternFill patternType="solid">
          <fgColor rgb="FFB4C6E7"/>
          <bgColor rgb="FFB4C6E7"/>
        </patternFill>
      </fill>
    </dxf>
    <dxf>
      <fill>
        <patternFill patternType="solid">
          <fgColor rgb="FFD9E2F3"/>
          <bgColor rgb="FFD9E2F3"/>
        </patternFill>
      </fill>
    </dxf>
    <dxf>
      <fill>
        <patternFill patternType="solid">
          <fgColor theme="4"/>
          <bgColor theme="4"/>
        </patternFill>
      </fill>
    </dxf>
    <dxf>
      <fill>
        <patternFill patternType="solid">
          <fgColor rgb="FFB4C6E7"/>
          <bgColor rgb="FFB4C6E7"/>
        </patternFill>
      </fill>
    </dxf>
    <dxf>
      <fill>
        <patternFill patternType="solid">
          <fgColor rgb="FFD9E2F3"/>
          <bgColor rgb="FFD9E2F3"/>
        </patternFill>
      </fill>
    </dxf>
    <dxf>
      <fill>
        <patternFill patternType="solid">
          <fgColor theme="4"/>
          <bgColor theme="4"/>
        </patternFill>
      </fill>
    </dxf>
    <dxf>
      <fill>
        <patternFill patternType="solid">
          <fgColor rgb="FFB4C6E7"/>
          <bgColor rgb="FFB4C6E7"/>
        </patternFill>
      </fill>
    </dxf>
    <dxf>
      <fill>
        <patternFill patternType="solid">
          <fgColor rgb="FFD9E2F3"/>
          <bgColor rgb="FFD9E2F3"/>
        </patternFill>
      </fill>
    </dxf>
    <dxf>
      <fill>
        <patternFill patternType="solid">
          <fgColor theme="4"/>
          <bgColor theme="4"/>
        </patternFill>
      </fill>
    </dxf>
    <dxf>
      <fill>
        <patternFill patternType="solid">
          <fgColor rgb="FFB4C6E7"/>
          <bgColor rgb="FFB4C6E7"/>
        </patternFill>
      </fill>
    </dxf>
    <dxf>
      <fill>
        <patternFill patternType="solid">
          <fgColor rgb="FFD9E2F3"/>
          <bgColor rgb="FFD9E2F3"/>
        </patternFill>
      </fill>
    </dxf>
    <dxf>
      <fill>
        <patternFill patternType="solid">
          <fgColor theme="4"/>
          <bgColor theme="4"/>
        </patternFill>
      </fill>
    </dxf>
  </dxfs>
  <tableStyles count="5">
    <tableStyle name="Docentes-style" pivot="0" count="3" xr9:uid="{00000000-0011-0000-FFFF-FFFF00000000}">
      <tableStyleElement type="headerRow" dxfId="28"/>
      <tableStyleElement type="firstRowStripe" dxfId="27"/>
      <tableStyleElement type="secondRowStripe" dxfId="26"/>
    </tableStyle>
    <tableStyle name="Docentes-style 2" pivot="0" count="3" xr9:uid="{00000000-0011-0000-FFFF-FFFF01000000}">
      <tableStyleElement type="headerRow" dxfId="25"/>
      <tableStyleElement type="firstRowStripe" dxfId="24"/>
      <tableStyleElement type="secondRowStripe" dxfId="23"/>
    </tableStyle>
    <tableStyle name="Docentes-style 3" pivot="0" count="3" xr9:uid="{00000000-0011-0000-FFFF-FFFF02000000}">
      <tableStyleElement type="headerRow" dxfId="22"/>
      <tableStyleElement type="firstRowStripe" dxfId="21"/>
      <tableStyleElement type="secondRowStripe" dxfId="20"/>
    </tableStyle>
    <tableStyle name="Docentes-style 4" pivot="0" count="3" xr9:uid="{00000000-0011-0000-FFFF-FFFF03000000}">
      <tableStyleElement type="headerRow" dxfId="19"/>
      <tableStyleElement type="firstRowStripe" dxfId="18"/>
      <tableStyleElement type="secondRowStripe" dxfId="17"/>
    </tableStyle>
    <tableStyle name="Estilo de segmentación de datos 1" pivot="0" table="0" count="3" xr9:uid="{35EED2E1-49F9-4039-8CAD-E385EE003960}">
      <tableStyleElement type="wholeTable" dxfId="16"/>
      <tableStyleElement type="headerRow" dxfId="15"/>
    </tableStyle>
  </tableStyles>
  <colors>
    <mruColors>
      <color rgb="FF686561"/>
      <color rgb="FFA1A1A1"/>
      <color rgb="FF5581A7"/>
      <color rgb="FF265D8E"/>
      <color rgb="FF073763"/>
      <color rgb="FFA8A9AD"/>
      <color rgb="FFDDDDDD"/>
      <color rgb="FF96B4D3"/>
      <color rgb="FFB3CEFB"/>
      <color rgb="FF4285F4"/>
    </mruColors>
  </colors>
  <extLst>
    <ext xmlns:x14="http://schemas.microsoft.com/office/spreadsheetml/2009/9/main" uri="{46F421CA-312F-682f-3DD2-61675219B42D}">
      <x14:dxfs count="1">
        <dxf>
          <font>
            <b/>
            <i val="0"/>
            <color theme="0"/>
          </font>
          <fill>
            <patternFill>
              <bgColor rgb="FF265D8E"/>
            </patternFill>
          </fill>
        </dxf>
      </x14:dxfs>
    </ext>
    <ext xmlns:x14="http://schemas.microsoft.com/office/spreadsheetml/2009/9/main" uri="{EB79DEF2-80B8-43e5-95BD-54CBDDF9020C}">
      <x14:slicerStyles defaultSlicerStyle="SlicerStyleLight1">
        <x14:slicerStyle name="Estilo de segmentación de datos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
   <Relationship Id="rId1" Target="worksheets/sheet1.xml"
                 Type="http://schemas.openxmlformats.org/officeDocument/2006/relationships/worksheet"/>
   <Relationship Id="rId10" Target="sharedStrings.xml"
                 Type="http://schemas.openxmlformats.org/officeDocument/2006/relationships/sharedStrings"/>
   <Relationship Id="rId11" Target="calcChain.xml"
                 Type="http://schemas.openxmlformats.org/officeDocument/2006/relationships/calcChain"/>
   <Relationship Id="rId2" Target="worksheets/sheet2.xml"
                 Type="http://schemas.openxmlformats.org/officeDocument/2006/relationships/worksheet"/>
   <Relationship Id="rId3" Target="worksheets/sheet3.xml"
                 Type="http://schemas.openxmlformats.org/officeDocument/2006/relationships/worksheet"/>
   <Relationship Id="rId4" Target="worksheets/sheet4.xml"
                 Type="http://schemas.openxmlformats.org/officeDocument/2006/relationships/worksheet"/>
   <Relationship Id="rId5" Target="worksheets/sheet5.xml"
                 Type="http://schemas.openxmlformats.org/officeDocument/2006/relationships/worksheet"/>
   <Relationship Id="rId6" Target="pivotCache/pivotCacheDefinition1.xml"
                 Type="http://schemas.openxmlformats.org/officeDocument/2006/relationships/pivotCacheDefinition"/>
   <Relationship Id="rId7" Target="slicerCaches/slicerCache1.xml"
                 Type="http://schemas.microsoft.com/office/2007/relationships/slicerCache"/>
   <Relationship Id="rId8" Target="theme/theme1.xml"
                 Type="http://schemas.openxmlformats.org/officeDocument/2006/relationships/theme"/>
   <Relationship Id="rId9" Target="styles.xml"
                 Type="http://schemas.openxmlformats.org/officeDocument/2006/relationships/styles"/>
</Relationships>
</file>

<file path=xl/charts/_rels/chart1.xml.rels><?xml version="1.0" encoding="UTF-8" standalone="yes"?>
<Relationships xmlns="http://schemas.openxmlformats.org/package/2006/relationships">
   <Relationship Id="rId1" Target="style1.xml"
                 Type="http://schemas.microsoft.com/office/2011/relationships/chartStyle"/>
   <Relationship Id="rId2" Target="colors1.xml"
                 Type="http://schemas.microsoft.com/office/2011/relationships/chartColorStyle"/>
   <Relationship Id="rId3" Target="../drawings/drawing3.xml"
                 Type="http://schemas.openxmlformats.org/officeDocument/2006/relationships/chartUserShapes"/>
</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37581007975193925"/>
          <c:y val="0.10070677165354329"/>
          <c:w val="0.26610961260806348"/>
          <c:h val="0.70465847769028866"/>
        </c:manualLayout>
      </c:layout>
      <c:radarChart>
        <c:radarStyle val="marker"/>
        <c:varyColors val="0"/>
        <c:ser>
          <c:idx val="0"/>
          <c:order val="0"/>
          <c:spPr>
            <a:ln w="28575" cap="rnd">
              <a:solidFill>
                <a:srgbClr val="265D8E"/>
              </a:solidFill>
              <a:round/>
            </a:ln>
            <a:effectLst>
              <a:outerShdw blurRad="50800" dist="50800" dir="5400000" algn="ctr" rotWithShape="0">
                <a:schemeClr val="bg1"/>
              </a:outerShdw>
            </a:effectLst>
          </c:spPr>
          <c:marker>
            <c:symbol val="square"/>
            <c:size val="5"/>
            <c:spPr>
              <a:solidFill>
                <a:schemeClr val="accent1">
                  <a:tint val="77000"/>
                </a:schemeClr>
              </a:solidFill>
              <a:ln w="9525">
                <a:solidFill>
                  <a:srgbClr val="265D8E"/>
                </a:solidFill>
              </a:ln>
              <a:effectLst>
                <a:outerShdw blurRad="50800" dist="50800" dir="5400000" algn="ctr" rotWithShape="0">
                  <a:schemeClr val="bg1"/>
                </a:outerShdw>
              </a:effectLst>
            </c:spPr>
          </c:marker>
          <c:dLbls>
            <c:dLbl>
              <c:idx val="0"/>
              <c:layout>
                <c:manualLayout>
                  <c:x val="-3.0320791080306147E-2"/>
                  <c:y val="4.53922440297844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CC2-4EB8-BF99-B9500301064A}"/>
                </c:ext>
              </c:extLst>
            </c:dLbl>
            <c:dLbl>
              <c:idx val="1"/>
              <c:layout>
                <c:manualLayout>
                  <c:x val="-2.0129120548098597E-3"/>
                  <c:y val="8.12954239012577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CC2-4EB8-BF99-B9500301064A}"/>
                </c:ext>
              </c:extLst>
            </c:dLbl>
            <c:dLbl>
              <c:idx val="2"/>
              <c:layout>
                <c:manualLayout>
                  <c:x val="-4.3689468890138906E-3"/>
                  <c:y val="5.75236314875790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CC2-4EB8-BF99-B9500301064A}"/>
                </c:ext>
              </c:extLst>
            </c:dLbl>
            <c:dLbl>
              <c:idx val="3"/>
              <c:layout>
                <c:manualLayout>
                  <c:x val="-5.4320360140885304E-17"/>
                  <c:y val="-3.4453048362313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CC2-4EB8-BF99-B9500301064A}"/>
                </c:ext>
              </c:extLst>
            </c:dLbl>
            <c:dLbl>
              <c:idx val="4"/>
              <c:layout>
                <c:manualLayout>
                  <c:x val="1.3437602036261327E-2"/>
                  <c:y val="4.19692112774695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CC2-4EB8-BF99-B9500301064A}"/>
                </c:ext>
              </c:extLst>
            </c:dLbl>
            <c:dLbl>
              <c:idx val="5"/>
              <c:layout>
                <c:manualLayout>
                  <c:x val="-4.8609060414212945E-4"/>
                  <c:y val="7.79736942786355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CC2-4EB8-BF99-B9500301064A}"/>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0070C0"/>
                    </a:solidFill>
                    <a:latin typeface="Calibri" panose="020F0502020204030204" pitchFamily="34" charset="0"/>
                    <a:ea typeface="+mn-ea"/>
                    <a:cs typeface="Calibri" panose="020F0502020204030204" pitchFamily="34" charset="0"/>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accent1"/>
                      </a:solidFill>
                      <a:prstDash val="solid"/>
                      <a:miter lim="800000"/>
                    </a:ln>
                    <a:effectLst/>
                  </c:spPr>
                </c15:leaderLines>
              </c:ext>
            </c:extLst>
          </c:dLbls>
          <c:cat>
            <c:strRef>
              <c:f>_DinamicaProm!$AF$2:$AF$7</c:f>
              <c:strCache>
                <c:ptCount val="6"/>
                <c:pt idx="0">
                  <c:v>Evaluación</c:v>
                </c:pt>
                <c:pt idx="1">
                  <c:v>Ambiente y vínculo</c:v>
                </c:pt>
                <c:pt idx="2">
                  <c:v>Balance</c:v>
                </c:pt>
                <c:pt idx="3">
                  <c:v>Clase y actividades</c:v>
                </c:pt>
                <c:pt idx="4">
                  <c:v>Contenidos de la materia</c:v>
                </c:pt>
                <c:pt idx="5">
                  <c:v>Planificación y organización de la materia</c:v>
                </c:pt>
              </c:strCache>
            </c:strRef>
          </c:cat>
          <c:val>
            <c:numRef>
              <c:f>_DinamicaProm!$AG$2:$AG$7</c:f>
              <c:numCache>
                <c:formatCode>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6-ECC2-4EB8-BF99-B9500301064A}"/>
            </c:ext>
          </c:extLst>
        </c:ser>
        <c:ser>
          <c:idx val="1"/>
          <c:order val="1"/>
          <c:spPr>
            <a:ln w="28575" cap="rnd">
              <a:noFill/>
              <a:round/>
            </a:ln>
            <a:effectLst/>
          </c:spPr>
          <c:marker>
            <c:symbol val="circle"/>
            <c:size val="5"/>
            <c:spPr>
              <a:noFill/>
              <a:ln w="9525">
                <a:noFill/>
              </a:ln>
              <a:effectLst/>
            </c:spPr>
          </c:marker>
          <c:dLbls>
            <c:delete val="1"/>
          </c:dLbls>
          <c:cat>
            <c:strRef>
              <c:f>_DinamicaProm!$AF$2:$AF$7</c:f>
              <c:strCache>
                <c:ptCount val="6"/>
                <c:pt idx="0">
                  <c:v>Evaluación</c:v>
                </c:pt>
                <c:pt idx="1">
                  <c:v>Ambiente y vínculo</c:v>
                </c:pt>
                <c:pt idx="2">
                  <c:v>Balance</c:v>
                </c:pt>
                <c:pt idx="3">
                  <c:v>Clase y actividades</c:v>
                </c:pt>
                <c:pt idx="4">
                  <c:v>Contenidos de la materia</c:v>
                </c:pt>
                <c:pt idx="5">
                  <c:v>Planificación y organización de la materia</c:v>
                </c:pt>
              </c:strCache>
            </c:strRef>
          </c:cat>
          <c:val>
            <c:numRef>
              <c:f>_DinamicaProm!$AH$2:$AH$7</c:f>
              <c:numCache>
                <c:formatCode>General</c:formatCode>
                <c:ptCount val="6"/>
                <c:pt idx="0">
                  <c:v>1</c:v>
                </c:pt>
                <c:pt idx="5">
                  <c:v>5</c:v>
                </c:pt>
              </c:numCache>
            </c:numRef>
          </c:val>
          <c:extLst>
            <c:ext xmlns:c16="http://schemas.microsoft.com/office/drawing/2014/chart" uri="{C3380CC4-5D6E-409C-BE32-E72D297353CC}">
              <c16:uniqueId val="{00000014-ECC2-4EB8-BF99-B9500301064A}"/>
            </c:ext>
          </c:extLst>
        </c:ser>
        <c:dLbls>
          <c:showLegendKey val="0"/>
          <c:showVal val="1"/>
          <c:showCatName val="0"/>
          <c:showSerName val="0"/>
          <c:showPercent val="0"/>
          <c:showBubbleSize val="0"/>
        </c:dLbls>
        <c:axId val="1499726543"/>
        <c:axId val="1499726959"/>
      </c:radarChart>
      <c:catAx>
        <c:axId val="1499726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AR"/>
          </a:p>
        </c:txPr>
        <c:crossAx val="1499726959"/>
        <c:crosses val="autoZero"/>
        <c:auto val="1"/>
        <c:lblAlgn val="ctr"/>
        <c:lblOffset val="100"/>
        <c:noMultiLvlLbl val="0"/>
      </c:catAx>
      <c:valAx>
        <c:axId val="1499726959"/>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499726543"/>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alpha val="0"/>
      </a:schemeClr>
    </a:solidFill>
    <a:ln w="9525" cap="flat" cmpd="sng" algn="ctr">
      <a:noFill/>
      <a:round/>
    </a:ln>
    <a:effectLst/>
  </c:spPr>
  <c:txPr>
    <a:bodyPr/>
    <a:lstStyle/>
    <a:p>
      <a:pPr>
        <a:defRPr/>
      </a:pPr>
      <a:endParaRPr lang="es-AR"/>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
   <Relationship Id="rId1" Target="../media/image1.png"
                 Type="http://schemas.openxmlformats.org/officeDocument/2006/relationships/image"/>
</Relationships>
</file>

<file path=xl/drawings/_rels/drawing2.xml.rels><?xml version="1.0" encoding="UTF-8" standalone="yes"?>
<Relationships xmlns="http://schemas.openxmlformats.org/package/2006/relationships">
   <Relationship Id="rId1" Target="../charts/chart1.xml"
                 Type="http://schemas.openxmlformats.org/officeDocument/2006/relationships/chart"/>
   <Relationship Id="rId2" Target="../media/image2.png"
                 Type="http://schemas.openxmlformats.org/officeDocument/2006/relationships/image"/>
</Relationships>
</file>

<file path=xl/drawings/_rels/drawing4.xml.rels><?xml version="1.0" encoding="UTF-8" standalone="yes"?>
<Relationships xmlns="http://schemas.openxmlformats.org/package/2006/relationships">
   <Relationship Id="rId1" Target="../media/image3.png"
                 Type="http://schemas.openxmlformats.org/officeDocument/2006/relationships/image"/>
</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2</xdr:rowOff>
    </xdr:from>
    <xdr:to>
      <xdr:col>3</xdr:col>
      <xdr:colOff>3201865</xdr:colOff>
      <xdr:row>11</xdr:row>
      <xdr:rowOff>296231</xdr:rowOff>
    </xdr:to>
    <xdr:pic>
      <xdr:nvPicPr>
        <xdr:cNvPr id="3" name="Imagen 2">
          <a:extLst>
            <a:ext uri="{FF2B5EF4-FFF2-40B4-BE49-F238E27FC236}">
              <a16:creationId xmlns:a16="http://schemas.microsoft.com/office/drawing/2014/main" id="{61A7B1B4-CC37-0D0F-C823-F1B7111D0B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
          <a:ext cx="7722577" cy="258955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1438274</xdr:colOff>
      <xdr:row>0</xdr:row>
      <xdr:rowOff>47625</xdr:rowOff>
    </xdr:from>
    <xdr:to>
      <xdr:col>13</xdr:col>
      <xdr:colOff>381001</xdr:colOff>
      <xdr:row>18</xdr:row>
      <xdr:rowOff>47625</xdr:rowOff>
    </xdr:to>
    <xdr:graphicFrame macro="">
      <xdr:nvGraphicFramePr>
        <xdr:cNvPr id="3" name="Gráfico 2">
          <a:extLst>
            <a:ext uri="{FF2B5EF4-FFF2-40B4-BE49-F238E27FC236}">
              <a16:creationId xmlns:a16="http://schemas.microsoft.com/office/drawing/2014/main" id="{3F8AE173-8AA9-45BD-899C-A0E1C7A062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25</xdr:row>
      <xdr:rowOff>123850</xdr:rowOff>
    </xdr:from>
    <xdr:to>
      <xdr:col>11</xdr:col>
      <xdr:colOff>371475</xdr:colOff>
      <xdr:row>25</xdr:row>
      <xdr:rowOff>133349</xdr:rowOff>
    </xdr:to>
    <xdr:cxnSp macro="">
      <xdr:nvCxnSpPr>
        <xdr:cNvPr id="4" name="Conector recto 3">
          <a:extLst>
            <a:ext uri="{FF2B5EF4-FFF2-40B4-BE49-F238E27FC236}">
              <a16:creationId xmlns:a16="http://schemas.microsoft.com/office/drawing/2014/main" id="{E6CA1C50-A9C3-4ADC-BC0D-843B68A861CC}"/>
            </a:ext>
          </a:extLst>
        </xdr:cNvPr>
        <xdr:cNvCxnSpPr/>
      </xdr:nvCxnSpPr>
      <xdr:spPr>
        <a:xfrm flipH="1">
          <a:off x="0" y="4467250"/>
          <a:ext cx="14620875" cy="9499"/>
        </a:xfrm>
        <a:prstGeom prst="line">
          <a:avLst/>
        </a:prstGeom>
        <a:ln w="22225">
          <a:solidFill>
            <a:srgbClr val="265D8E"/>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23813</xdr:colOff>
      <xdr:row>18</xdr:row>
      <xdr:rowOff>14314</xdr:rowOff>
    </xdr:from>
    <xdr:to>
      <xdr:col>11</xdr:col>
      <xdr:colOff>395288</xdr:colOff>
      <xdr:row>18</xdr:row>
      <xdr:rowOff>23813</xdr:rowOff>
    </xdr:to>
    <xdr:cxnSp macro="">
      <xdr:nvCxnSpPr>
        <xdr:cNvPr id="7" name="Conector recto 6">
          <a:extLst>
            <a:ext uri="{FF2B5EF4-FFF2-40B4-BE49-F238E27FC236}">
              <a16:creationId xmlns:a16="http://schemas.microsoft.com/office/drawing/2014/main" id="{2A2DCEDE-795D-40CB-8199-0A6CB3BF6AED}"/>
            </a:ext>
          </a:extLst>
        </xdr:cNvPr>
        <xdr:cNvCxnSpPr/>
      </xdr:nvCxnSpPr>
      <xdr:spPr>
        <a:xfrm flipH="1">
          <a:off x="23813" y="2928964"/>
          <a:ext cx="14620875" cy="9499"/>
        </a:xfrm>
        <a:prstGeom prst="line">
          <a:avLst/>
        </a:prstGeom>
        <a:ln w="22225">
          <a:solidFill>
            <a:srgbClr val="265D8E"/>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8347</xdr:colOff>
      <xdr:row>25</xdr:row>
      <xdr:rowOff>119062</xdr:rowOff>
    </xdr:from>
    <xdr:to>
      <xdr:col>2</xdr:col>
      <xdr:colOff>17846</xdr:colOff>
      <xdr:row>40</xdr:row>
      <xdr:rowOff>272344</xdr:rowOff>
    </xdr:to>
    <xdr:cxnSp macro="">
      <xdr:nvCxnSpPr>
        <xdr:cNvPr id="8" name="Conector recto 7">
          <a:extLst>
            <a:ext uri="{FF2B5EF4-FFF2-40B4-BE49-F238E27FC236}">
              <a16:creationId xmlns:a16="http://schemas.microsoft.com/office/drawing/2014/main" id="{A755FA1F-AA9B-473F-973C-D75068ABF3BB}"/>
            </a:ext>
          </a:extLst>
        </xdr:cNvPr>
        <xdr:cNvCxnSpPr/>
      </xdr:nvCxnSpPr>
      <xdr:spPr>
        <a:xfrm rot="5400000" flipH="1">
          <a:off x="-463594" y="7449003"/>
          <a:ext cx="5982582" cy="9499"/>
        </a:xfrm>
        <a:prstGeom prst="line">
          <a:avLst/>
        </a:prstGeom>
        <a:ln w="22225">
          <a:solidFill>
            <a:srgbClr val="265D8E"/>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11906</xdr:colOff>
      <xdr:row>27</xdr:row>
      <xdr:rowOff>107156</xdr:rowOff>
    </xdr:from>
    <xdr:to>
      <xdr:col>1</xdr:col>
      <xdr:colOff>2321718</xdr:colOff>
      <xdr:row>33</xdr:row>
      <xdr:rowOff>51026</xdr:rowOff>
    </xdr:to>
    <mc:AlternateContent xmlns:mc="http://schemas.openxmlformats.org/markup-compatibility/2006" xmlns:a14="http://schemas.microsoft.com/office/drawing/2010/main">
      <mc:Choice Requires="a14">
        <xdr:graphicFrame macro="">
          <xdr:nvGraphicFramePr>
            <xdr:cNvPr id="9" name="Docente 1">
              <a:extLst>
                <a:ext uri="{FF2B5EF4-FFF2-40B4-BE49-F238E27FC236}">
                  <a16:creationId xmlns:a16="http://schemas.microsoft.com/office/drawing/2014/main" id="{CAAFD5DC-4EF3-4940-AC37-2253B6D9DF9F}"/>
                </a:ext>
              </a:extLst>
            </xdr:cNvPr>
            <xdr:cNvGraphicFramePr/>
          </xdr:nvGraphicFramePr>
          <xdr:xfrm>
            <a:off x="0" y="0"/>
            <a:ext cx="0" cy="0"/>
          </xdr:xfrm>
          <a:graphic>
            <a:graphicData uri="http://schemas.microsoft.com/office/drawing/2010/slicer">
              <sle:slicer xmlns:sle="http://schemas.microsoft.com/office/drawing/2010/slicer" name="Docente 1"/>
            </a:graphicData>
          </a:graphic>
        </xdr:graphicFrame>
      </mc:Choice>
      <mc:Fallback>
        <xdr:sp macro="" textlink="">
          <xdr:nvSpPr>
            <xdr:cNvPr id="0" name=""/>
            <xdr:cNvSpPr>
              <a:spLocks noTextEdit="1"/>
            </xdr:cNvSpPr>
          </xdr:nvSpPr>
          <xdr:spPr>
            <a:xfrm>
              <a:off x="83344" y="5429250"/>
              <a:ext cx="2309812" cy="2381250"/>
            </a:xfrm>
            <a:prstGeom prst="rect">
              <a:avLst/>
            </a:prstGeom>
            <a:solidFill>
              <a:prstClr val="white"/>
            </a:solidFill>
            <a:ln w="1">
              <a:solidFill>
                <a:prstClr val="green"/>
              </a:solidFill>
            </a:ln>
          </xdr:spPr>
          <xdr:txBody>
            <a:bodyPr vertOverflow="clip" horzOverflow="clip"/>
            <a:lstStyle/>
            <a:p>
              <a:r>
                <a:rPr lang="es-AR"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0</xdr:col>
      <xdr:colOff>1</xdr:colOff>
      <xdr:row>0</xdr:row>
      <xdr:rowOff>2</xdr:rowOff>
    </xdr:from>
    <xdr:to>
      <xdr:col>6</xdr:col>
      <xdr:colOff>1576219</xdr:colOff>
      <xdr:row>18</xdr:row>
      <xdr:rowOff>1</xdr:rowOff>
    </xdr:to>
    <xdr:pic>
      <xdr:nvPicPr>
        <xdr:cNvPr id="5" name="Imagen 4">
          <a:extLst>
            <a:ext uri="{FF2B5EF4-FFF2-40B4-BE49-F238E27FC236}">
              <a16:creationId xmlns:a16="http://schemas.microsoft.com/office/drawing/2014/main" id="{18A6E820-7688-E53C-C40A-D32A3A0BB81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 y="2"/>
          <a:ext cx="8293414" cy="2981738"/>
        </a:xfrm>
        <a:prstGeom prst="rect">
          <a:avLst/>
        </a:prstGeom>
      </xdr:spPr>
    </xdr:pic>
    <xdr:clientData/>
  </xdr:twoCellAnchor>
</xdr:wsDr>
</file>

<file path=xl/drawings/drawing3.xml><?xml version="1.0" encoding="utf-8"?>
<c:userShapes xmlns:c="http://schemas.openxmlformats.org/drawingml/2006/chart">
  <cdr:relSizeAnchor xmlns:cdr="http://schemas.openxmlformats.org/drawingml/2006/chartDrawing">
    <cdr:from>
      <cdr:x>0.45972</cdr:x>
      <cdr:y>0.27974</cdr:y>
    </cdr:from>
    <cdr:to>
      <cdr:x>0.55967</cdr:x>
      <cdr:y>0.61657</cdr:y>
    </cdr:to>
    <cdr:sp macro="" textlink="'Síntesis de Resultados'!$K$23">
      <cdr:nvSpPr>
        <cdr:cNvPr id="2" name="CuadroTexto 3">
          <a:extLst xmlns:a="http://schemas.openxmlformats.org/drawingml/2006/main">
            <a:ext uri="{FF2B5EF4-FFF2-40B4-BE49-F238E27FC236}">
              <a16:creationId xmlns:a16="http://schemas.microsoft.com/office/drawing/2014/main" id="{07BE4D44-FB62-498A-AED9-17AFF3713A95}"/>
            </a:ext>
          </a:extLst>
        </cdr:cNvPr>
        <cdr:cNvSpPr txBox="1"/>
      </cdr:nvSpPr>
      <cdr:spPr>
        <a:xfrm xmlns:a="http://schemas.openxmlformats.org/drawingml/2006/main">
          <a:off x="2898775" y="679450"/>
          <a:ext cx="630238" cy="818111"/>
        </a:xfrm>
        <a:prstGeom xmlns:a="http://schemas.openxmlformats.org/drawingml/2006/main" prst="rect">
          <a:avLst/>
        </a:prstGeom>
        <a:solidFill xmlns:a="http://schemas.openxmlformats.org/drawingml/2006/main">
          <a:schemeClr val="lt1">
            <a:alpha val="0"/>
          </a:schemeClr>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7551F4C8-B35F-45C9-A32F-03359A1EB6E2}" type="TxLink">
            <a:rPr lang="en-US" sz="1400" b="1" i="0" u="none" strike="noStrike">
              <a:solidFill>
                <a:srgbClr val="073763"/>
              </a:solidFill>
              <a:latin typeface="Calibri"/>
              <a:ea typeface="Calibri"/>
              <a:cs typeface="Calibri"/>
            </a:rPr>
            <a:pPr algn="ctr"/>
            <a:t>-</a:t>
          </a:fld>
          <a:endParaRPr lang="es-AR" sz="1200">
            <a:solidFill>
              <a:srgbClr val="073763"/>
            </a:solidFill>
            <a:latin typeface="Saira UNSAM Medium" panose="00000600000000000000" pitchFamily="50" charset="0"/>
            <a:ea typeface="Calibri" panose="020F0502020204030204" pitchFamily="34" charset="0"/>
            <a:cs typeface="Calibri" panose="020F0502020204030204" pitchFamily="34" charset="0"/>
          </a:endParaRPr>
        </a:p>
      </cdr:txBody>
    </cdr:sp>
  </cdr:relSizeAnchor>
</c:userShapes>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690504</xdr:colOff>
      <xdr:row>17</xdr:row>
      <xdr:rowOff>21981</xdr:rowOff>
    </xdr:to>
    <xdr:pic>
      <xdr:nvPicPr>
        <xdr:cNvPr id="3" name="Imagen 2">
          <a:extLst>
            <a:ext uri="{FF2B5EF4-FFF2-40B4-BE49-F238E27FC236}">
              <a16:creationId xmlns:a16="http://schemas.microsoft.com/office/drawing/2014/main" id="{6BE75AFD-0791-F0B1-4859-83B30F25B4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427735" cy="27622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10</xdr:col>
      <xdr:colOff>85725</xdr:colOff>
      <xdr:row>6</xdr:row>
      <xdr:rowOff>152400</xdr:rowOff>
    </xdr:from>
    <xdr:to>
      <xdr:col>18</xdr:col>
      <xdr:colOff>9525</xdr:colOff>
      <xdr:row>21</xdr:row>
      <xdr:rowOff>104775</xdr:rowOff>
    </xdr:to>
    <mc:AlternateContent xmlns:mc="http://schemas.openxmlformats.org/markup-compatibility/2006" xmlns:a14="http://schemas.microsoft.com/office/drawing/2010/main">
      <mc:Choice Requires="a14">
        <xdr:graphicFrame macro="">
          <xdr:nvGraphicFramePr>
            <xdr:cNvPr id="2" name="Docente">
              <a:extLst>
                <a:ext uri="{FF2B5EF4-FFF2-40B4-BE49-F238E27FC236}">
                  <a16:creationId xmlns:a16="http://schemas.microsoft.com/office/drawing/2014/main" id="{6FCC460E-16DB-467F-B952-2439CA5716FF}"/>
                </a:ext>
              </a:extLst>
            </xdr:cNvPr>
            <xdr:cNvGraphicFramePr/>
          </xdr:nvGraphicFramePr>
          <xdr:xfrm>
            <a:off x="0" y="0"/>
            <a:ext cx="0" cy="0"/>
          </xdr:xfrm>
          <a:graphic>
            <a:graphicData uri="http://schemas.microsoft.com/office/drawing/2010/slicer">
              <sle:slicer xmlns:sle="http://schemas.microsoft.com/office/drawing/2010/slicer" name="Docente"/>
            </a:graphicData>
          </a:graphic>
        </xdr:graphicFrame>
      </mc:Choice>
      <mc:Fallback>
        <xdr:sp macro="" textlink="">
          <xdr:nvSpPr>
            <xdr:cNvPr id="0" name=""/>
            <xdr:cNvSpPr>
              <a:spLocks noTextEdit="1"/>
            </xdr:cNvSpPr>
          </xdr:nvSpPr>
          <xdr:spPr>
            <a:xfrm>
              <a:off x="5495925" y="1123950"/>
              <a:ext cx="1828800" cy="2381250"/>
            </a:xfrm>
            <a:prstGeom prst="rect">
              <a:avLst/>
            </a:prstGeom>
            <a:solidFill>
              <a:prstClr val="white"/>
            </a:solidFill>
            <a:ln w="1">
              <a:solidFill>
                <a:prstClr val="green"/>
              </a:solidFill>
            </a:ln>
          </xdr:spPr>
          <xdr:txBody>
            <a:bodyPr vertOverflow="clip" horzOverflow="clip"/>
            <a:lstStyle/>
            <a:p>
              <a:r>
                <a:rPr lang="es-AR"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wsDr>
</file>

<file path=xl/pivotCache/_rels/pivotCacheDefinition1.xml.rels><?xml version="1.0" encoding="UTF-8" standalone="yes"?>
<Relationships xmlns="http://schemas.openxmlformats.org/package/2006/relationships">
   <Relationship Id="rId1" Target="pivotCacheRecords1.xml"
                 Type="http://schemas.openxmlformats.org/officeDocument/2006/relationships/pivotCacheRecords"/>
</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Diego Florez Poletti" refreshedDate="46192.620419907405" createdVersion="7" refreshedVersion="8" minRefreshableVersion="3" recordCount="503" xr:uid="{62DA4F6D-EE8F-497F-9EC8-645D05FAFE50}">
  <cacheSource type="worksheet">
    <worksheetSource ref="A1:AH504" sheet="_BaseNum"/>
  </cacheSource>
  <cacheFields count="34">
    <cacheField name="ID Encuesta" numFmtId="0">
      <sharedItems containsBlank="1" containsMixedTypes="1" containsNumber="1" containsInteger="1" minValue="19" maxValue="21016" count="107">
        <e v="#REF!"/>
        <s v=""/>
        <m/>
        <n v="15421" u="1"/>
        <n v="21006" u="1"/>
        <n v="20977" u="1"/>
        <n v="122" u="1"/>
        <n v="21012" u="1"/>
        <n v="53" u="1"/>
        <n v="33" u="1"/>
        <n v="20983" u="1"/>
        <n v="20989" u="1"/>
        <n v="46" u="1"/>
        <n v="29" u="1"/>
        <n v="19" u="1"/>
        <n v="20995" u="1"/>
        <n v="59" u="1"/>
        <n v="39" u="1"/>
        <n v="21001" u="1"/>
        <n v="20972" u="1"/>
        <n v="21007" u="1"/>
        <n v="52" u="1"/>
        <n v="32" u="1"/>
        <n v="22" u="1"/>
        <n v="20978" u="1"/>
        <n v="21013" u="1"/>
        <n v="20984" u="1"/>
        <n v="45" u="1"/>
        <n v="20990" u="1"/>
        <n v="79" u="1"/>
        <n v="58" u="1"/>
        <n v="20996" u="1"/>
        <n v="38" u="1"/>
        <n v="25" u="1"/>
        <n v="21002" u="1"/>
        <n v="78" u="1"/>
        <n v="51" u="1"/>
        <n v="20973" u="1"/>
        <n v="21008" u="1"/>
        <n v="20979" u="1"/>
        <n v="21014" u="1"/>
        <n v="64" u="1"/>
        <n v="44" u="1"/>
        <n v="28" u="1"/>
        <n v="20985" u="1"/>
        <n v="77" u="1"/>
        <n v="20991" u="1"/>
        <n v="132" u="1"/>
        <n v="57" u="1"/>
        <n v="37" u="1"/>
        <n v="20997" u="1"/>
        <n v="76" u="1"/>
        <n v="50" u="1"/>
        <n v="21003" u="1"/>
        <n v="31" u="1"/>
        <n v="21" u="1"/>
        <n v="20974" u="1"/>
        <n v="21009" u="1"/>
        <n v="63" u="1"/>
        <n v="43" u="1"/>
        <n v="20980" u="1"/>
        <n v="21015" u="1"/>
        <n v="75" u="1"/>
        <n v="20986" u="1"/>
        <n v="56" u="1"/>
        <n v="36" u="1"/>
        <n v="24" u="1"/>
        <n v="20992" u="1"/>
        <n v="20998" u="1"/>
        <n v="74" u="1"/>
        <n v="49" u="1"/>
        <n v="21004" u="1"/>
        <n v="20975" u="1"/>
        <n v="62" u="1"/>
        <n v="42" u="1"/>
        <n v="21010" u="1"/>
        <n v="27" u="1"/>
        <n v="20981" u="1"/>
        <n v="21016" u="1"/>
        <n v="55" u="1"/>
        <n v="35" u="1"/>
        <n v="20987" u="1"/>
        <n v="20993" u="1"/>
        <n v="48" u="1"/>
        <n v="30" u="1"/>
        <n v="20" u="1"/>
        <n v="20999" u="1"/>
        <n v="125" u="1"/>
        <n v="20970" u="1"/>
        <n v="21005" u="1"/>
        <n v="61" u="1"/>
        <n v="41" u="1"/>
        <n v="20976" u="1"/>
        <n v="21011" u="1"/>
        <n v="124" u="1"/>
        <n v="20982" u="1"/>
        <n v="34" u="1"/>
        <n v="23" u="1"/>
        <n v="20988" u="1"/>
        <n v="47" u="1"/>
        <n v="20994" u="1"/>
        <n v="123" u="1"/>
        <n v="21000" u="1"/>
        <n v="60" u="1"/>
        <n v="40" u="1"/>
        <n v="26" u="1"/>
        <n v="20971" u="1"/>
      </sharedItems>
    </cacheField>
    <cacheField name="Unidad Académica Nombre" numFmtId="0">
      <sharedItems containsBlank="1"/>
    </cacheField>
    <cacheField name="Materia Código" numFmtId="0">
      <sharedItems containsBlank="1"/>
    </cacheField>
    <cacheField name="Materia Nombre" numFmtId="0">
      <sharedItems containsBlank="1"/>
    </cacheField>
    <cacheField name="Comisión Código" numFmtId="0">
      <sharedItems containsBlank="1"/>
    </cacheField>
    <cacheField name="Comisión Nombre" numFmtId="0">
      <sharedItems containsBlank="1"/>
    </cacheField>
    <cacheField name="Docentes (SIU Guaraní)" numFmtId="0">
      <sharedItems containsBlank="1"/>
    </cacheField>
    <cacheField name="Carrera que estás cursando:" numFmtId="0">
      <sharedItems containsBlank="1"/>
    </cacheField>
    <cacheField name="Tu situación en relación a esta materia" numFmtId="0">
      <sharedItems count="6">
        <e v="#REF!"/>
        <s v=""/>
        <s v="1-Finalicé la cursada (hayas aprobado o no)"/>
        <s v="2-Abandoné con más del 50% cursado"/>
        <s v="3-Abandoné con menos del 50% cursado / No inicié la cursada"/>
        <s v="4-La materia no se dictó"/>
      </sharedItems>
    </cacheField>
    <cacheField name="Docente" numFmtId="0">
      <sharedItems containsBlank="1" count="43">
        <e v="#REF!"/>
        <s v=""/>
        <m/>
        <s v="García Carla" u="1"/>
        <s v="Carla Y Milena Gallipoli" u="1"/>
        <s v="Garcia, Carla" u="1"/>
        <s v="Carla García Y Milena Gallipoli" u="1"/>
        <s v="Dra. Carla García," u="1"/>
        <s v="Gallipoli, Milena" u="1"/>
        <s v="Jose Agustin Morales Miy" u="1"/>
        <s v="Jose Agustín Morales Miy" u="1"/>
        <s v="Carla Guillermina García Milena Gallipoli" u="1"/>
        <s v="Agustin" u="1"/>
        <s v="Miy Morales Agustín" u="1"/>
        <s v="Agustin Morales Miy" u="1"/>
        <s v="Agustín Morales Miy" u="1"/>
        <s v="García, Carla Guillermina" u="1"/>
        <s v="Lina Laura" u="1"/>
        <s v="Jose Augustin Morales" u="1"/>
        <s v="Carla García" u="1"/>
        <s v="Miy Morales Agustin" u="1"/>
        <s v="Morales Miy, José Agustín" u="1"/>
        <s v="Carla Garcia" u="1"/>
        <s v="Garcia Carla" u="1"/>
        <s v="Carla Guillermina García" u="1"/>
        <s v="Milena Gallipoli" u="1"/>
        <s v="García, Carla" u="1"/>
        <s v="Milena Y Carla" u="1"/>
        <s v="Milena" u="1"/>
        <s v="No Recuerdo" u="1"/>
        <s v="Agustín M" u="1"/>
        <s v="Nose" u="1"/>
        <s v="Agustin Morales" u="1"/>
        <s v="Jose Agustin Morales Y Ines Rodriguez" u="1"/>
        <s v="Morales Miy Agustin" u="1"/>
        <s v="Agustín" u="1"/>
        <s v="Gallipoldi, Milena" u="1"/>
        <s v="Sin Respuesta" u="1"/>
        <s v="Morales Miy José Agustín" u="1"/>
        <s v="Laura lina" u="1"/>
        <s v="Cristina Martí" u="1"/>
        <s v="Dra. Carla García" u="1"/>
        <s v="Carla Garcia." u="1"/>
      </sharedItems>
    </cacheField>
    <cacheField name="¿Tus comentarios sobre el/la docente?" numFmtId="0">
      <sharedItems containsBlank="1"/>
    </cacheField>
    <cacheField name="1.1 Al inicio de la cursada el/la docente presentó y explicó claramente el programa de la materia (detalló objetivos, contenidos, cronograma, formas de trabajo y evaluación)." numFmtId="0">
      <sharedItems containsBlank="1"/>
    </cacheField>
    <cacheField name="1.2 Hubo coherencia entre lo programado y el desarrollo de la materia." numFmtId="0">
      <sharedItems containsBlank="1"/>
    </cacheField>
    <cacheField name="1.3 Todos los contenidos tuvieron el tiempo suficiente para lograr los aprendizajes esperados." numFmtId="0">
      <sharedItems containsBlank="1"/>
    </cacheField>
    <cacheField name="1.4 El/la docente utilizó el Campus Virtual como herramienta de apoyo de la asignatura." numFmtId="0">
      <sharedItems containsBlank="1"/>
    </cacheField>
    <cacheField name="2.1 El/la docente relacionó conceptos con otros aprendidos con anterioridad en la misma materia o en otras materias." numFmtId="0">
      <sharedItems containsBlank="1"/>
    </cacheField>
    <cacheField name="2.2 El/la docente usó ejemplos y casos relacionados con la realidad y/o el mundo laboral." numFmtId="0">
      <sharedItems containsBlank="1"/>
    </cacheField>
    <cacheField name="2.3 Los recursos y/o bibliografía propuestos me sirvieron para comprender las temáticas de la asignatura." numFmtId="0">
      <sharedItems containsBlank="1"/>
    </cacheField>
    <cacheField name="3.1 El/la docente desarrolló los temas con claridad." numFmtId="0">
      <sharedItems containsBlank="1"/>
    </cacheField>
    <cacheField name="3.2 El/la docente fomentó la participación en clase" numFmtId="0">
      <sharedItems containsBlank="1"/>
    </cacheField>
    <cacheField name="3.3 Las tecnologías digitales que usó el docente me facilitaron el aprendizaje (Ejemplo:  videos, recursos web, programas, presentaciones, etc.)." numFmtId="0">
      <sharedItems containsBlank="1"/>
    </cacheField>
    <cacheField name="3.4 Las actividades propuestas en la clase contribuyeron al aprendizaje  (trabajos prácticos individuales o grupales, visitas, etc.)" numFmtId="0">
      <sharedItems containsBlank="1"/>
    </cacheField>
    <cacheField name="4 ¿Tuviste instancias de evaluación de los contenidos?" numFmtId="0">
      <sharedItems containsBlank="1"/>
    </cacheField>
    <cacheField name="4.1 El/la docente comunicó claramente los criterios de evaluación antes de cada evaluación." numFmtId="0">
      <sharedItems containsBlank="1"/>
    </cacheField>
    <cacheField name="4.2 La evaluación se correspondió con lo enseñado." numFmtId="0">
      <sharedItems containsBlank="1"/>
    </cacheField>
    <cacheField name="4.3 Los instrumentos para evaluar fueron adecuados (multiple choice, examen oral, examen escrito, etc)." numFmtId="0">
      <sharedItems containsBlank="1"/>
    </cacheField>
    <cacheField name="4.4 Después de las evaluaciones, el/la docente realizó una devolución de los resultados a los/as estudiantes para mejorar los aprendizajes." numFmtId="0">
      <sharedItems containsBlank="1"/>
    </cacheField>
    <cacheField name="4.5 El/la docente realizó las devoluciones en un tiempo adecuado." numFmtId="0">
      <sharedItems containsBlank="1"/>
    </cacheField>
    <cacheField name="5.1 El/la docente estableció un ambiente agradable/seguro/de confianza para el aprendizaje." numFmtId="0">
      <sharedItems containsBlank="1"/>
    </cacheField>
    <cacheField name="5.2 El/la docente promovió un trato respetuoso entre todas las personas, independientemente de su origen social, género u orientación sexual o política." numFmtId="0">
      <sharedItems containsBlank="1"/>
    </cacheField>
    <cacheField name="5.3 El/la docente acogió positivamente las preguntas e inquietudes de los/as estudiantes." numFmtId="0">
      <sharedItems containsBlank="1"/>
    </cacheField>
    <cacheField name="5.4 El/la docente generó interés en la materia y ganas de aprender." numFmtId="0">
      <sharedItems containsBlank="1"/>
    </cacheField>
    <cacheField name="6.1 He aprendido y comprendido los contenidos de esta materia." numFmtId="0">
      <sharedItems containsBlank="1"/>
    </cacheField>
    <cacheField name="6.2 La materia contribuyó a confirmar mi elección por la carrera." numFmtId="0">
      <sharedItems containsBlank="1"/>
    </cacheField>
  </cacheFields>
  <extLst>
    <ext xmlns:x14="http://schemas.microsoft.com/office/spreadsheetml/2009/9/main" uri="{725AE2AE-9491-48be-B2B4-4EB974FC3084}">
      <x14:pivotCacheDefinition pivotCacheId="15247343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3">
  <r>
    <x v="0"/>
    <e v="#REF!"/>
    <e v="#REF!"/>
    <e v="#REF!"/>
    <e v="#REF!"/>
    <e v="#REF!"/>
    <e v="#REF!"/>
    <e v="#REF!"/>
    <x v="0"/>
    <x v="0"/>
    <e v="#REF!"/>
    <e v="#REF!"/>
    <e v="#REF!"/>
    <e v="#REF!"/>
    <e v="#REF!"/>
    <e v="#REF!"/>
    <e v="#REF!"/>
    <e v="#REF!"/>
    <e v="#REF!"/>
    <e v="#REF!"/>
    <e v="#REF!"/>
    <e v="#REF!"/>
    <e v="#REF!"/>
    <e v="#REF!"/>
    <e v="#REF!"/>
    <e v="#REF!"/>
    <e v="#REF!"/>
    <e v="#REF!"/>
    <e v="#REF!"/>
    <e v="#REF!"/>
    <e v="#REF!"/>
    <e v="#REF!"/>
    <e v="#REF!"/>
    <e v="#REF!"/>
  </r>
  <r>
    <x v="0"/>
    <e v="#REF!"/>
    <e v="#REF!"/>
    <e v="#REF!"/>
    <e v="#REF!"/>
    <e v="#REF!"/>
    <e v="#REF!"/>
    <e v="#REF!"/>
    <x v="0"/>
    <x v="0"/>
    <e v="#REF!"/>
    <e v="#REF!"/>
    <e v="#REF!"/>
    <e v="#REF!"/>
    <e v="#REF!"/>
    <e v="#REF!"/>
    <e v="#REF!"/>
    <e v="#REF!"/>
    <e v="#REF!"/>
    <e v="#REF!"/>
    <e v="#REF!"/>
    <e v="#REF!"/>
    <e v="#REF!"/>
    <e v="#REF!"/>
    <e v="#REF!"/>
    <e v="#REF!"/>
    <e v="#REF!"/>
    <e v="#REF!"/>
    <e v="#REF!"/>
    <e v="#REF!"/>
    <e v="#REF!"/>
    <e v="#REF!"/>
    <e v="#REF!"/>
    <e v="#REF!"/>
  </r>
  <r>
    <x v="0"/>
    <e v="#REF!"/>
    <e v="#REF!"/>
    <e v="#REF!"/>
    <e v="#REF!"/>
    <e v="#REF!"/>
    <e v="#REF!"/>
    <e v="#REF!"/>
    <x v="0"/>
    <x v="0"/>
    <e v="#REF!"/>
    <e v="#REF!"/>
    <e v="#REF!"/>
    <e v="#REF!"/>
    <e v="#REF!"/>
    <e v="#REF!"/>
    <e v="#REF!"/>
    <e v="#REF!"/>
    <e v="#REF!"/>
    <e v="#REF!"/>
    <e v="#REF!"/>
    <e v="#REF!"/>
    <e v="#REF!"/>
    <e v="#REF!"/>
    <e v="#REF!"/>
    <e v="#REF!"/>
    <e v="#REF!"/>
    <e v="#REF!"/>
    <e v="#REF!"/>
    <e v="#REF!"/>
    <e v="#REF!"/>
    <e v="#REF!"/>
    <e v="#REF!"/>
    <e v="#REF!"/>
  </r>
  <r>
    <x v="0"/>
    <e v="#REF!"/>
    <e v="#REF!"/>
    <e v="#REF!"/>
    <e v="#REF!"/>
    <e v="#REF!"/>
    <e v="#REF!"/>
    <e v="#REF!"/>
    <x v="0"/>
    <x v="0"/>
    <e v="#REF!"/>
    <e v="#REF!"/>
    <e v="#REF!"/>
    <e v="#REF!"/>
    <e v="#REF!"/>
    <e v="#REF!"/>
    <e v="#REF!"/>
    <e v="#REF!"/>
    <e v="#REF!"/>
    <e v="#REF!"/>
    <e v="#REF!"/>
    <e v="#REF!"/>
    <e v="#REF!"/>
    <e v="#REF!"/>
    <e v="#REF!"/>
    <e v="#REF!"/>
    <e v="#REF!"/>
    <e v="#REF!"/>
    <e v="#REF!"/>
    <e v="#REF!"/>
    <e v="#REF!"/>
    <e v="#REF!"/>
    <e v="#REF!"/>
    <e v="#REF!"/>
  </r>
  <r>
    <x v="0"/>
    <e v="#REF!"/>
    <e v="#REF!"/>
    <e v="#REF!"/>
    <e v="#REF!"/>
    <e v="#REF!"/>
    <e v="#REF!"/>
    <e v="#REF!"/>
    <x v="0"/>
    <x v="0"/>
    <e v="#REF!"/>
    <e v="#REF!"/>
    <e v="#REF!"/>
    <e v="#REF!"/>
    <e v="#REF!"/>
    <e v="#REF!"/>
    <e v="#REF!"/>
    <e v="#REF!"/>
    <e v="#REF!"/>
    <e v="#REF!"/>
    <e v="#REF!"/>
    <e v="#REF!"/>
    <e v="#REF!"/>
    <e v="#REF!"/>
    <e v="#REF!"/>
    <e v="#REF!"/>
    <e v="#REF!"/>
    <e v="#REF!"/>
    <e v="#REF!"/>
    <e v="#REF!"/>
    <e v="#REF!"/>
    <e v="#REF!"/>
    <e v="#REF!"/>
    <e v="#REF!"/>
  </r>
  <r>
    <x v="0"/>
    <e v="#REF!"/>
    <e v="#REF!"/>
    <e v="#REF!"/>
    <e v="#REF!"/>
    <e v="#REF!"/>
    <e v="#REF!"/>
    <e v="#REF!"/>
    <x v="0"/>
    <x v="0"/>
    <e v="#REF!"/>
    <e v="#REF!"/>
    <e v="#REF!"/>
    <e v="#REF!"/>
    <e v="#REF!"/>
    <e v="#REF!"/>
    <e v="#REF!"/>
    <e v="#REF!"/>
    <e v="#REF!"/>
    <e v="#REF!"/>
    <e v="#REF!"/>
    <e v="#REF!"/>
    <e v="#REF!"/>
    <e v="#REF!"/>
    <e v="#REF!"/>
    <e v="#REF!"/>
    <e v="#REF!"/>
    <e v="#REF!"/>
    <e v="#REF!"/>
    <e v="#REF!"/>
    <e v="#REF!"/>
    <e v="#REF!"/>
    <e v="#REF!"/>
    <e v="#REF!"/>
  </r>
  <r>
    <x v="0"/>
    <e v="#REF!"/>
    <e v="#REF!"/>
    <e v="#REF!"/>
    <e v="#REF!"/>
    <e v="#REF!"/>
    <e v="#REF!"/>
    <e v="#REF!"/>
    <x v="0"/>
    <x v="0"/>
    <e v="#REF!"/>
    <e v="#REF!"/>
    <e v="#REF!"/>
    <e v="#REF!"/>
    <e v="#REF!"/>
    <e v="#REF!"/>
    <e v="#REF!"/>
    <e v="#REF!"/>
    <e v="#REF!"/>
    <e v="#REF!"/>
    <e v="#REF!"/>
    <e v="#REF!"/>
    <e v="#REF!"/>
    <e v="#REF!"/>
    <e v="#REF!"/>
    <e v="#REF!"/>
    <e v="#REF!"/>
    <e v="#REF!"/>
    <e v="#REF!"/>
    <e v="#REF!"/>
    <e v="#REF!"/>
    <e v="#REF!"/>
    <e v="#REF!"/>
    <e v="#REF!"/>
  </r>
  <r>
    <x v="0"/>
    <e v="#REF!"/>
    <e v="#REF!"/>
    <e v="#REF!"/>
    <e v="#REF!"/>
    <e v="#REF!"/>
    <e v="#REF!"/>
    <e v="#REF!"/>
    <x v="0"/>
    <x v="0"/>
    <e v="#REF!"/>
    <e v="#REF!"/>
    <e v="#REF!"/>
    <e v="#REF!"/>
    <e v="#REF!"/>
    <e v="#REF!"/>
    <e v="#REF!"/>
    <e v="#REF!"/>
    <e v="#REF!"/>
    <e v="#REF!"/>
    <e v="#REF!"/>
    <e v="#REF!"/>
    <e v="#REF!"/>
    <e v="#REF!"/>
    <e v="#REF!"/>
    <e v="#REF!"/>
    <e v="#REF!"/>
    <e v="#REF!"/>
    <e v="#REF!"/>
    <e v="#REF!"/>
    <e v="#REF!"/>
    <e v="#REF!"/>
    <e v="#REF!"/>
    <e v="#REF!"/>
  </r>
  <r>
    <x v="0"/>
    <e v="#REF!"/>
    <e v="#REF!"/>
    <e v="#REF!"/>
    <e v="#REF!"/>
    <e v="#REF!"/>
    <e v="#REF!"/>
    <e v="#REF!"/>
    <x v="0"/>
    <x v="0"/>
    <e v="#REF!"/>
    <e v="#REF!"/>
    <e v="#REF!"/>
    <e v="#REF!"/>
    <e v="#REF!"/>
    <e v="#REF!"/>
    <e v="#REF!"/>
    <e v="#REF!"/>
    <e v="#REF!"/>
    <e v="#REF!"/>
    <e v="#REF!"/>
    <e v="#REF!"/>
    <e v="#REF!"/>
    <e v="#REF!"/>
    <e v="#REF!"/>
    <e v="#REF!"/>
    <e v="#REF!"/>
    <e v="#REF!"/>
    <e v="#REF!"/>
    <e v="#REF!"/>
    <e v="#REF!"/>
    <e v="#REF!"/>
    <e v="#REF!"/>
    <e v="#REF!"/>
  </r>
  <r>
    <x v="0"/>
    <e v="#REF!"/>
    <e v="#REF!"/>
    <e v="#REF!"/>
    <e v="#REF!"/>
    <e v="#REF!"/>
    <e v="#REF!"/>
    <e v="#REF!"/>
    <x v="0"/>
    <x v="0"/>
    <e v="#REF!"/>
    <e v="#REF!"/>
    <e v="#REF!"/>
    <e v="#REF!"/>
    <e v="#REF!"/>
    <e v="#REF!"/>
    <e v="#REF!"/>
    <e v="#REF!"/>
    <e v="#REF!"/>
    <e v="#REF!"/>
    <e v="#REF!"/>
    <e v="#REF!"/>
    <e v="#REF!"/>
    <e v="#REF!"/>
    <e v="#REF!"/>
    <e v="#REF!"/>
    <e v="#REF!"/>
    <e v="#REF!"/>
    <e v="#REF!"/>
    <e v="#REF!"/>
    <e v="#REF!"/>
    <e v="#REF!"/>
    <e v="#REF!"/>
    <e v="#REF!"/>
  </r>
  <r>
    <x v="0"/>
    <e v="#REF!"/>
    <e v="#REF!"/>
    <e v="#REF!"/>
    <e v="#REF!"/>
    <e v="#REF!"/>
    <e v="#REF!"/>
    <e v="#REF!"/>
    <x v="0"/>
    <x v="0"/>
    <e v="#REF!"/>
    <e v="#REF!"/>
    <e v="#REF!"/>
    <e v="#REF!"/>
    <e v="#REF!"/>
    <e v="#REF!"/>
    <e v="#REF!"/>
    <e v="#REF!"/>
    <e v="#REF!"/>
    <e v="#REF!"/>
    <e v="#REF!"/>
    <e v="#REF!"/>
    <e v="#REF!"/>
    <e v="#REF!"/>
    <e v="#REF!"/>
    <e v="#REF!"/>
    <e v="#REF!"/>
    <e v="#REF!"/>
    <e v="#REF!"/>
    <e v="#REF!"/>
    <e v="#REF!"/>
    <e v="#REF!"/>
    <e v="#REF!"/>
    <e v="#REF!"/>
  </r>
  <r>
    <x v="0"/>
    <e v="#REF!"/>
    <e v="#REF!"/>
    <e v="#REF!"/>
    <e v="#REF!"/>
    <e v="#REF!"/>
    <e v="#REF!"/>
    <e v="#REF!"/>
    <x v="0"/>
    <x v="0"/>
    <e v="#REF!"/>
    <e v="#REF!"/>
    <e v="#REF!"/>
    <e v="#REF!"/>
    <e v="#REF!"/>
    <e v="#REF!"/>
    <e v="#REF!"/>
    <e v="#REF!"/>
    <e v="#REF!"/>
    <e v="#REF!"/>
    <e v="#REF!"/>
    <e v="#REF!"/>
    <e v="#REF!"/>
    <e v="#REF!"/>
    <e v="#REF!"/>
    <e v="#REF!"/>
    <e v="#REF!"/>
    <e v="#REF!"/>
    <e v="#REF!"/>
    <e v="#REF!"/>
    <e v="#REF!"/>
    <e v="#REF!"/>
    <e v="#REF!"/>
    <e v="#REF!"/>
  </r>
  <r>
    <x v="0"/>
    <e v="#REF!"/>
    <e v="#REF!"/>
    <e v="#REF!"/>
    <e v="#REF!"/>
    <e v="#REF!"/>
    <e v="#REF!"/>
    <e v="#REF!"/>
    <x v="0"/>
    <x v="0"/>
    <e v="#REF!"/>
    <e v="#REF!"/>
    <e v="#REF!"/>
    <e v="#REF!"/>
    <e v="#REF!"/>
    <e v="#REF!"/>
    <e v="#REF!"/>
    <e v="#REF!"/>
    <e v="#REF!"/>
    <e v="#REF!"/>
    <e v="#REF!"/>
    <e v="#REF!"/>
    <e v="#REF!"/>
    <e v="#REF!"/>
    <e v="#REF!"/>
    <e v="#REF!"/>
    <e v="#REF!"/>
    <e v="#REF!"/>
    <e v="#REF!"/>
    <e v="#REF!"/>
    <e v="#REF!"/>
    <e v="#REF!"/>
    <e v="#REF!"/>
    <e v="#REF!"/>
  </r>
  <r>
    <x v="0"/>
    <e v="#REF!"/>
    <e v="#REF!"/>
    <e v="#REF!"/>
    <e v="#REF!"/>
    <e v="#REF!"/>
    <e v="#REF!"/>
    <e v="#REF!"/>
    <x v="0"/>
    <x v="0"/>
    <e v="#REF!"/>
    <e v="#REF!"/>
    <e v="#REF!"/>
    <e v="#REF!"/>
    <e v="#REF!"/>
    <e v="#REF!"/>
    <e v="#REF!"/>
    <e v="#REF!"/>
    <e v="#REF!"/>
    <e v="#REF!"/>
    <e v="#REF!"/>
    <e v="#REF!"/>
    <e v="#REF!"/>
    <e v="#REF!"/>
    <e v="#REF!"/>
    <e v="#REF!"/>
    <e v="#REF!"/>
    <e v="#REF!"/>
    <e v="#REF!"/>
    <e v="#REF!"/>
    <e v="#REF!"/>
    <e v="#REF!"/>
    <e v="#REF!"/>
    <e v="#REF!"/>
  </r>
  <r>
    <x v="0"/>
    <e v="#REF!"/>
    <e v="#REF!"/>
    <e v="#REF!"/>
    <e v="#REF!"/>
    <e v="#REF!"/>
    <e v="#REF!"/>
    <e v="#REF!"/>
    <x v="0"/>
    <x v="0"/>
    <e v="#REF!"/>
    <e v="#REF!"/>
    <e v="#REF!"/>
    <e v="#REF!"/>
    <e v="#REF!"/>
    <e v="#REF!"/>
    <e v="#REF!"/>
    <e v="#REF!"/>
    <e v="#REF!"/>
    <e v="#REF!"/>
    <e v="#REF!"/>
    <e v="#REF!"/>
    <e v="#REF!"/>
    <e v="#REF!"/>
    <e v="#REF!"/>
    <e v="#REF!"/>
    <e v="#REF!"/>
    <e v="#REF!"/>
    <e v="#REF!"/>
    <e v="#REF!"/>
    <e v="#REF!"/>
    <e v="#REF!"/>
    <e v="#REF!"/>
    <e v="#REF!"/>
  </r>
  <r>
    <x v="0"/>
    <e v="#REF!"/>
    <e v="#REF!"/>
    <e v="#REF!"/>
    <e v="#REF!"/>
    <e v="#REF!"/>
    <e v="#REF!"/>
    <e v="#REF!"/>
    <x v="0"/>
    <x v="0"/>
    <e v="#REF!"/>
    <e v="#REF!"/>
    <e v="#REF!"/>
    <e v="#REF!"/>
    <e v="#REF!"/>
    <e v="#REF!"/>
    <e v="#REF!"/>
    <e v="#REF!"/>
    <e v="#REF!"/>
    <e v="#REF!"/>
    <e v="#REF!"/>
    <e v="#REF!"/>
    <e v="#REF!"/>
    <e v="#REF!"/>
    <e v="#REF!"/>
    <e v="#REF!"/>
    <e v="#REF!"/>
    <e v="#REF!"/>
    <e v="#REF!"/>
    <e v="#REF!"/>
    <e v="#REF!"/>
    <e v="#REF!"/>
    <e v="#REF!"/>
    <e v="#REF!"/>
  </r>
  <r>
    <x v="0"/>
    <e v="#REF!"/>
    <e v="#REF!"/>
    <e v="#REF!"/>
    <e v="#REF!"/>
    <e v="#REF!"/>
    <e v="#REF!"/>
    <e v="#REF!"/>
    <x v="0"/>
    <x v="0"/>
    <e v="#REF!"/>
    <e v="#REF!"/>
    <e v="#REF!"/>
    <e v="#REF!"/>
    <e v="#REF!"/>
    <e v="#REF!"/>
    <e v="#REF!"/>
    <e v="#REF!"/>
    <e v="#REF!"/>
    <e v="#REF!"/>
    <e v="#REF!"/>
    <e v="#REF!"/>
    <e v="#REF!"/>
    <e v="#REF!"/>
    <e v="#REF!"/>
    <e v="#REF!"/>
    <e v="#REF!"/>
    <e v="#REF!"/>
    <e v="#REF!"/>
    <e v="#REF!"/>
    <e v="#REF!"/>
    <e v="#REF!"/>
    <e v="#REF!"/>
    <e v="#REF!"/>
  </r>
  <r>
    <x v="0"/>
    <e v="#REF!"/>
    <e v="#REF!"/>
    <e v="#REF!"/>
    <e v="#REF!"/>
    <e v="#REF!"/>
    <e v="#REF!"/>
    <e v="#REF!"/>
    <x v="0"/>
    <x v="0"/>
    <e v="#REF!"/>
    <e v="#REF!"/>
    <e v="#REF!"/>
    <e v="#REF!"/>
    <e v="#REF!"/>
    <e v="#REF!"/>
    <e v="#REF!"/>
    <e v="#REF!"/>
    <e v="#REF!"/>
    <e v="#REF!"/>
    <e v="#REF!"/>
    <e v="#REF!"/>
    <e v="#REF!"/>
    <e v="#REF!"/>
    <e v="#REF!"/>
    <e v="#REF!"/>
    <e v="#REF!"/>
    <e v="#REF!"/>
    <e v="#REF!"/>
    <e v="#REF!"/>
    <e v="#REF!"/>
    <e v="#REF!"/>
    <e v="#REF!"/>
    <e v="#REF!"/>
  </r>
  <r>
    <x v="0"/>
    <e v="#REF!"/>
    <e v="#REF!"/>
    <e v="#REF!"/>
    <e v="#REF!"/>
    <e v="#REF!"/>
    <e v="#REF!"/>
    <e v="#REF!"/>
    <x v="0"/>
    <x v="0"/>
    <e v="#REF!"/>
    <e v="#REF!"/>
    <e v="#REF!"/>
    <e v="#REF!"/>
    <e v="#REF!"/>
    <e v="#REF!"/>
    <e v="#REF!"/>
    <e v="#REF!"/>
    <e v="#REF!"/>
    <e v="#REF!"/>
    <e v="#REF!"/>
    <e v="#REF!"/>
    <e v="#REF!"/>
    <e v="#REF!"/>
    <e v="#REF!"/>
    <e v="#REF!"/>
    <e v="#REF!"/>
    <e v="#REF!"/>
    <e v="#REF!"/>
    <e v="#REF!"/>
    <e v="#REF!"/>
    <e v="#REF!"/>
    <e v="#REF!"/>
    <e v="#REF!"/>
  </r>
  <r>
    <x v="0"/>
    <e v="#REF!"/>
    <e v="#REF!"/>
    <e v="#REF!"/>
    <e v="#REF!"/>
    <e v="#REF!"/>
    <e v="#REF!"/>
    <e v="#REF!"/>
    <x v="0"/>
    <x v="0"/>
    <e v="#REF!"/>
    <e v="#REF!"/>
    <e v="#REF!"/>
    <e v="#REF!"/>
    <e v="#REF!"/>
    <e v="#REF!"/>
    <e v="#REF!"/>
    <e v="#REF!"/>
    <e v="#REF!"/>
    <e v="#REF!"/>
    <e v="#REF!"/>
    <e v="#REF!"/>
    <e v="#REF!"/>
    <e v="#REF!"/>
    <e v="#REF!"/>
    <e v="#REF!"/>
    <e v="#REF!"/>
    <e v="#REF!"/>
    <e v="#REF!"/>
    <e v="#REF!"/>
    <e v="#REF!"/>
    <e v="#REF!"/>
    <e v="#REF!"/>
    <e v="#REF!"/>
  </r>
  <r>
    <x v="0"/>
    <e v="#REF!"/>
    <e v="#REF!"/>
    <e v="#REF!"/>
    <e v="#REF!"/>
    <e v="#REF!"/>
    <e v="#REF!"/>
    <e v="#REF!"/>
    <x v="0"/>
    <x v="0"/>
    <e v="#REF!"/>
    <e v="#REF!"/>
    <e v="#REF!"/>
    <e v="#REF!"/>
    <e v="#REF!"/>
    <e v="#REF!"/>
    <e v="#REF!"/>
    <e v="#REF!"/>
    <e v="#REF!"/>
    <e v="#REF!"/>
    <e v="#REF!"/>
    <e v="#REF!"/>
    <e v="#REF!"/>
    <e v="#REF!"/>
    <e v="#REF!"/>
    <e v="#REF!"/>
    <e v="#REF!"/>
    <e v="#REF!"/>
    <e v="#REF!"/>
    <e v="#REF!"/>
    <e v="#REF!"/>
    <e v="#REF!"/>
    <e v="#REF!"/>
    <e v="#REF!"/>
  </r>
  <r>
    <x v="0"/>
    <e v="#REF!"/>
    <e v="#REF!"/>
    <e v="#REF!"/>
    <e v="#REF!"/>
    <e v="#REF!"/>
    <e v="#REF!"/>
    <e v="#REF!"/>
    <x v="0"/>
    <x v="0"/>
    <e v="#REF!"/>
    <e v="#REF!"/>
    <e v="#REF!"/>
    <e v="#REF!"/>
    <e v="#REF!"/>
    <e v="#REF!"/>
    <e v="#REF!"/>
    <e v="#REF!"/>
    <e v="#REF!"/>
    <e v="#REF!"/>
    <e v="#REF!"/>
    <e v="#REF!"/>
    <e v="#REF!"/>
    <e v="#REF!"/>
    <e v="#REF!"/>
    <e v="#REF!"/>
    <e v="#REF!"/>
    <e v="#REF!"/>
    <e v="#REF!"/>
    <e v="#REF!"/>
    <e v="#REF!"/>
    <e v="#REF!"/>
    <e v="#REF!"/>
    <e v="#REF!"/>
  </r>
  <r>
    <x v="0"/>
    <e v="#REF!"/>
    <e v="#REF!"/>
    <e v="#REF!"/>
    <e v="#REF!"/>
    <e v="#REF!"/>
    <e v="#REF!"/>
    <e v="#REF!"/>
    <x v="0"/>
    <x v="0"/>
    <e v="#REF!"/>
    <e v="#REF!"/>
    <e v="#REF!"/>
    <e v="#REF!"/>
    <e v="#REF!"/>
    <e v="#REF!"/>
    <e v="#REF!"/>
    <e v="#REF!"/>
    <e v="#REF!"/>
    <e v="#REF!"/>
    <e v="#REF!"/>
    <e v="#REF!"/>
    <e v="#REF!"/>
    <e v="#REF!"/>
    <e v="#REF!"/>
    <e v="#REF!"/>
    <e v="#REF!"/>
    <e v="#REF!"/>
    <e v="#REF!"/>
    <e v="#REF!"/>
    <e v="#REF!"/>
    <e v="#REF!"/>
    <e v="#REF!"/>
    <e v="#REF!"/>
  </r>
  <r>
    <x v="0"/>
    <e v="#REF!"/>
    <e v="#REF!"/>
    <e v="#REF!"/>
    <e v="#REF!"/>
    <e v="#REF!"/>
    <e v="#REF!"/>
    <e v="#REF!"/>
    <x v="0"/>
    <x v="0"/>
    <e v="#REF!"/>
    <e v="#REF!"/>
    <e v="#REF!"/>
    <e v="#REF!"/>
    <e v="#REF!"/>
    <e v="#REF!"/>
    <e v="#REF!"/>
    <e v="#REF!"/>
    <e v="#REF!"/>
    <e v="#REF!"/>
    <e v="#REF!"/>
    <e v="#REF!"/>
    <e v="#REF!"/>
    <e v="#REF!"/>
    <e v="#REF!"/>
    <e v="#REF!"/>
    <e v="#REF!"/>
    <e v="#REF!"/>
    <e v="#REF!"/>
    <e v="#REF!"/>
    <e v="#REF!"/>
    <e v="#REF!"/>
    <e v="#REF!"/>
    <e v="#REF!"/>
  </r>
  <r>
    <x v="0"/>
    <e v="#REF!"/>
    <e v="#REF!"/>
    <e v="#REF!"/>
    <e v="#REF!"/>
    <e v="#REF!"/>
    <e v="#REF!"/>
    <e v="#REF!"/>
    <x v="0"/>
    <x v="0"/>
    <e v="#REF!"/>
    <e v="#REF!"/>
    <e v="#REF!"/>
    <e v="#REF!"/>
    <e v="#REF!"/>
    <e v="#REF!"/>
    <e v="#REF!"/>
    <e v="#REF!"/>
    <e v="#REF!"/>
    <e v="#REF!"/>
    <e v="#REF!"/>
    <e v="#REF!"/>
    <e v="#REF!"/>
    <e v="#REF!"/>
    <e v="#REF!"/>
    <e v="#REF!"/>
    <e v="#REF!"/>
    <e v="#REF!"/>
    <e v="#REF!"/>
    <e v="#REF!"/>
    <e v="#REF!"/>
    <e v="#REF!"/>
    <e v="#REF!"/>
    <e v="#REF!"/>
  </r>
  <r>
    <x v="0"/>
    <e v="#REF!"/>
    <e v="#REF!"/>
    <e v="#REF!"/>
    <e v="#REF!"/>
    <e v="#REF!"/>
    <e v="#REF!"/>
    <e v="#REF!"/>
    <x v="0"/>
    <x v="0"/>
    <e v="#REF!"/>
    <e v="#REF!"/>
    <e v="#REF!"/>
    <e v="#REF!"/>
    <e v="#REF!"/>
    <e v="#REF!"/>
    <e v="#REF!"/>
    <e v="#REF!"/>
    <e v="#REF!"/>
    <e v="#REF!"/>
    <e v="#REF!"/>
    <e v="#REF!"/>
    <e v="#REF!"/>
    <e v="#REF!"/>
    <e v="#REF!"/>
    <e v="#REF!"/>
    <e v="#REF!"/>
    <e v="#REF!"/>
    <e v="#REF!"/>
    <e v="#REF!"/>
    <e v="#REF!"/>
    <e v="#REF!"/>
    <e v="#REF!"/>
    <e v="#REF!"/>
  </r>
  <r>
    <x v="0"/>
    <e v="#REF!"/>
    <e v="#REF!"/>
    <e v="#REF!"/>
    <e v="#REF!"/>
    <e v="#REF!"/>
    <e v="#REF!"/>
    <e v="#REF!"/>
    <x v="0"/>
    <x v="0"/>
    <e v="#REF!"/>
    <e v="#REF!"/>
    <e v="#REF!"/>
    <e v="#REF!"/>
    <e v="#REF!"/>
    <e v="#REF!"/>
    <e v="#REF!"/>
    <e v="#REF!"/>
    <e v="#REF!"/>
    <e v="#REF!"/>
    <e v="#REF!"/>
    <e v="#REF!"/>
    <e v="#REF!"/>
    <e v="#REF!"/>
    <e v="#REF!"/>
    <e v="#REF!"/>
    <e v="#REF!"/>
    <e v="#REF!"/>
    <e v="#REF!"/>
    <e v="#REF!"/>
    <e v="#REF!"/>
    <e v="#REF!"/>
    <e v="#REF!"/>
    <e v="#REF!"/>
  </r>
  <r>
    <x v="0"/>
    <e v="#REF!"/>
    <e v="#REF!"/>
    <e v="#REF!"/>
    <e v="#REF!"/>
    <e v="#REF!"/>
    <e v="#REF!"/>
    <e v="#REF!"/>
    <x v="0"/>
    <x v="0"/>
    <e v="#REF!"/>
    <e v="#REF!"/>
    <e v="#REF!"/>
    <e v="#REF!"/>
    <e v="#REF!"/>
    <e v="#REF!"/>
    <e v="#REF!"/>
    <e v="#REF!"/>
    <e v="#REF!"/>
    <e v="#REF!"/>
    <e v="#REF!"/>
    <e v="#REF!"/>
    <e v="#REF!"/>
    <e v="#REF!"/>
    <e v="#REF!"/>
    <e v="#REF!"/>
    <e v="#REF!"/>
    <e v="#REF!"/>
    <e v="#REF!"/>
    <e v="#REF!"/>
    <e v="#REF!"/>
    <e v="#REF!"/>
    <e v="#REF!"/>
    <e v="#REF!"/>
  </r>
  <r>
    <x v="0"/>
    <e v="#REF!"/>
    <e v="#REF!"/>
    <e v="#REF!"/>
    <e v="#REF!"/>
    <e v="#REF!"/>
    <e v="#REF!"/>
    <e v="#REF!"/>
    <x v="0"/>
    <x v="0"/>
    <e v="#REF!"/>
    <e v="#REF!"/>
    <e v="#REF!"/>
    <e v="#REF!"/>
    <e v="#REF!"/>
    <e v="#REF!"/>
    <e v="#REF!"/>
    <e v="#REF!"/>
    <e v="#REF!"/>
    <e v="#REF!"/>
    <e v="#REF!"/>
    <e v="#REF!"/>
    <e v="#REF!"/>
    <e v="#REF!"/>
    <e v="#REF!"/>
    <e v="#REF!"/>
    <e v="#REF!"/>
    <e v="#REF!"/>
    <e v="#REF!"/>
    <e v="#REF!"/>
    <e v="#REF!"/>
    <e v="#REF!"/>
    <e v="#REF!"/>
    <e v="#REF!"/>
  </r>
  <r>
    <x v="0"/>
    <e v="#REF!"/>
    <e v="#REF!"/>
    <e v="#REF!"/>
    <e v="#REF!"/>
    <e v="#REF!"/>
    <e v="#REF!"/>
    <e v="#REF!"/>
    <x v="0"/>
    <x v="0"/>
    <e v="#REF!"/>
    <e v="#REF!"/>
    <e v="#REF!"/>
    <e v="#REF!"/>
    <e v="#REF!"/>
    <e v="#REF!"/>
    <e v="#REF!"/>
    <e v="#REF!"/>
    <e v="#REF!"/>
    <e v="#REF!"/>
    <e v="#REF!"/>
    <e v="#REF!"/>
    <e v="#REF!"/>
    <e v="#REF!"/>
    <e v="#REF!"/>
    <e v="#REF!"/>
    <e v="#REF!"/>
    <e v="#REF!"/>
    <e v="#REF!"/>
    <e v="#REF!"/>
    <e v="#REF!"/>
    <e v="#REF!"/>
    <e v="#REF!"/>
    <e v="#REF!"/>
  </r>
  <r>
    <x v="0"/>
    <e v="#REF!"/>
    <e v="#REF!"/>
    <e v="#REF!"/>
    <e v="#REF!"/>
    <e v="#REF!"/>
    <e v="#REF!"/>
    <e v="#REF!"/>
    <x v="0"/>
    <x v="0"/>
    <e v="#REF!"/>
    <e v="#REF!"/>
    <e v="#REF!"/>
    <e v="#REF!"/>
    <e v="#REF!"/>
    <e v="#REF!"/>
    <e v="#REF!"/>
    <e v="#REF!"/>
    <e v="#REF!"/>
    <e v="#REF!"/>
    <e v="#REF!"/>
    <e v="#REF!"/>
    <e v="#REF!"/>
    <e v="#REF!"/>
    <e v="#REF!"/>
    <e v="#REF!"/>
    <e v="#REF!"/>
    <e v="#REF!"/>
    <e v="#REF!"/>
    <e v="#REF!"/>
    <e v="#REF!"/>
    <e v="#REF!"/>
    <e v="#REF!"/>
    <e v="#REF!"/>
  </r>
  <r>
    <x v="0"/>
    <e v="#REF!"/>
    <e v="#REF!"/>
    <e v="#REF!"/>
    <e v="#REF!"/>
    <e v="#REF!"/>
    <e v="#REF!"/>
    <e v="#REF!"/>
    <x v="0"/>
    <x v="0"/>
    <e v="#REF!"/>
    <e v="#REF!"/>
    <e v="#REF!"/>
    <e v="#REF!"/>
    <e v="#REF!"/>
    <e v="#REF!"/>
    <e v="#REF!"/>
    <e v="#REF!"/>
    <e v="#REF!"/>
    <e v="#REF!"/>
    <e v="#REF!"/>
    <e v="#REF!"/>
    <e v="#REF!"/>
    <e v="#REF!"/>
    <e v="#REF!"/>
    <e v="#REF!"/>
    <e v="#REF!"/>
    <e v="#REF!"/>
    <e v="#REF!"/>
    <e v="#REF!"/>
    <e v="#REF!"/>
    <e v="#REF!"/>
    <e v="#REF!"/>
    <e v="#REF!"/>
  </r>
  <r>
    <x v="0"/>
    <e v="#REF!"/>
    <e v="#REF!"/>
    <e v="#REF!"/>
    <e v="#REF!"/>
    <e v="#REF!"/>
    <e v="#REF!"/>
    <e v="#REF!"/>
    <x v="0"/>
    <x v="0"/>
    <e v="#REF!"/>
    <e v="#REF!"/>
    <e v="#REF!"/>
    <e v="#REF!"/>
    <e v="#REF!"/>
    <e v="#REF!"/>
    <e v="#REF!"/>
    <e v="#REF!"/>
    <e v="#REF!"/>
    <e v="#REF!"/>
    <e v="#REF!"/>
    <e v="#REF!"/>
    <e v="#REF!"/>
    <e v="#REF!"/>
    <e v="#REF!"/>
    <e v="#REF!"/>
    <e v="#REF!"/>
    <e v="#REF!"/>
    <e v="#REF!"/>
    <e v="#REF!"/>
    <e v="#REF!"/>
    <e v="#REF!"/>
    <e v="#REF!"/>
    <e v="#REF!"/>
  </r>
  <r>
    <x v="0"/>
    <e v="#REF!"/>
    <e v="#REF!"/>
    <e v="#REF!"/>
    <e v="#REF!"/>
    <e v="#REF!"/>
    <e v="#REF!"/>
    <e v="#REF!"/>
    <x v="0"/>
    <x v="0"/>
    <e v="#REF!"/>
    <e v="#REF!"/>
    <e v="#REF!"/>
    <e v="#REF!"/>
    <e v="#REF!"/>
    <e v="#REF!"/>
    <e v="#REF!"/>
    <e v="#REF!"/>
    <e v="#REF!"/>
    <e v="#REF!"/>
    <e v="#REF!"/>
    <e v="#REF!"/>
    <e v="#REF!"/>
    <e v="#REF!"/>
    <e v="#REF!"/>
    <e v="#REF!"/>
    <e v="#REF!"/>
    <e v="#REF!"/>
    <e v="#REF!"/>
    <e v="#REF!"/>
    <e v="#REF!"/>
    <e v="#REF!"/>
    <e v="#REF!"/>
    <e v="#REF!"/>
  </r>
  <r>
    <x v="0"/>
    <e v="#REF!"/>
    <e v="#REF!"/>
    <e v="#REF!"/>
    <e v="#REF!"/>
    <e v="#REF!"/>
    <e v="#REF!"/>
    <e v="#REF!"/>
    <x v="0"/>
    <x v="0"/>
    <e v="#REF!"/>
    <e v="#REF!"/>
    <e v="#REF!"/>
    <e v="#REF!"/>
    <e v="#REF!"/>
    <e v="#REF!"/>
    <e v="#REF!"/>
    <e v="#REF!"/>
    <e v="#REF!"/>
    <e v="#REF!"/>
    <e v="#REF!"/>
    <e v="#REF!"/>
    <e v="#REF!"/>
    <e v="#REF!"/>
    <e v="#REF!"/>
    <e v="#REF!"/>
    <e v="#REF!"/>
    <e v="#REF!"/>
    <e v="#REF!"/>
    <e v="#REF!"/>
    <e v="#REF!"/>
    <e v="#REF!"/>
    <e v="#REF!"/>
    <e v="#REF!"/>
  </r>
  <r>
    <x v="0"/>
    <e v="#REF!"/>
    <e v="#REF!"/>
    <e v="#REF!"/>
    <e v="#REF!"/>
    <e v="#REF!"/>
    <e v="#REF!"/>
    <e v="#REF!"/>
    <x v="0"/>
    <x v="0"/>
    <e v="#REF!"/>
    <e v="#REF!"/>
    <e v="#REF!"/>
    <e v="#REF!"/>
    <e v="#REF!"/>
    <e v="#REF!"/>
    <e v="#REF!"/>
    <e v="#REF!"/>
    <e v="#REF!"/>
    <e v="#REF!"/>
    <e v="#REF!"/>
    <e v="#REF!"/>
    <e v="#REF!"/>
    <e v="#REF!"/>
    <e v="#REF!"/>
    <e v="#REF!"/>
    <e v="#REF!"/>
    <e v="#REF!"/>
    <e v="#REF!"/>
    <e v="#REF!"/>
    <e v="#REF!"/>
    <e v="#REF!"/>
    <e v="#REF!"/>
    <e v="#REF!"/>
  </r>
  <r>
    <x v="0"/>
    <e v="#REF!"/>
    <e v="#REF!"/>
    <e v="#REF!"/>
    <e v="#REF!"/>
    <e v="#REF!"/>
    <e v="#REF!"/>
    <e v="#REF!"/>
    <x v="0"/>
    <x v="0"/>
    <e v="#REF!"/>
    <e v="#REF!"/>
    <e v="#REF!"/>
    <e v="#REF!"/>
    <e v="#REF!"/>
    <e v="#REF!"/>
    <e v="#REF!"/>
    <e v="#REF!"/>
    <e v="#REF!"/>
    <e v="#REF!"/>
    <e v="#REF!"/>
    <e v="#REF!"/>
    <e v="#REF!"/>
    <e v="#REF!"/>
    <e v="#REF!"/>
    <e v="#REF!"/>
    <e v="#REF!"/>
    <e v="#REF!"/>
    <e v="#REF!"/>
    <e v="#REF!"/>
    <e v="#REF!"/>
    <e v="#REF!"/>
    <e v="#REF!"/>
    <e v="#REF!"/>
  </r>
  <r>
    <x v="0"/>
    <e v="#REF!"/>
    <e v="#REF!"/>
    <e v="#REF!"/>
    <e v="#REF!"/>
    <e v="#REF!"/>
    <e v="#REF!"/>
    <e v="#REF!"/>
    <x v="0"/>
    <x v="0"/>
    <e v="#REF!"/>
    <e v="#REF!"/>
    <e v="#REF!"/>
    <e v="#REF!"/>
    <e v="#REF!"/>
    <e v="#REF!"/>
    <e v="#REF!"/>
    <e v="#REF!"/>
    <e v="#REF!"/>
    <e v="#REF!"/>
    <e v="#REF!"/>
    <e v="#REF!"/>
    <e v="#REF!"/>
    <e v="#REF!"/>
    <e v="#REF!"/>
    <e v="#REF!"/>
    <e v="#REF!"/>
    <e v="#REF!"/>
    <e v="#REF!"/>
    <e v="#REF!"/>
    <e v="#REF!"/>
    <e v="#REF!"/>
    <e v="#REF!"/>
    <e v="#REF!"/>
  </r>
  <r>
    <x v="0"/>
    <e v="#REF!"/>
    <e v="#REF!"/>
    <e v="#REF!"/>
    <e v="#REF!"/>
    <e v="#REF!"/>
    <e v="#REF!"/>
    <e v="#REF!"/>
    <x v="0"/>
    <x v="0"/>
    <e v="#REF!"/>
    <e v="#REF!"/>
    <e v="#REF!"/>
    <e v="#REF!"/>
    <e v="#REF!"/>
    <e v="#REF!"/>
    <e v="#REF!"/>
    <e v="#REF!"/>
    <e v="#REF!"/>
    <e v="#REF!"/>
    <e v="#REF!"/>
    <e v="#REF!"/>
    <e v="#REF!"/>
    <e v="#REF!"/>
    <e v="#REF!"/>
    <e v="#REF!"/>
    <e v="#REF!"/>
    <e v="#REF!"/>
    <e v="#REF!"/>
    <e v="#REF!"/>
    <e v="#REF!"/>
    <e v="#REF!"/>
    <e v="#REF!"/>
    <e v="#REF!"/>
  </r>
  <r>
    <x v="0"/>
    <e v="#REF!"/>
    <e v="#REF!"/>
    <e v="#REF!"/>
    <e v="#REF!"/>
    <e v="#REF!"/>
    <e v="#REF!"/>
    <e v="#REF!"/>
    <x v="0"/>
    <x v="0"/>
    <e v="#REF!"/>
    <e v="#REF!"/>
    <e v="#REF!"/>
    <e v="#REF!"/>
    <e v="#REF!"/>
    <e v="#REF!"/>
    <e v="#REF!"/>
    <e v="#REF!"/>
    <e v="#REF!"/>
    <e v="#REF!"/>
    <e v="#REF!"/>
    <e v="#REF!"/>
    <e v="#REF!"/>
    <e v="#REF!"/>
    <e v="#REF!"/>
    <e v="#REF!"/>
    <e v="#REF!"/>
    <e v="#REF!"/>
    <e v="#REF!"/>
    <e v="#REF!"/>
    <e v="#REF!"/>
    <e v="#REF!"/>
    <e v="#REF!"/>
    <e v="#REF!"/>
  </r>
  <r>
    <x v="0"/>
    <e v="#REF!"/>
    <e v="#REF!"/>
    <e v="#REF!"/>
    <e v="#REF!"/>
    <e v="#REF!"/>
    <e v="#REF!"/>
    <e v="#REF!"/>
    <x v="0"/>
    <x v="0"/>
    <e v="#REF!"/>
    <e v="#REF!"/>
    <e v="#REF!"/>
    <e v="#REF!"/>
    <e v="#REF!"/>
    <e v="#REF!"/>
    <e v="#REF!"/>
    <e v="#REF!"/>
    <e v="#REF!"/>
    <e v="#REF!"/>
    <e v="#REF!"/>
    <e v="#REF!"/>
    <e v="#REF!"/>
    <e v="#REF!"/>
    <e v="#REF!"/>
    <e v="#REF!"/>
    <e v="#REF!"/>
    <e v="#REF!"/>
    <e v="#REF!"/>
    <e v="#REF!"/>
    <e v="#REF!"/>
    <e v="#REF!"/>
    <e v="#REF!"/>
    <e v="#REF!"/>
  </r>
  <r>
    <x v="0"/>
    <e v="#REF!"/>
    <e v="#REF!"/>
    <e v="#REF!"/>
    <e v="#REF!"/>
    <e v="#REF!"/>
    <e v="#REF!"/>
    <e v="#REF!"/>
    <x v="0"/>
    <x v="0"/>
    <e v="#REF!"/>
    <e v="#REF!"/>
    <e v="#REF!"/>
    <e v="#REF!"/>
    <e v="#REF!"/>
    <e v="#REF!"/>
    <e v="#REF!"/>
    <e v="#REF!"/>
    <e v="#REF!"/>
    <e v="#REF!"/>
    <e v="#REF!"/>
    <e v="#REF!"/>
    <e v="#REF!"/>
    <e v="#REF!"/>
    <e v="#REF!"/>
    <e v="#REF!"/>
    <e v="#REF!"/>
    <e v="#REF!"/>
    <e v="#REF!"/>
    <e v="#REF!"/>
    <e v="#REF!"/>
    <e v="#REF!"/>
    <e v="#REF!"/>
    <e v="#REF!"/>
  </r>
  <r>
    <x v="0"/>
    <e v="#REF!"/>
    <e v="#REF!"/>
    <e v="#REF!"/>
    <e v="#REF!"/>
    <e v="#REF!"/>
    <e v="#REF!"/>
    <e v="#REF!"/>
    <x v="0"/>
    <x v="0"/>
    <e v="#REF!"/>
    <e v="#REF!"/>
    <e v="#REF!"/>
    <e v="#REF!"/>
    <e v="#REF!"/>
    <e v="#REF!"/>
    <e v="#REF!"/>
    <e v="#REF!"/>
    <e v="#REF!"/>
    <e v="#REF!"/>
    <e v="#REF!"/>
    <e v="#REF!"/>
    <e v="#REF!"/>
    <e v="#REF!"/>
    <e v="#REF!"/>
    <e v="#REF!"/>
    <e v="#REF!"/>
    <e v="#REF!"/>
    <e v="#REF!"/>
    <e v="#REF!"/>
    <e v="#REF!"/>
    <e v="#REF!"/>
    <e v="#REF!"/>
    <e v="#REF!"/>
  </r>
  <r>
    <x v="0"/>
    <e v="#REF!"/>
    <e v="#REF!"/>
    <e v="#REF!"/>
    <e v="#REF!"/>
    <e v="#REF!"/>
    <e v="#REF!"/>
    <e v="#REF!"/>
    <x v="0"/>
    <x v="0"/>
    <e v="#REF!"/>
    <e v="#REF!"/>
    <e v="#REF!"/>
    <e v="#REF!"/>
    <e v="#REF!"/>
    <e v="#REF!"/>
    <e v="#REF!"/>
    <e v="#REF!"/>
    <e v="#REF!"/>
    <e v="#REF!"/>
    <e v="#REF!"/>
    <e v="#REF!"/>
    <e v="#REF!"/>
    <e v="#REF!"/>
    <e v="#REF!"/>
    <e v="#REF!"/>
    <e v="#REF!"/>
    <e v="#REF!"/>
    <e v="#REF!"/>
    <e v="#REF!"/>
    <e v="#REF!"/>
    <e v="#REF!"/>
    <e v="#REF!"/>
    <e v="#REF!"/>
  </r>
  <r>
    <x v="0"/>
    <e v="#REF!"/>
    <e v="#REF!"/>
    <e v="#REF!"/>
    <e v="#REF!"/>
    <e v="#REF!"/>
    <e v="#REF!"/>
    <e v="#REF!"/>
    <x v="0"/>
    <x v="0"/>
    <e v="#REF!"/>
    <e v="#REF!"/>
    <e v="#REF!"/>
    <e v="#REF!"/>
    <e v="#REF!"/>
    <e v="#REF!"/>
    <e v="#REF!"/>
    <e v="#REF!"/>
    <e v="#REF!"/>
    <e v="#REF!"/>
    <e v="#REF!"/>
    <e v="#REF!"/>
    <e v="#REF!"/>
    <e v="#REF!"/>
    <e v="#REF!"/>
    <e v="#REF!"/>
    <e v="#REF!"/>
    <e v="#REF!"/>
    <e v="#REF!"/>
    <e v="#REF!"/>
    <e v="#REF!"/>
    <e v="#REF!"/>
    <e v="#REF!"/>
    <e v="#REF!"/>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2"/>
    <m/>
    <m/>
    <m/>
    <m/>
    <m/>
    <m/>
    <m/>
    <x v="2"/>
    <x v="2"/>
    <m/>
    <m/>
    <m/>
    <m/>
    <m/>
    <m/>
    <m/>
    <m/>
    <m/>
    <m/>
    <m/>
    <m/>
    <m/>
    <m/>
    <m/>
    <m/>
    <m/>
    <m/>
    <m/>
    <m/>
    <m/>
    <m/>
    <m/>
    <m/>
  </r>
  <r>
    <x v="2"/>
    <m/>
    <m/>
    <m/>
    <m/>
    <m/>
    <m/>
    <m/>
    <x v="3"/>
    <x v="2"/>
    <m/>
    <m/>
    <m/>
    <m/>
    <m/>
    <m/>
    <m/>
    <m/>
    <m/>
    <m/>
    <m/>
    <m/>
    <m/>
    <m/>
    <m/>
    <m/>
    <m/>
    <m/>
    <m/>
    <m/>
    <m/>
    <m/>
    <m/>
    <m/>
  </r>
  <r>
    <x v="2"/>
    <m/>
    <m/>
    <m/>
    <m/>
    <m/>
    <m/>
    <m/>
    <x v="4"/>
    <x v="2"/>
    <m/>
    <m/>
    <m/>
    <m/>
    <m/>
    <m/>
    <m/>
    <m/>
    <m/>
    <m/>
    <m/>
    <m/>
    <m/>
    <m/>
    <m/>
    <m/>
    <m/>
    <m/>
    <m/>
    <m/>
    <m/>
    <m/>
    <m/>
    <m/>
  </r>
  <r>
    <x v="2"/>
    <m/>
    <m/>
    <m/>
    <m/>
    <m/>
    <m/>
    <m/>
    <x v="5"/>
    <x v="2"/>
    <m/>
    <m/>
    <m/>
    <m/>
    <m/>
    <m/>
    <m/>
    <m/>
    <m/>
    <m/>
    <m/>
    <m/>
    <m/>
    <m/>
    <m/>
    <m/>
    <m/>
    <m/>
    <m/>
    <m/>
    <m/>
    <m/>
    <m/>
    <m/>
  </r>
</pivotCacheRecords>
</file>

<file path=xl/pivotTables/_rels/pivotTable1.xml.rels><?xml version="1.0" encoding="UTF-8" standalone="yes"?>
<Relationships xmlns="http://schemas.openxmlformats.org/package/2006/relationships">
   <Relationship Id="rId1" Target="../pivotCache/pivotCacheDefinition1.xml"
                 Type="http://schemas.openxmlformats.org/officeDocument/2006/relationships/pivotCacheDefinition"/>
</Relationships>
</file>

<file path=xl/pivotTables/_rels/pivotTable2.xml.rels><?xml version="1.0" encoding="UTF-8" standalone="yes"?>
<Relationships xmlns="http://schemas.openxmlformats.org/package/2006/relationships">
   <Relationship Id="rId1" Target="../pivotCache/pivotCacheDefinition1.xml"
                 Type="http://schemas.openxmlformats.org/officeDocument/2006/relationships/pivotCacheDefinition"/>
</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16A9B3-2D25-42C4-912C-A6139200C348}" name="TablaDinámica5" cacheId="17" applyNumberFormats="0" applyBorderFormats="0" applyFontFormats="0" applyPatternFormats="0" applyAlignmentFormats="0" applyWidthHeightFormats="1" dataCaption="Valores" updatedVersion="8" minRefreshableVersion="3" useAutoFormatting="1" rowGrandTotals="0" colGrandTotals="0" itemPrintTitles="1" createdVersion="8" indent="0" outline="1" outlineData="1" multipleFieldFilters="0">
  <location ref="AA4:AB5" firstHeaderRow="1" firstDataRow="1" firstDataCol="1" rowPageCount="1" colPageCount="1"/>
  <pivotFields count="34">
    <pivotField axis="axisRow" dataField="1" multipleItemSelectionAllowed="1" showAll="0" defaultSubtotal="0">
      <items count="107">
        <item x="1"/>
        <item x="2"/>
        <item m="1" x="35"/>
        <item m="1" x="29"/>
        <item m="1" x="69"/>
        <item m="1" x="62"/>
        <item m="1" x="51"/>
        <item m="1" x="45"/>
        <item m="1" x="6"/>
        <item m="1" x="101"/>
        <item m="1" x="94"/>
        <item m="1" x="87"/>
        <item m="1" x="47"/>
        <item m="1" x="88"/>
        <item m="1" x="106"/>
        <item m="1" x="19"/>
        <item m="1" x="37"/>
        <item m="1" x="56"/>
        <item m="1" x="72"/>
        <item m="1" x="92"/>
        <item m="1" x="5"/>
        <item m="1" x="24"/>
        <item m="1" x="39"/>
        <item m="1" x="60"/>
        <item m="1" x="77"/>
        <item m="1" x="95"/>
        <item m="1" x="10"/>
        <item m="1" x="26"/>
        <item m="1" x="44"/>
        <item m="1" x="63"/>
        <item m="1" x="81"/>
        <item m="1" x="98"/>
        <item m="1" x="11"/>
        <item m="1" x="28"/>
        <item m="1" x="46"/>
        <item m="1" x="67"/>
        <item m="1" x="82"/>
        <item m="1" x="100"/>
        <item m="1" x="15"/>
        <item m="1" x="31"/>
        <item m="1" x="50"/>
        <item m="1" x="68"/>
        <item m="1" x="86"/>
        <item m="1" x="102"/>
        <item m="1" x="18"/>
        <item m="1" x="34"/>
        <item m="1" x="53"/>
        <item m="1" x="71"/>
        <item m="1" x="89"/>
        <item m="1" x="4"/>
        <item m="1" x="20"/>
        <item m="1" x="38"/>
        <item m="1" x="57"/>
        <item m="1" x="75"/>
        <item m="1" x="93"/>
        <item m="1" x="7"/>
        <item m="1" x="25"/>
        <item m="1" x="40"/>
        <item m="1" x="61"/>
        <item m="1" x="78"/>
        <item m="1" x="14"/>
        <item m="1" x="85"/>
        <item m="1" x="55"/>
        <item m="1" x="23"/>
        <item m="1" x="97"/>
        <item m="1" x="66"/>
        <item m="1" x="33"/>
        <item m="1" x="105"/>
        <item m="1" x="76"/>
        <item m="1" x="43"/>
        <item m="1" x="13"/>
        <item m="1" x="84"/>
        <item m="1" x="54"/>
        <item m="1" x="22"/>
        <item m="1" x="9"/>
        <item m="1" x="96"/>
        <item m="1" x="80"/>
        <item m="1" x="65"/>
        <item m="1" x="49"/>
        <item m="1" x="32"/>
        <item m="1" x="17"/>
        <item m="1" x="104"/>
        <item m="1" x="91"/>
        <item m="1" x="74"/>
        <item m="1" x="59"/>
        <item m="1" x="42"/>
        <item m="1" x="27"/>
        <item m="1" x="12"/>
        <item m="1" x="99"/>
        <item m="1" x="83"/>
        <item m="1" x="70"/>
        <item m="1" x="52"/>
        <item m="1" x="36"/>
        <item m="1" x="21"/>
        <item m="1" x="8"/>
        <item m="1" x="79"/>
        <item m="1" x="64"/>
        <item m="1" x="48"/>
        <item m="1" x="30"/>
        <item m="1" x="16"/>
        <item m="1" x="103"/>
        <item m="1" x="90"/>
        <item m="1" x="73"/>
        <item m="1" x="58"/>
        <item m="1" x="41"/>
        <item x="0"/>
        <item m="1" x="3"/>
      </items>
    </pivotField>
    <pivotField showAll="0"/>
    <pivotField showAll="0"/>
    <pivotField showAll="0"/>
    <pivotField showAll="0"/>
    <pivotField showAll="0"/>
    <pivotField showAll="0"/>
    <pivotField showAll="0"/>
    <pivotField axis="axisPage" multipleItemSelectionAllowed="1" showAll="0">
      <items count="7">
        <item h="1" x="1"/>
        <item h="1" x="4"/>
        <item x="2"/>
        <item x="3"/>
        <item h="1" x="5"/>
        <item h="1" x="0"/>
        <item t="default"/>
      </items>
    </pivotField>
    <pivotField showAll="0">
      <items count="44">
        <item x="1"/>
        <item m="1" x="12"/>
        <item m="1" x="35"/>
        <item m="1" x="30"/>
        <item m="1" x="32"/>
        <item m="1" x="14"/>
        <item m="1" x="15"/>
        <item m="1" x="22"/>
        <item m="1" x="19"/>
        <item m="1" x="6"/>
        <item m="1" x="42"/>
        <item m="1" x="24"/>
        <item m="1" x="11"/>
        <item m="1" x="4"/>
        <item m="1" x="40"/>
        <item m="1" x="41"/>
        <item m="1" x="7"/>
        <item m="1" x="36"/>
        <item m="1" x="8"/>
        <item m="1" x="23"/>
        <item m="1" x="3"/>
        <item m="1" x="5"/>
        <item m="1" x="26"/>
        <item m="1" x="16"/>
        <item m="1" x="9"/>
        <item m="1" x="10"/>
        <item m="1" x="33"/>
        <item m="1" x="18"/>
        <item m="1" x="39"/>
        <item m="1" x="17"/>
        <item m="1" x="28"/>
        <item m="1" x="25"/>
        <item m="1" x="27"/>
        <item m="1" x="20"/>
        <item m="1" x="13"/>
        <item m="1" x="34"/>
        <item m="1" x="38"/>
        <item m="1" x="21"/>
        <item m="1" x="29"/>
        <item m="1" x="31"/>
        <item m="1" x="37"/>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
    <i>
      <x v="1"/>
    </i>
  </rowItems>
  <colItems count="1">
    <i/>
  </colItems>
  <pageFields count="1">
    <pageField fld="8" hier="-1"/>
  </pageFields>
  <dataFields count="1">
    <dataField name="Cuenta de ID Encuesta"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77855F-C88E-4214-9789-9EAE0669BDF9}" name="TablaDinámica1" cacheId="17" applyNumberFormats="0" applyBorderFormats="0" applyFontFormats="0" applyPatternFormats="0" applyAlignmentFormats="0" applyWidthHeightFormats="1" dataCaption="Valores" showError="1" updatedVersion="8" minRefreshableVersion="3" useAutoFormatting="1" rowGrandTotals="0" colGrandTotals="0" itemPrintTitles="1" createdVersion="8" indent="0" compact="0" compactData="0" gridDropZones="1" multipleFieldFilters="0">
  <location ref="A4:W6" firstHeaderRow="1" firstDataRow="2" firstDataCol="1" rowPageCount="1" colPageCount="1"/>
  <pivotFields count="34">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7">
        <item h="1" x="1"/>
        <item h="1" x="4"/>
        <item x="2"/>
        <item x="3"/>
        <item h="1" x="5"/>
        <item h="1" x="0"/>
        <item t="default"/>
      </items>
    </pivotField>
    <pivotField compact="0" outline="0" showAll="0">
      <items count="44">
        <item x="1"/>
        <item m="1" x="12"/>
        <item m="1" x="35"/>
        <item m="1" x="30"/>
        <item m="1" x="32"/>
        <item m="1" x="14"/>
        <item m="1" x="15"/>
        <item m="1" x="22"/>
        <item m="1" x="19"/>
        <item m="1" x="6"/>
        <item m="1" x="42"/>
        <item m="1" x="24"/>
        <item m="1" x="11"/>
        <item m="1" x="4"/>
        <item m="1" x="40"/>
        <item m="1" x="41"/>
        <item m="1" x="7"/>
        <item m="1" x="36"/>
        <item m="1" x="8"/>
        <item m="1" x="23"/>
        <item m="1" x="3"/>
        <item m="1" x="5"/>
        <item m="1" x="26"/>
        <item m="1" x="16"/>
        <item m="1" x="9"/>
        <item m="1" x="10"/>
        <item m="1" x="33"/>
        <item m="1" x="18"/>
        <item m="1" x="39"/>
        <item m="1" x="17"/>
        <item m="1" x="28"/>
        <item m="1" x="25"/>
        <item m="1" x="27"/>
        <item m="1" x="20"/>
        <item m="1" x="13"/>
        <item m="1" x="34"/>
        <item m="1" x="38"/>
        <item m="1" x="21"/>
        <item m="1" x="29"/>
        <item m="1" x="31"/>
        <item m="1" x="37"/>
        <item x="0"/>
        <item x="2"/>
        <item t="default"/>
      </items>
    </pivotField>
    <pivotField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compact="0" outline="0" multipleItemSelectionAllowed="1"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s>
  <rowItems count="1">
    <i/>
  </rowItems>
  <colFields count="1">
    <field x="-2"/>
  </colFields>
  <colItems count="22">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colItems>
  <pageFields count="1">
    <pageField fld="8" hier="-1"/>
  </pageFields>
  <dataFields count="22">
    <dataField name="1.1" fld="11" subtotal="average" baseField="0" baseItem="1" numFmtId="164"/>
    <dataField name="1.2" fld="12" subtotal="average" baseField="0" baseItem="1" numFmtId="164"/>
    <dataField name="1.3" fld="13" subtotal="average" baseField="0" baseItem="1" numFmtId="164"/>
    <dataField name="1.4" fld="14" subtotal="average" baseField="0" baseItem="1" numFmtId="164"/>
    <dataField name="2.1" fld="15" subtotal="average" baseField="15" baseItem="7" numFmtId="164"/>
    <dataField name="2.2" fld="16" subtotal="average" baseField="15" baseItem="7" numFmtId="164"/>
    <dataField name="2.3" fld="17" subtotal="average" baseField="15" baseItem="7" numFmtId="164"/>
    <dataField name="3.1" fld="18" subtotal="average" baseField="15" baseItem="7" numFmtId="164"/>
    <dataField name="3.2" fld="19" subtotal="average" baseField="15" baseItem="4" numFmtId="164"/>
    <dataField name="3.3" fld="20" subtotal="average" baseField="15" baseItem="4" numFmtId="164"/>
    <dataField name="3.4" fld="21" subtotal="average" baseField="15" baseItem="4" numFmtId="164"/>
    <dataField name="4.1" fld="23" subtotal="average" baseField="15" baseItem="4" numFmtId="1"/>
    <dataField name="4.2" fld="24" subtotal="average" baseField="15" baseItem="4" numFmtId="164"/>
    <dataField name="4.3" fld="25" subtotal="average" baseField="15" baseItem="4" numFmtId="164"/>
    <dataField name="4.4" fld="26" subtotal="average" baseField="15" baseItem="4" numFmtId="164"/>
    <dataField name="4.5" fld="27" subtotal="average" baseField="15" baseItem="4" numFmtId="164"/>
    <dataField name="5.1" fld="28" subtotal="average" baseField="15" baseItem="6" numFmtId="164"/>
    <dataField name="5.2" fld="29" subtotal="average" baseField="15" baseItem="6" numFmtId="164"/>
    <dataField name="5.3" fld="30" subtotal="average" baseField="15" baseItem="6" numFmtId="164"/>
    <dataField name="5.4" fld="31" subtotal="average" baseField="15" baseItem="6" numFmtId="164"/>
    <dataField name="6.1" fld="32" subtotal="average" baseField="15" baseItem="6" numFmtId="164"/>
    <dataField name="6.2" fld="33" subtotal="average" baseField="15" baseItem="6" numFmtId="164"/>
  </dataFields>
  <formats count="5">
    <format dxfId="14">
      <pivotArea outline="0" collapsedLevelsAreSubtotals="1" fieldPosition="0"/>
    </format>
    <format dxfId="13">
      <pivotArea outline="0" fieldPosition="0">
        <references count="1">
          <reference field="4294967294" count="1" selected="0">
            <x v="0"/>
          </reference>
        </references>
      </pivotArea>
    </format>
    <format dxfId="12">
      <pivotArea outline="0" fieldPosition="0">
        <references count="1">
          <reference field="4294967294" count="3" selected="0">
            <x v="1"/>
            <x v="2"/>
            <x v="3"/>
          </reference>
        </references>
      </pivotArea>
    </format>
    <format dxfId="11">
      <pivotArea outline="0" fieldPosition="0">
        <references count="1">
          <reference field="4294967294" count="18" selected="0">
            <x v="4"/>
            <x v="5"/>
            <x v="6"/>
            <x v="7"/>
            <x v="8"/>
            <x v="9"/>
            <x v="10"/>
            <x v="11"/>
            <x v="12"/>
            <x v="13"/>
            <x v="14"/>
            <x v="15"/>
            <x v="16"/>
            <x v="17"/>
            <x v="18"/>
            <x v="19"/>
            <x v="20"/>
            <x v="21"/>
          </reference>
        </references>
      </pivotArea>
    </format>
    <format dxfId="10">
      <pivotArea outline="0" fieldPosition="0">
        <references count="1">
          <reference field="4294967294" count="1" selected="0">
            <x v="11"/>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Docente" xr10:uid="{815EFA02-011C-4600-91DF-542F97D4224B}" sourceName="Docente">
  <pivotTables>
    <pivotTable tabId="12" name="TablaDinámica1"/>
    <pivotTable tabId="12" name="TablaDinámica5"/>
  </pivotTables>
  <data>
    <tabular pivotCacheId="1524734345">
      <items count="43">
        <i x="1" s="1" nd="1"/>
        <i x="12" s="1" nd="1"/>
        <i x="35" s="1" nd="1"/>
        <i x="30" s="1" nd="1"/>
        <i x="32" s="1" nd="1"/>
        <i x="14" s="1" nd="1"/>
        <i x="15" s="1" nd="1"/>
        <i x="22" s="1" nd="1"/>
        <i x="19" s="1" nd="1"/>
        <i x="6" s="1" nd="1"/>
        <i x="42" s="1" nd="1"/>
        <i x="24" s="1" nd="1"/>
        <i x="11" s="1" nd="1"/>
        <i x="4" s="1" nd="1"/>
        <i x="40" s="1" nd="1"/>
        <i x="41" s="1" nd="1"/>
        <i x="7" s="1" nd="1"/>
        <i x="36" s="1" nd="1"/>
        <i x="8" s="1" nd="1"/>
        <i x="23" s="1" nd="1"/>
        <i x="3" s="1" nd="1"/>
        <i x="5" s="1" nd="1"/>
        <i x="26" s="1" nd="1"/>
        <i x="16" s="1" nd="1"/>
        <i x="9" s="1" nd="1"/>
        <i x="10" s="1" nd="1"/>
        <i x="33" s="1" nd="1"/>
        <i x="18" s="1" nd="1"/>
        <i x="39" s="1" nd="1"/>
        <i x="17" s="1" nd="1"/>
        <i x="28" s="1" nd="1"/>
        <i x="25" s="1" nd="1"/>
        <i x="27" s="1" nd="1"/>
        <i x="20" s="1" nd="1"/>
        <i x="13" s="1" nd="1"/>
        <i x="34" s="1" nd="1"/>
        <i x="38" s="1" nd="1"/>
        <i x="21" s="1" nd="1"/>
        <i x="29" s="1" nd="1"/>
        <i x="31" s="1" nd="1"/>
        <i x="37" s="1" nd="1"/>
        <i x="0" s="1" nd="1"/>
        <i x="2"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ocente 1" xr10:uid="{BEAF4164-B987-4FBA-980E-01BEAE26448E}" cache="SegmentaciónDeDatos_Docente" caption="Docente" style="Estilo de segmentación de datos 1" rowHeight="2254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ocente" xr10:uid="{0E05E8CD-6A88-43D6-B872-12C5BC3D9481}" cache="SegmentaciónDeDatos_Docente" caption="Docente" rowHeight="225425"/>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
   <Relationship Id="rId1" Target="../printerSettings/printerSettings1.bin"
                 Type="http://schemas.openxmlformats.org/officeDocument/2006/relationships/printerSettings"/>
   <Relationship Id="rId2" Target="../drawings/drawing1.xml"
                 Type="http://schemas.openxmlformats.org/officeDocument/2006/relationships/drawing"/>
</Relationships>
</file>

<file path=xl/worksheets/_rels/sheet2.xml.rels><?xml version="1.0" encoding="UTF-8" standalone="yes"?>
<Relationships xmlns="http://schemas.openxmlformats.org/package/2006/relationships">
   <Relationship Id="rId1" Target="../printerSettings/printerSettings2.bin"
                 Type="http://schemas.openxmlformats.org/officeDocument/2006/relationships/printerSettings"/>
   <Relationship Id="rId2" Target="../drawings/drawing2.xml"
                 Type="http://schemas.openxmlformats.org/officeDocument/2006/relationships/drawing"/>
   <Relationship Id="rId3" Target="../slicers/slicer1.xml"
                 Type="http://schemas.microsoft.com/office/2007/relationships/slicer"/>
</Relationships>
</file>

<file path=xl/worksheets/_rels/sheet3.xml.rels><?xml version="1.0" encoding="UTF-8" standalone="yes"?>
<Relationships xmlns="http://schemas.openxmlformats.org/package/2006/relationships">
   <Relationship Id="rId1" Target="../drawings/drawing4.xml"
                 Type="http://schemas.openxmlformats.org/officeDocument/2006/relationships/drawing"/>
</Relationships>
</file>

<file path=xl/worksheets/_rels/sheet5.xml.rels><?xml version="1.0" encoding="UTF-8" standalone="yes"?>
<Relationships xmlns="http://schemas.openxmlformats.org/package/2006/relationships">
   <Relationship Id="rId1" Target="../pivotTables/pivotTable1.xml"
                 Type="http://schemas.openxmlformats.org/officeDocument/2006/relationships/pivotTable"/>
   <Relationship Id="rId2" Target="../pivotTables/pivotTable2.xml"
                 Type="http://schemas.openxmlformats.org/officeDocument/2006/relationships/pivotTable"/>
   <Relationship Id="rId3" Target="../printerSettings/printerSettings3.bin"
                 Type="http://schemas.openxmlformats.org/officeDocument/2006/relationships/printerSettings"/>
   <Relationship Id="rId4" Target="../drawings/drawing5.xml"
                 Type="http://schemas.openxmlformats.org/officeDocument/2006/relationships/drawing"/>
   <Relationship Id="rId5" Target="../slicers/slicer2.xml"
                 Type="http://schemas.microsoft.com/office/2007/relationships/slicer"/>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E1260-B7D0-4E2B-9450-30AE7589E324}">
  <sheetPr codeName="Hoja1">
    <outlinePr summaryBelow="0" summaryRight="0"/>
  </sheetPr>
  <dimension ref="A3:K962"/>
  <sheetViews>
    <sheetView showGridLines="0" tabSelected="false" zoomScale="130" zoomScaleNormal="130" workbookViewId="0"/>
  </sheetViews>
  <sheetFormatPr baseColWidth="10" defaultColWidth="12.5703125" defaultRowHeight="15.75" customHeight="1"/>
  <cols>
    <col min="1" max="1" customWidth="true" width="1.28515625" collapsed="true"/>
    <col min="2" max="2" customWidth="true" width="60.7109375" collapsed="true"/>
    <col min="3" max="3" customWidth="true" width="5.7109375" collapsed="true"/>
    <col min="4" max="4" customWidth="true" width="62.28515625" collapsed="true"/>
    <col min="5" max="5" customWidth="true" width="5.5703125" collapsed="true"/>
    <col min="6" max="6" customWidth="true" width="3.85546875" collapsed="true"/>
    <col min="7" max="7" customWidth="true" width="60.140625" collapsed="true"/>
    <col min="8" max="8" customWidth="true" width="5.5703125" collapsed="true"/>
    <col min="10" max="10" customWidth="true" width="38.7109375" collapsed="true"/>
  </cols>
  <sheetData>
    <row r="3" spans="2:11" ht="25.15" customHeight="1">
      <c r="B3" s="6"/>
    </row>
    <row r="12" spans="2:11" ht="45.75" customHeight="1" thickBot="1">
      <c r="B12" s="22" t="s">
        <v>85</v>
      </c>
      <c r="C12" s="20"/>
      <c r="D12" s="22" t="s">
        <v>98</v>
      </c>
      <c r="G12" s="9"/>
      <c r="H12" s="7"/>
      <c r="I12" s="11"/>
    </row>
    <row r="13" spans="2:11" ht="45">
      <c r="B13" s="23" t="s">
        <v>86</v>
      </c>
      <c r="C13" s="20"/>
      <c r="D13" s="23" t="s">
        <v>99</v>
      </c>
      <c r="G13" s="9"/>
      <c r="H13" s="8"/>
      <c r="I13" s="62"/>
      <c r="J13" s="62"/>
      <c r="K13" s="62"/>
    </row>
    <row r="14" spans="2:11" ht="16.5" thickBot="1">
      <c r="B14" s="22" t="s">
        <v>87</v>
      </c>
      <c r="C14" s="21"/>
      <c r="D14" s="22" t="s">
        <v>90</v>
      </c>
      <c r="J14" s="3"/>
      <c r="K14" s="4"/>
    </row>
    <row r="15" spans="2:11" ht="105">
      <c r="B15" s="24" t="s">
        <v>88</v>
      </c>
      <c r="C15" s="11"/>
      <c r="D15" s="23" t="s">
        <v>92</v>
      </c>
      <c r="J15" s="3"/>
      <c r="K15" s="4"/>
    </row>
    <row r="16" spans="2:11" ht="16.5" thickBot="1">
      <c r="B16" s="22" t="s">
        <v>89</v>
      </c>
      <c r="C16" s="21"/>
      <c r="D16" s="22" t="s">
        <v>91</v>
      </c>
      <c r="J16" s="3"/>
      <c r="K16" s="4"/>
    </row>
    <row r="17" spans="2:11" ht="345">
      <c r="B17" s="25" t="s">
        <v>129</v>
      </c>
      <c r="C17" s="21"/>
      <c r="D17" s="24" t="s">
        <v>147</v>
      </c>
      <c r="J17" s="3"/>
      <c r="K17" s="4"/>
    </row>
    <row r="18" spans="2:11" ht="12.75">
      <c r="B18" s="1"/>
      <c r="C18" s="2"/>
      <c r="J18" s="3"/>
      <c r="K18" s="4"/>
    </row>
    <row r="19" spans="2:11" ht="12.75">
      <c r="B19" s="1"/>
      <c r="C19" s="2"/>
      <c r="J19" s="3"/>
      <c r="K19" s="4"/>
    </row>
    <row r="20" spans="2:11" ht="12.75">
      <c r="B20" s="1"/>
      <c r="C20" s="2"/>
      <c r="J20" s="3"/>
      <c r="K20" s="4"/>
    </row>
    <row r="21" spans="2:11" ht="12.75">
      <c r="B21" s="1"/>
      <c r="C21" s="2"/>
      <c r="J21" s="3"/>
      <c r="K21" s="4"/>
    </row>
    <row r="22" spans="2:11" ht="12.75">
      <c r="B22" s="1"/>
      <c r="C22" s="2"/>
      <c r="J22" s="3"/>
      <c r="K22" s="4"/>
    </row>
    <row r="23" spans="2:11" ht="12.75">
      <c r="B23" s="1"/>
      <c r="C23" s="2"/>
      <c r="J23" s="3"/>
      <c r="K23" s="4"/>
    </row>
    <row r="24" spans="2:11" ht="12.75">
      <c r="B24" s="1"/>
      <c r="C24" s="2"/>
      <c r="J24" s="3"/>
      <c r="K24" s="4"/>
    </row>
    <row r="25" spans="2:11" ht="12.75">
      <c r="B25" s="1"/>
      <c r="C25" s="2"/>
      <c r="J25" s="3"/>
      <c r="K25" s="4"/>
    </row>
    <row r="26" spans="2:11" ht="12.75">
      <c r="B26" s="1"/>
      <c r="C26" s="2"/>
      <c r="J26" s="3"/>
      <c r="K26" s="4"/>
    </row>
    <row r="27" spans="2:11" ht="12.75">
      <c r="B27" s="1"/>
      <c r="C27" s="2"/>
      <c r="J27" s="3"/>
      <c r="K27" s="4"/>
    </row>
    <row r="28" spans="2:11" ht="12.75">
      <c r="B28" s="1"/>
      <c r="C28" s="2"/>
      <c r="J28" s="3"/>
      <c r="K28" s="4"/>
    </row>
    <row r="29" spans="2:11" ht="12.75">
      <c r="B29" s="1"/>
      <c r="C29" s="2"/>
      <c r="J29" s="3"/>
      <c r="K29" s="4"/>
    </row>
    <row r="30" spans="2:11" ht="12.75">
      <c r="B30" s="1"/>
      <c r="C30" s="2"/>
      <c r="J30" s="3"/>
      <c r="K30" s="4"/>
    </row>
    <row r="31" spans="2:11" ht="12.75">
      <c r="B31" s="1"/>
      <c r="C31" s="2"/>
      <c r="J31" s="3"/>
      <c r="K31" s="4"/>
    </row>
    <row r="32" spans="2:11" ht="12.75">
      <c r="B32" s="1"/>
      <c r="C32" s="2"/>
      <c r="J32" s="3"/>
      <c r="K32" s="4"/>
    </row>
    <row r="33" spans="2:11" ht="12.75">
      <c r="B33" s="1"/>
      <c r="C33" s="2"/>
      <c r="J33" s="3"/>
      <c r="K33" s="4"/>
    </row>
    <row r="34" spans="2:11" ht="12.75">
      <c r="B34" s="1"/>
      <c r="C34" s="2"/>
      <c r="J34" s="3"/>
      <c r="K34" s="4"/>
    </row>
    <row r="35" spans="2:11" ht="12.75">
      <c r="B35" s="1"/>
      <c r="C35" s="2"/>
      <c r="J35" s="3"/>
      <c r="K35" s="4"/>
    </row>
    <row r="36" spans="2:11" ht="12.75">
      <c r="B36" s="1"/>
      <c r="C36" s="2"/>
      <c r="J36" s="3"/>
      <c r="K36" s="4"/>
    </row>
    <row r="37" spans="2:11" ht="12.75">
      <c r="B37" s="1"/>
      <c r="C37" s="2"/>
      <c r="J37" s="3"/>
      <c r="K37" s="4"/>
    </row>
    <row r="38" spans="2:11" ht="12.75">
      <c r="B38" s="1"/>
      <c r="C38" s="2"/>
      <c r="J38" s="3"/>
      <c r="K38" s="4"/>
    </row>
    <row r="39" spans="2:11" ht="12.75">
      <c r="B39" s="1"/>
      <c r="C39" s="2"/>
      <c r="J39" s="3"/>
      <c r="K39" s="4"/>
    </row>
    <row r="40" spans="2:11" ht="12.75">
      <c r="B40" s="1"/>
      <c r="C40" s="2"/>
      <c r="J40" s="3"/>
      <c r="K40" s="4"/>
    </row>
    <row r="41" spans="2:11" ht="12.75">
      <c r="B41" s="1"/>
      <c r="C41" s="2"/>
      <c r="J41" s="3"/>
      <c r="K41" s="4"/>
    </row>
    <row r="42" spans="2:11" ht="12.75">
      <c r="B42" s="1"/>
      <c r="C42" s="2"/>
      <c r="J42" s="3"/>
      <c r="K42" s="4"/>
    </row>
    <row r="43" spans="2:11" ht="12.75">
      <c r="B43" s="1"/>
      <c r="C43" s="2"/>
      <c r="J43" s="3"/>
      <c r="K43" s="4"/>
    </row>
    <row r="44" spans="2:11" ht="12.75">
      <c r="B44" s="1"/>
      <c r="C44" s="2"/>
      <c r="J44" s="3"/>
      <c r="K44" s="4"/>
    </row>
    <row r="45" spans="2:11" ht="12.75">
      <c r="B45" s="1"/>
      <c r="C45" s="2"/>
      <c r="J45" s="3"/>
      <c r="K45" s="4"/>
    </row>
    <row r="46" spans="2:11" ht="12.75">
      <c r="B46" s="1"/>
      <c r="C46" s="2"/>
      <c r="J46" s="3"/>
      <c r="K46" s="4"/>
    </row>
    <row r="47" spans="2:11" ht="12.75">
      <c r="B47" s="1"/>
      <c r="C47" s="2"/>
      <c r="J47" s="3"/>
      <c r="K47" s="4"/>
    </row>
    <row r="48" spans="2:11" ht="12.75">
      <c r="B48" s="1"/>
      <c r="C48" s="2"/>
      <c r="J48" s="3"/>
      <c r="K48" s="4"/>
    </row>
    <row r="49" spans="2:11" ht="12.75">
      <c r="B49" s="1"/>
      <c r="C49" s="2"/>
      <c r="J49" s="3"/>
      <c r="K49" s="4"/>
    </row>
    <row r="50" spans="2:11" ht="12.75">
      <c r="B50" s="1"/>
      <c r="C50" s="2"/>
      <c r="J50" s="3"/>
      <c r="K50" s="4"/>
    </row>
    <row r="51" spans="2:11" ht="12.75">
      <c r="B51" s="1"/>
      <c r="C51" s="2"/>
      <c r="J51" s="3"/>
      <c r="K51" s="4"/>
    </row>
    <row r="52" spans="2:11" ht="12.75">
      <c r="B52" s="1"/>
      <c r="C52" s="2"/>
      <c r="J52" s="3"/>
      <c r="K52" s="4"/>
    </row>
    <row r="53" spans="2:11" ht="12.75">
      <c r="B53" s="1"/>
      <c r="C53" s="2"/>
      <c r="J53" s="3"/>
      <c r="K53" s="4"/>
    </row>
    <row r="54" spans="2:11" ht="12.75">
      <c r="B54" s="1"/>
      <c r="C54" s="2"/>
      <c r="J54" s="3"/>
      <c r="K54" s="4"/>
    </row>
    <row r="55" spans="2:11" ht="12.75">
      <c r="B55" s="1"/>
      <c r="C55" s="2"/>
      <c r="J55" s="3"/>
      <c r="K55" s="4"/>
    </row>
    <row r="56" spans="2:11" ht="12.75">
      <c r="B56" s="1"/>
      <c r="C56" s="2"/>
      <c r="J56" s="3"/>
      <c r="K56" s="4"/>
    </row>
    <row r="57" spans="2:11" ht="12.75">
      <c r="B57" s="1"/>
      <c r="C57" s="2"/>
      <c r="J57" s="3"/>
      <c r="K57" s="4"/>
    </row>
    <row r="58" spans="2:11" ht="12.75">
      <c r="B58" s="1"/>
      <c r="C58" s="2"/>
      <c r="J58" s="3"/>
      <c r="K58" s="4"/>
    </row>
    <row r="59" spans="2:11" ht="12.75">
      <c r="B59" s="1"/>
      <c r="C59" s="2"/>
      <c r="J59" s="3"/>
      <c r="K59" s="4"/>
    </row>
    <row r="60" spans="2:11" ht="12.75">
      <c r="B60" s="1"/>
      <c r="C60" s="2"/>
      <c r="J60" s="3"/>
      <c r="K60" s="4"/>
    </row>
    <row r="61" spans="2:11" ht="12.75">
      <c r="B61" s="1"/>
      <c r="C61" s="2"/>
      <c r="J61" s="3"/>
      <c r="K61" s="4"/>
    </row>
    <row r="62" spans="2:11" ht="12.75">
      <c r="B62" s="1"/>
      <c r="C62" s="2"/>
      <c r="J62" s="3"/>
      <c r="K62" s="4"/>
    </row>
    <row r="63" spans="2:11" ht="12.75">
      <c r="B63" s="1"/>
      <c r="C63" s="2"/>
      <c r="J63" s="3"/>
      <c r="K63" s="4"/>
    </row>
    <row r="64" spans="2:11" ht="12.75">
      <c r="B64" s="1"/>
      <c r="C64" s="2"/>
      <c r="J64" s="3"/>
      <c r="K64" s="4"/>
    </row>
    <row r="65" spans="2:11" ht="12.75">
      <c r="B65" s="1"/>
      <c r="C65" s="2"/>
      <c r="J65" s="3"/>
      <c r="K65" s="4"/>
    </row>
    <row r="66" spans="2:11" ht="12.75">
      <c r="B66" s="1"/>
      <c r="C66" s="2"/>
      <c r="J66" s="3"/>
      <c r="K66" s="4"/>
    </row>
    <row r="67" spans="2:11" ht="12.75">
      <c r="B67" s="1"/>
      <c r="C67" s="2"/>
      <c r="J67" s="3"/>
      <c r="K67" s="4"/>
    </row>
    <row r="68" spans="2:11" ht="12.75">
      <c r="B68" s="1"/>
      <c r="C68" s="2"/>
      <c r="J68" s="3"/>
      <c r="K68" s="4"/>
    </row>
    <row r="69" spans="2:11" ht="12.75">
      <c r="B69" s="1"/>
      <c r="C69" s="2"/>
      <c r="J69" s="3"/>
      <c r="K69" s="4"/>
    </row>
    <row r="70" spans="2:11" ht="12.75">
      <c r="B70" s="1"/>
      <c r="C70" s="2"/>
      <c r="J70" s="3"/>
      <c r="K70" s="4"/>
    </row>
    <row r="71" spans="2:11" ht="12.75">
      <c r="B71" s="1"/>
      <c r="C71" s="2"/>
      <c r="J71" s="3"/>
      <c r="K71" s="4"/>
    </row>
    <row r="72" spans="2:11" ht="12.75">
      <c r="B72" s="1"/>
      <c r="C72" s="2"/>
      <c r="J72" s="3"/>
      <c r="K72" s="4"/>
    </row>
    <row r="73" spans="2:11" ht="12.75">
      <c r="B73" s="1"/>
      <c r="C73" s="2"/>
      <c r="J73" s="3"/>
      <c r="K73" s="4"/>
    </row>
    <row r="74" spans="2:11" ht="12.75">
      <c r="B74" s="1"/>
      <c r="C74" s="2"/>
      <c r="J74" s="3"/>
      <c r="K74" s="4"/>
    </row>
    <row r="75" spans="2:11" ht="12.75">
      <c r="B75" s="1"/>
      <c r="C75" s="2"/>
      <c r="J75" s="3"/>
      <c r="K75" s="4"/>
    </row>
    <row r="76" spans="2:11" ht="12.75">
      <c r="B76" s="1"/>
      <c r="C76" s="2"/>
      <c r="J76" s="3"/>
      <c r="K76" s="4"/>
    </row>
    <row r="77" spans="2:11" ht="12.75">
      <c r="B77" s="1"/>
      <c r="C77" s="2"/>
      <c r="J77" s="3"/>
      <c r="K77" s="4"/>
    </row>
    <row r="78" spans="2:11" ht="12.75">
      <c r="B78" s="1"/>
      <c r="C78" s="2"/>
      <c r="J78" s="3"/>
      <c r="K78" s="4"/>
    </row>
    <row r="79" spans="2:11" ht="12.75">
      <c r="B79" s="1"/>
      <c r="C79" s="2"/>
      <c r="J79" s="3"/>
      <c r="K79" s="4"/>
    </row>
    <row r="80" spans="2:11" ht="12.75">
      <c r="B80" s="1"/>
      <c r="C80" s="2"/>
      <c r="J80" s="3"/>
      <c r="K80" s="4"/>
    </row>
    <row r="81" spans="2:11" ht="12.75">
      <c r="B81" s="1"/>
      <c r="C81" s="2"/>
      <c r="J81" s="3"/>
      <c r="K81" s="4"/>
    </row>
    <row r="82" spans="2:11" ht="12.75">
      <c r="B82" s="1"/>
      <c r="C82" s="2"/>
      <c r="J82" s="3"/>
      <c r="K82" s="4"/>
    </row>
    <row r="83" spans="2:11" ht="12.75">
      <c r="B83" s="1"/>
      <c r="C83" s="2"/>
      <c r="J83" s="3"/>
      <c r="K83" s="4"/>
    </row>
    <row r="84" spans="2:11" ht="12.75">
      <c r="B84" s="1"/>
      <c r="C84" s="2"/>
      <c r="J84" s="3"/>
      <c r="K84" s="4"/>
    </row>
    <row r="85" spans="2:11" ht="12.75">
      <c r="B85" s="1"/>
      <c r="C85" s="2"/>
      <c r="J85" s="3"/>
      <c r="K85" s="4"/>
    </row>
    <row r="86" spans="2:11" ht="12.75">
      <c r="B86" s="1"/>
      <c r="C86" s="2"/>
      <c r="J86" s="3"/>
      <c r="K86" s="4"/>
    </row>
    <row r="87" spans="2:11" ht="12.75">
      <c r="B87" s="1"/>
      <c r="C87" s="2"/>
      <c r="J87" s="3"/>
      <c r="K87" s="4"/>
    </row>
    <row r="88" spans="2:11" ht="12.75">
      <c r="B88" s="1"/>
      <c r="C88" s="2"/>
      <c r="J88" s="3"/>
      <c r="K88" s="4"/>
    </row>
    <row r="89" spans="2:11" ht="12.75">
      <c r="B89" s="1"/>
      <c r="C89" s="2"/>
      <c r="J89" s="3"/>
      <c r="K89" s="4"/>
    </row>
    <row r="90" spans="2:11" ht="12.75">
      <c r="B90" s="1"/>
      <c r="C90" s="2"/>
      <c r="J90" s="3"/>
      <c r="K90" s="4"/>
    </row>
    <row r="91" spans="2:11" ht="12.75">
      <c r="B91" s="1"/>
      <c r="C91" s="2"/>
      <c r="J91" s="3"/>
      <c r="K91" s="4"/>
    </row>
    <row r="92" spans="2:11" ht="12.75">
      <c r="B92" s="1"/>
      <c r="C92" s="2"/>
      <c r="J92" s="3"/>
      <c r="K92" s="4"/>
    </row>
    <row r="93" spans="2:11" ht="12.75">
      <c r="B93" s="1"/>
      <c r="C93" s="2"/>
      <c r="J93" s="3"/>
      <c r="K93" s="4"/>
    </row>
    <row r="94" spans="2:11" ht="12.75">
      <c r="B94" s="1"/>
      <c r="C94" s="2"/>
      <c r="J94" s="3"/>
      <c r="K94" s="4"/>
    </row>
    <row r="95" spans="2:11" ht="12.75">
      <c r="B95" s="1"/>
      <c r="C95" s="2"/>
      <c r="J95" s="3"/>
      <c r="K95" s="4"/>
    </row>
    <row r="96" spans="2:11" ht="12.75">
      <c r="B96" s="1"/>
      <c r="C96" s="2"/>
      <c r="J96" s="3"/>
      <c r="K96" s="4"/>
    </row>
    <row r="97" spans="2:11" ht="12.75">
      <c r="B97" s="1"/>
      <c r="C97" s="2"/>
      <c r="J97" s="3"/>
      <c r="K97" s="4"/>
    </row>
    <row r="98" spans="2:11" ht="12.75">
      <c r="B98" s="1"/>
      <c r="C98" s="2"/>
      <c r="J98" s="3"/>
      <c r="K98" s="4"/>
    </row>
    <row r="99" spans="2:11" ht="12.75">
      <c r="B99" s="1"/>
      <c r="C99" s="2"/>
      <c r="J99" s="3"/>
      <c r="K99" s="4"/>
    </row>
    <row r="100" spans="2:11" ht="12.75">
      <c r="B100" s="1"/>
      <c r="C100" s="2"/>
      <c r="J100" s="3"/>
      <c r="K100" s="4"/>
    </row>
    <row r="101" spans="2:11" ht="12.75">
      <c r="B101" s="1"/>
      <c r="C101" s="2"/>
      <c r="J101" s="3"/>
      <c r="K101" s="4"/>
    </row>
    <row r="102" spans="2:11" ht="12.75">
      <c r="B102" s="1"/>
      <c r="C102" s="2"/>
      <c r="J102" s="3"/>
      <c r="K102" s="4"/>
    </row>
    <row r="103" spans="2:11" ht="12.75">
      <c r="B103" s="1"/>
      <c r="C103" s="2"/>
      <c r="J103" s="3"/>
      <c r="K103" s="4"/>
    </row>
    <row r="104" spans="2:11" ht="12.75">
      <c r="B104" s="1"/>
      <c r="C104" s="2"/>
      <c r="J104" s="3"/>
      <c r="K104" s="4"/>
    </row>
    <row r="105" spans="2:11" ht="12.75">
      <c r="B105" s="1"/>
      <c r="C105" s="2"/>
      <c r="J105" s="3"/>
      <c r="K105" s="4"/>
    </row>
    <row r="106" spans="2:11" ht="12.75">
      <c r="B106" s="1"/>
      <c r="C106" s="2"/>
      <c r="J106" s="3"/>
      <c r="K106" s="4"/>
    </row>
    <row r="107" spans="2:11" ht="12.75">
      <c r="B107" s="1"/>
      <c r="C107" s="2"/>
      <c r="J107" s="3"/>
      <c r="K107" s="4"/>
    </row>
    <row r="108" spans="2:11" ht="12.75">
      <c r="B108" s="1"/>
      <c r="C108" s="2"/>
      <c r="J108" s="3"/>
      <c r="K108" s="4"/>
    </row>
    <row r="109" spans="2:11" ht="12.75">
      <c r="B109" s="1"/>
      <c r="C109" s="2"/>
      <c r="J109" s="3"/>
      <c r="K109" s="4"/>
    </row>
    <row r="110" spans="2:11" ht="12.75">
      <c r="B110" s="1"/>
      <c r="C110" s="2"/>
      <c r="J110" s="3"/>
      <c r="K110" s="4"/>
    </row>
    <row r="111" spans="2:11" ht="12.75">
      <c r="B111" s="1"/>
      <c r="C111" s="2"/>
      <c r="J111" s="3"/>
      <c r="K111" s="4"/>
    </row>
    <row r="112" spans="2:11" ht="12.75">
      <c r="B112" s="1"/>
      <c r="C112" s="2"/>
      <c r="J112" s="3"/>
      <c r="K112" s="4"/>
    </row>
    <row r="113" spans="2:11" ht="12.75">
      <c r="B113" s="1"/>
      <c r="C113" s="2"/>
      <c r="J113" s="3"/>
      <c r="K113" s="4"/>
    </row>
    <row r="114" spans="2:11" ht="12.75">
      <c r="B114" s="1"/>
      <c r="C114" s="2"/>
      <c r="J114" s="3"/>
      <c r="K114" s="4"/>
    </row>
    <row r="115" spans="2:11" ht="12.75">
      <c r="B115" s="1"/>
      <c r="C115" s="2"/>
      <c r="J115" s="3"/>
      <c r="K115" s="4"/>
    </row>
    <row r="116" spans="2:11" ht="12.75">
      <c r="B116" s="1"/>
      <c r="C116" s="2"/>
      <c r="J116" s="3"/>
      <c r="K116" s="4"/>
    </row>
    <row r="117" spans="2:11" ht="12.75">
      <c r="B117" s="1"/>
      <c r="C117" s="2"/>
      <c r="J117" s="3"/>
      <c r="K117" s="4"/>
    </row>
    <row r="118" spans="2:11" ht="12.75">
      <c r="B118" s="1"/>
      <c r="C118" s="2"/>
      <c r="J118" s="3"/>
      <c r="K118" s="4"/>
    </row>
    <row r="119" spans="2:11" ht="12.75">
      <c r="B119" s="1"/>
      <c r="C119" s="2"/>
      <c r="J119" s="3"/>
      <c r="K119" s="4"/>
    </row>
    <row r="120" spans="2:11" ht="12.75">
      <c r="B120" s="1"/>
      <c r="C120" s="2"/>
      <c r="J120" s="3"/>
      <c r="K120" s="4"/>
    </row>
    <row r="121" spans="2:11" ht="12.75">
      <c r="B121" s="1"/>
      <c r="C121" s="2"/>
      <c r="J121" s="3"/>
      <c r="K121" s="4"/>
    </row>
    <row r="122" spans="2:11" ht="12.75">
      <c r="B122" s="1"/>
      <c r="C122" s="2"/>
      <c r="J122" s="3"/>
      <c r="K122" s="4"/>
    </row>
    <row r="123" spans="2:11" ht="12.75">
      <c r="B123" s="1"/>
      <c r="C123" s="2"/>
      <c r="J123" s="3"/>
      <c r="K123" s="4"/>
    </row>
    <row r="124" spans="2:11" ht="12.75">
      <c r="B124" s="1"/>
      <c r="C124" s="2"/>
      <c r="J124" s="3"/>
      <c r="K124" s="4"/>
    </row>
    <row r="125" spans="2:11" ht="12.75">
      <c r="B125" s="1"/>
      <c r="C125" s="2"/>
      <c r="J125" s="3"/>
      <c r="K125" s="4"/>
    </row>
    <row r="126" spans="2:11" ht="12.75">
      <c r="B126" s="1"/>
      <c r="C126" s="2"/>
      <c r="J126" s="3"/>
      <c r="K126" s="4"/>
    </row>
    <row r="127" spans="2:11" ht="12.75">
      <c r="B127" s="1"/>
      <c r="C127" s="2"/>
      <c r="J127" s="3"/>
      <c r="K127" s="4"/>
    </row>
    <row r="128" spans="2:11" ht="12.75">
      <c r="B128" s="1"/>
      <c r="C128" s="2"/>
      <c r="J128" s="3"/>
      <c r="K128" s="4"/>
    </row>
    <row r="129" spans="2:11" ht="12.75">
      <c r="B129" s="1"/>
      <c r="C129" s="2"/>
      <c r="J129" s="3"/>
      <c r="K129" s="4"/>
    </row>
    <row r="130" spans="2:11" ht="12.75">
      <c r="B130" s="1"/>
      <c r="C130" s="2"/>
      <c r="J130" s="3"/>
      <c r="K130" s="4"/>
    </row>
    <row r="131" spans="2:11" ht="12.75">
      <c r="B131" s="1"/>
      <c r="C131" s="2"/>
      <c r="J131" s="3"/>
      <c r="K131" s="4"/>
    </row>
    <row r="132" spans="2:11" ht="12.75">
      <c r="B132" s="1"/>
      <c r="C132" s="2"/>
      <c r="J132" s="3"/>
      <c r="K132" s="4"/>
    </row>
    <row r="133" spans="2:11" ht="12.75">
      <c r="B133" s="1"/>
      <c r="C133" s="2"/>
      <c r="J133" s="3"/>
      <c r="K133" s="4"/>
    </row>
    <row r="134" spans="2:11" ht="12.75">
      <c r="B134" s="1"/>
      <c r="C134" s="2"/>
      <c r="J134" s="3"/>
      <c r="K134" s="4"/>
    </row>
    <row r="135" spans="2:11" ht="12.75">
      <c r="B135" s="1"/>
      <c r="C135" s="2"/>
      <c r="J135" s="3"/>
      <c r="K135" s="4"/>
    </row>
    <row r="136" spans="2:11" ht="12.75">
      <c r="B136" s="1"/>
      <c r="C136" s="2"/>
      <c r="J136" s="3"/>
      <c r="K136" s="4"/>
    </row>
    <row r="137" spans="2:11" ht="12.75">
      <c r="B137" s="1"/>
      <c r="C137" s="2"/>
      <c r="J137" s="3"/>
      <c r="K137" s="4"/>
    </row>
    <row r="138" spans="2:11" ht="12.75">
      <c r="B138" s="1"/>
      <c r="C138" s="2"/>
      <c r="J138" s="3"/>
      <c r="K138" s="4"/>
    </row>
    <row r="139" spans="2:11" ht="12.75">
      <c r="B139" s="1"/>
      <c r="C139" s="2"/>
      <c r="J139" s="3"/>
      <c r="K139" s="4"/>
    </row>
    <row r="140" spans="2:11" ht="12.75">
      <c r="B140" s="1"/>
      <c r="C140" s="2"/>
      <c r="J140" s="3"/>
      <c r="K140" s="4"/>
    </row>
    <row r="141" spans="2:11" ht="12.75">
      <c r="B141" s="1"/>
      <c r="C141" s="2"/>
      <c r="J141" s="3"/>
      <c r="K141" s="4"/>
    </row>
    <row r="142" spans="2:11" ht="12.75">
      <c r="B142" s="1"/>
      <c r="C142" s="2"/>
      <c r="J142" s="3"/>
      <c r="K142" s="4"/>
    </row>
    <row r="143" spans="2:11" ht="12.75">
      <c r="B143" s="1"/>
      <c r="C143" s="2"/>
      <c r="J143" s="3"/>
      <c r="K143" s="4"/>
    </row>
    <row r="144" spans="2:11" ht="12.75">
      <c r="B144" s="1"/>
      <c r="C144" s="2"/>
      <c r="J144" s="3"/>
      <c r="K144" s="4"/>
    </row>
    <row r="145" spans="2:11" ht="12.75">
      <c r="B145" s="1"/>
      <c r="C145" s="2"/>
      <c r="J145" s="3"/>
      <c r="K145" s="4"/>
    </row>
    <row r="146" spans="2:11" ht="12.75">
      <c r="B146" s="1"/>
      <c r="C146" s="2"/>
      <c r="J146" s="3"/>
      <c r="K146" s="4"/>
    </row>
    <row r="147" spans="2:11" ht="12.75">
      <c r="B147" s="1"/>
      <c r="C147" s="2"/>
      <c r="J147" s="3"/>
      <c r="K147" s="4"/>
    </row>
    <row r="148" spans="2:11" ht="12.75">
      <c r="B148" s="1"/>
      <c r="C148" s="2"/>
      <c r="J148" s="3"/>
      <c r="K148" s="4"/>
    </row>
    <row r="149" spans="2:11" ht="12.75">
      <c r="B149" s="1"/>
      <c r="C149" s="2"/>
      <c r="J149" s="3"/>
      <c r="K149" s="4"/>
    </row>
    <row r="150" spans="2:11" ht="12.75">
      <c r="B150" s="1"/>
      <c r="C150" s="2"/>
      <c r="J150" s="3"/>
      <c r="K150" s="4"/>
    </row>
    <row r="151" spans="2:11" ht="12.75">
      <c r="B151" s="1"/>
      <c r="C151" s="2"/>
      <c r="J151" s="3"/>
      <c r="K151" s="4"/>
    </row>
    <row r="152" spans="2:11" ht="12.75">
      <c r="B152" s="1"/>
      <c r="C152" s="2"/>
      <c r="J152" s="3"/>
      <c r="K152" s="4"/>
    </row>
    <row r="153" spans="2:11" ht="12.75">
      <c r="B153" s="1"/>
      <c r="C153" s="2"/>
      <c r="J153" s="3"/>
      <c r="K153" s="4"/>
    </row>
    <row r="154" spans="2:11" ht="12.75">
      <c r="B154" s="1"/>
      <c r="C154" s="2"/>
      <c r="J154" s="3"/>
      <c r="K154" s="4"/>
    </row>
    <row r="155" spans="2:11" ht="12.75">
      <c r="B155" s="1"/>
      <c r="C155" s="2"/>
      <c r="J155" s="3"/>
      <c r="K155" s="4"/>
    </row>
    <row r="156" spans="2:11" ht="12.75">
      <c r="B156" s="1"/>
      <c r="C156" s="2"/>
      <c r="J156" s="3"/>
      <c r="K156" s="4"/>
    </row>
    <row r="157" spans="2:11" ht="12.75">
      <c r="B157" s="1"/>
      <c r="C157" s="2"/>
      <c r="J157" s="3"/>
      <c r="K157" s="4"/>
    </row>
    <row r="158" spans="2:11" ht="12.75">
      <c r="B158" s="1"/>
      <c r="C158" s="2"/>
      <c r="J158" s="3"/>
      <c r="K158" s="4"/>
    </row>
    <row r="159" spans="2:11" ht="12.75">
      <c r="B159" s="1"/>
      <c r="C159" s="2"/>
      <c r="J159" s="3"/>
      <c r="K159" s="4"/>
    </row>
    <row r="160" spans="2:11" ht="12.75">
      <c r="B160" s="1"/>
      <c r="C160" s="2"/>
      <c r="J160" s="3"/>
      <c r="K160" s="4"/>
    </row>
    <row r="161" spans="2:11" ht="12.75">
      <c r="B161" s="1"/>
      <c r="C161" s="2"/>
      <c r="J161" s="3"/>
      <c r="K161" s="4"/>
    </row>
    <row r="162" spans="2:11" ht="12.75">
      <c r="B162" s="1"/>
      <c r="C162" s="2"/>
      <c r="J162" s="3"/>
      <c r="K162" s="4"/>
    </row>
    <row r="163" spans="2:11" ht="12.75">
      <c r="B163" s="1"/>
      <c r="C163" s="2"/>
      <c r="J163" s="3"/>
      <c r="K163" s="4"/>
    </row>
    <row r="164" spans="2:11" ht="12.75">
      <c r="B164" s="1"/>
      <c r="C164" s="2"/>
      <c r="J164" s="3"/>
      <c r="K164" s="4"/>
    </row>
    <row r="165" spans="2:11" ht="12.75">
      <c r="B165" s="1"/>
      <c r="C165" s="2"/>
      <c r="J165" s="3"/>
      <c r="K165" s="4"/>
    </row>
    <row r="166" spans="2:11" ht="12.75">
      <c r="B166" s="1"/>
      <c r="C166" s="2"/>
      <c r="J166" s="3"/>
      <c r="K166" s="4"/>
    </row>
    <row r="167" spans="2:11" ht="12.75">
      <c r="B167" s="1"/>
      <c r="C167" s="2"/>
      <c r="J167" s="3"/>
      <c r="K167" s="4"/>
    </row>
    <row r="168" spans="2:11" ht="12.75">
      <c r="B168" s="1"/>
      <c r="C168" s="2"/>
      <c r="J168" s="3"/>
      <c r="K168" s="4"/>
    </row>
    <row r="169" spans="2:11" ht="12.75">
      <c r="B169" s="1"/>
      <c r="C169" s="2"/>
      <c r="J169" s="3"/>
      <c r="K169" s="4"/>
    </row>
    <row r="170" spans="2:11" ht="12.75">
      <c r="B170" s="1"/>
      <c r="C170" s="2"/>
      <c r="J170" s="3"/>
      <c r="K170" s="4"/>
    </row>
    <row r="171" spans="2:11" ht="12.75">
      <c r="B171" s="1"/>
      <c r="C171" s="2"/>
      <c r="J171" s="3"/>
      <c r="K171" s="4"/>
    </row>
    <row r="172" spans="2:11" ht="12.75">
      <c r="B172" s="1"/>
      <c r="C172" s="2"/>
      <c r="J172" s="3"/>
      <c r="K172" s="4"/>
    </row>
    <row r="173" spans="2:11" ht="12.75">
      <c r="B173" s="1"/>
      <c r="C173" s="2"/>
      <c r="J173" s="3"/>
      <c r="K173" s="4"/>
    </row>
    <row r="174" spans="2:11" ht="12.75">
      <c r="B174" s="1"/>
      <c r="C174" s="2"/>
      <c r="J174" s="3"/>
      <c r="K174" s="4"/>
    </row>
    <row r="175" spans="2:11" ht="12.75">
      <c r="B175" s="1"/>
      <c r="C175" s="2"/>
      <c r="J175" s="3"/>
      <c r="K175" s="4"/>
    </row>
    <row r="176" spans="2:11" ht="12.75">
      <c r="B176" s="1"/>
      <c r="C176" s="2"/>
      <c r="J176" s="3"/>
      <c r="K176" s="4"/>
    </row>
    <row r="177" spans="2:11" ht="12.75">
      <c r="B177" s="1"/>
      <c r="C177" s="2"/>
      <c r="J177" s="3"/>
      <c r="K177" s="4"/>
    </row>
    <row r="178" spans="2:11" ht="12.75">
      <c r="B178" s="1"/>
      <c r="C178" s="2"/>
      <c r="J178" s="3"/>
      <c r="K178" s="4"/>
    </row>
    <row r="179" spans="2:11" ht="12.75">
      <c r="B179" s="1"/>
      <c r="C179" s="2"/>
      <c r="J179" s="3"/>
      <c r="K179" s="4"/>
    </row>
    <row r="180" spans="2:11" ht="12.75">
      <c r="B180" s="1"/>
      <c r="C180" s="2"/>
      <c r="J180" s="3"/>
      <c r="K180" s="4"/>
    </row>
    <row r="181" spans="2:11" ht="12.75">
      <c r="B181" s="1"/>
      <c r="C181" s="2"/>
      <c r="J181" s="3"/>
      <c r="K181" s="4"/>
    </row>
    <row r="182" spans="2:11" ht="12.75">
      <c r="B182" s="1"/>
      <c r="C182" s="2"/>
      <c r="J182" s="3"/>
      <c r="K182" s="4"/>
    </row>
    <row r="183" spans="2:11" ht="12.75">
      <c r="B183" s="1"/>
      <c r="C183" s="2"/>
      <c r="J183" s="3"/>
      <c r="K183" s="4"/>
    </row>
    <row r="184" spans="2:11" ht="12.75">
      <c r="B184" s="1"/>
      <c r="C184" s="2"/>
      <c r="J184" s="3"/>
      <c r="K184" s="4"/>
    </row>
    <row r="185" spans="2:11" ht="12.75">
      <c r="B185" s="1"/>
      <c r="C185" s="2"/>
      <c r="J185" s="3"/>
      <c r="K185" s="4"/>
    </row>
    <row r="186" spans="2:11" ht="12.75">
      <c r="B186" s="1"/>
      <c r="C186" s="2"/>
      <c r="J186" s="3"/>
      <c r="K186" s="4"/>
    </row>
    <row r="187" spans="2:11" ht="12.75">
      <c r="B187" s="1"/>
      <c r="C187" s="2"/>
      <c r="J187" s="3"/>
      <c r="K187" s="4"/>
    </row>
    <row r="188" spans="2:11" ht="12.75">
      <c r="B188" s="1"/>
      <c r="C188" s="2"/>
      <c r="J188" s="3"/>
      <c r="K188" s="4"/>
    </row>
    <row r="189" spans="2:11" ht="12.75">
      <c r="B189" s="1"/>
      <c r="C189" s="2"/>
      <c r="J189" s="3"/>
      <c r="K189" s="4"/>
    </row>
    <row r="190" spans="2:11" ht="12.75">
      <c r="B190" s="1"/>
      <c r="C190" s="2"/>
      <c r="J190" s="3"/>
      <c r="K190" s="4"/>
    </row>
    <row r="191" spans="2:11" ht="12.75">
      <c r="B191" s="1"/>
      <c r="C191" s="2"/>
      <c r="J191" s="3"/>
      <c r="K191" s="4"/>
    </row>
    <row r="192" spans="2:11" ht="12.75">
      <c r="B192" s="1"/>
      <c r="C192" s="2"/>
      <c r="J192" s="3"/>
      <c r="K192" s="4"/>
    </row>
    <row r="193" spans="2:11" ht="12.75">
      <c r="B193" s="1"/>
      <c r="C193" s="2"/>
      <c r="J193" s="3"/>
      <c r="K193" s="4"/>
    </row>
    <row r="194" spans="2:11" ht="12.75">
      <c r="B194" s="1"/>
      <c r="C194" s="2"/>
      <c r="J194" s="3"/>
      <c r="K194" s="4"/>
    </row>
    <row r="195" spans="2:11" ht="12.75">
      <c r="B195" s="1"/>
      <c r="C195" s="2"/>
      <c r="J195" s="3"/>
      <c r="K195" s="4"/>
    </row>
    <row r="196" spans="2:11" ht="12.75">
      <c r="B196" s="1"/>
      <c r="C196" s="2"/>
      <c r="J196" s="3"/>
      <c r="K196" s="4"/>
    </row>
    <row r="197" spans="2:11" ht="12.75">
      <c r="B197" s="1"/>
      <c r="C197" s="2"/>
      <c r="J197" s="3"/>
      <c r="K197" s="4"/>
    </row>
    <row r="198" spans="2:11" ht="12.75">
      <c r="B198" s="1"/>
      <c r="C198" s="2"/>
      <c r="J198" s="3"/>
      <c r="K198" s="4"/>
    </row>
    <row r="199" spans="2:11" ht="12.75">
      <c r="B199" s="1"/>
      <c r="C199" s="2"/>
      <c r="J199" s="3"/>
      <c r="K199" s="4"/>
    </row>
    <row r="200" spans="2:11" ht="12.75">
      <c r="B200" s="1"/>
      <c r="C200" s="2"/>
      <c r="J200" s="3"/>
      <c r="K200" s="4"/>
    </row>
    <row r="201" spans="2:11" ht="12.75">
      <c r="B201" s="1"/>
      <c r="C201" s="2"/>
      <c r="J201" s="3"/>
      <c r="K201" s="4"/>
    </row>
    <row r="202" spans="2:11" ht="12.75">
      <c r="B202" s="1"/>
      <c r="C202" s="2"/>
      <c r="J202" s="3"/>
      <c r="K202" s="4"/>
    </row>
    <row r="203" spans="2:11" ht="12.75">
      <c r="B203" s="1"/>
      <c r="C203" s="2"/>
      <c r="J203" s="3"/>
      <c r="K203" s="4"/>
    </row>
    <row r="204" spans="2:11" ht="12.75">
      <c r="B204" s="1"/>
      <c r="C204" s="2"/>
      <c r="J204" s="3"/>
      <c r="K204" s="4"/>
    </row>
    <row r="205" spans="2:11" ht="12.75">
      <c r="B205" s="1"/>
      <c r="C205" s="2"/>
      <c r="J205" s="3"/>
      <c r="K205" s="4"/>
    </row>
    <row r="206" spans="2:11" ht="12.75">
      <c r="B206" s="1"/>
      <c r="C206" s="2"/>
      <c r="J206" s="3"/>
      <c r="K206" s="4"/>
    </row>
    <row r="207" spans="2:11" ht="12.75">
      <c r="B207" s="1"/>
      <c r="C207" s="2"/>
      <c r="J207" s="3"/>
      <c r="K207" s="4"/>
    </row>
    <row r="208" spans="2:11" ht="12.75">
      <c r="B208" s="1"/>
      <c r="C208" s="2"/>
      <c r="J208" s="3"/>
      <c r="K208" s="4"/>
    </row>
    <row r="209" spans="2:11" ht="12.75">
      <c r="B209" s="1"/>
      <c r="C209" s="2"/>
      <c r="J209" s="3"/>
      <c r="K209" s="4"/>
    </row>
    <row r="210" spans="2:11" ht="12.75">
      <c r="B210" s="1"/>
      <c r="C210" s="2"/>
      <c r="J210" s="3"/>
      <c r="K210" s="4"/>
    </row>
    <row r="211" spans="2:11" ht="12.75">
      <c r="B211" s="1"/>
      <c r="C211" s="2"/>
      <c r="J211" s="3"/>
      <c r="K211" s="4"/>
    </row>
    <row r="212" spans="2:11" ht="12.75">
      <c r="B212" s="1"/>
      <c r="C212" s="2"/>
      <c r="J212" s="3"/>
      <c r="K212" s="4"/>
    </row>
    <row r="213" spans="2:11" ht="12.75">
      <c r="B213" s="1"/>
      <c r="C213" s="2"/>
      <c r="J213" s="3"/>
      <c r="K213" s="4"/>
    </row>
    <row r="214" spans="2:11" ht="12.75">
      <c r="B214" s="1"/>
      <c r="C214" s="2"/>
      <c r="J214" s="3"/>
      <c r="K214" s="4"/>
    </row>
    <row r="215" spans="2:11" ht="12.75">
      <c r="B215" s="1"/>
      <c r="C215" s="2"/>
      <c r="J215" s="3"/>
      <c r="K215" s="4"/>
    </row>
    <row r="216" spans="2:11" ht="12.75">
      <c r="B216" s="1"/>
      <c r="C216" s="2"/>
      <c r="J216" s="3"/>
      <c r="K216" s="4"/>
    </row>
    <row r="217" spans="2:11" ht="12.75">
      <c r="B217" s="1"/>
      <c r="C217" s="2"/>
      <c r="J217" s="3"/>
      <c r="K217" s="4"/>
    </row>
    <row r="218" spans="2:11" ht="12.75">
      <c r="B218" s="1"/>
      <c r="C218" s="2"/>
      <c r="J218" s="3"/>
      <c r="K218" s="4"/>
    </row>
    <row r="219" spans="2:11" ht="12.75">
      <c r="B219" s="1"/>
      <c r="C219" s="2"/>
      <c r="J219" s="3"/>
      <c r="K219" s="4"/>
    </row>
    <row r="220" spans="2:11" ht="12.75">
      <c r="B220" s="1"/>
      <c r="C220" s="2"/>
      <c r="J220" s="3"/>
      <c r="K220" s="4"/>
    </row>
    <row r="221" spans="2:11" ht="12.75">
      <c r="B221" s="1"/>
      <c r="C221" s="2"/>
      <c r="J221" s="3"/>
      <c r="K221" s="4"/>
    </row>
    <row r="222" spans="2:11" ht="12.75">
      <c r="B222" s="1"/>
      <c r="C222" s="2"/>
      <c r="J222" s="3"/>
      <c r="K222" s="4"/>
    </row>
    <row r="223" spans="2:11" ht="12.75">
      <c r="B223" s="1"/>
      <c r="C223" s="2"/>
      <c r="J223" s="3"/>
      <c r="K223" s="4"/>
    </row>
    <row r="224" spans="2:11" ht="12.75">
      <c r="B224" s="1"/>
      <c r="C224" s="2"/>
      <c r="J224" s="3"/>
      <c r="K224" s="4"/>
    </row>
    <row r="225" spans="2:11" ht="12.75">
      <c r="B225" s="1"/>
      <c r="C225" s="2"/>
      <c r="J225" s="3"/>
      <c r="K225" s="4"/>
    </row>
    <row r="226" spans="2:11" ht="12.75">
      <c r="B226" s="1"/>
      <c r="C226" s="2"/>
      <c r="J226" s="3"/>
      <c r="K226" s="4"/>
    </row>
    <row r="227" spans="2:11" ht="12.75">
      <c r="B227" s="1"/>
      <c r="C227" s="2"/>
      <c r="J227" s="3"/>
      <c r="K227" s="4"/>
    </row>
    <row r="228" spans="2:11" ht="12.75">
      <c r="B228" s="1"/>
      <c r="C228" s="2"/>
      <c r="J228" s="3"/>
      <c r="K228" s="4"/>
    </row>
    <row r="229" spans="2:11" ht="12.75">
      <c r="B229" s="1"/>
      <c r="C229" s="2"/>
      <c r="J229" s="3"/>
      <c r="K229" s="4"/>
    </row>
    <row r="230" spans="2:11" ht="12.75">
      <c r="B230" s="1"/>
      <c r="C230" s="2"/>
      <c r="J230" s="3"/>
      <c r="K230" s="4"/>
    </row>
    <row r="231" spans="2:11" ht="12.75">
      <c r="B231" s="1"/>
      <c r="C231" s="2"/>
      <c r="J231" s="3"/>
      <c r="K231" s="4"/>
    </row>
    <row r="232" spans="2:11" ht="12.75">
      <c r="B232" s="1"/>
      <c r="C232" s="2"/>
      <c r="J232" s="3"/>
      <c r="K232" s="4"/>
    </row>
    <row r="233" spans="2:11" ht="12.75">
      <c r="B233" s="1"/>
      <c r="C233" s="2"/>
      <c r="J233" s="3"/>
      <c r="K233" s="4"/>
    </row>
    <row r="234" spans="2:11" ht="12.75">
      <c r="B234" s="1"/>
      <c r="C234" s="2"/>
      <c r="J234" s="3"/>
      <c r="K234" s="4"/>
    </row>
    <row r="235" spans="2:11" ht="12.75">
      <c r="B235" s="1"/>
      <c r="C235" s="2"/>
      <c r="J235" s="3"/>
      <c r="K235" s="4"/>
    </row>
    <row r="236" spans="2:11" ht="12.75">
      <c r="B236" s="1"/>
      <c r="C236" s="2"/>
      <c r="J236" s="3"/>
      <c r="K236" s="4"/>
    </row>
    <row r="237" spans="2:11" ht="12.75">
      <c r="B237" s="1"/>
      <c r="C237" s="2"/>
      <c r="J237" s="3"/>
      <c r="K237" s="4"/>
    </row>
    <row r="238" spans="2:11" ht="12.75">
      <c r="B238" s="1"/>
      <c r="C238" s="2"/>
      <c r="J238" s="3"/>
      <c r="K238" s="4"/>
    </row>
    <row r="239" spans="2:11" ht="12.75">
      <c r="B239" s="1"/>
      <c r="C239" s="2"/>
      <c r="J239" s="3"/>
      <c r="K239" s="4"/>
    </row>
    <row r="240" spans="2:11" ht="12.75">
      <c r="B240" s="1"/>
      <c r="C240" s="2"/>
      <c r="J240" s="3"/>
      <c r="K240" s="4"/>
    </row>
    <row r="241" spans="2:11" ht="12.75">
      <c r="B241" s="1"/>
      <c r="C241" s="2"/>
      <c r="J241" s="3"/>
      <c r="K241" s="4"/>
    </row>
    <row r="242" spans="2:11" ht="12.75">
      <c r="B242" s="1"/>
      <c r="C242" s="2"/>
      <c r="J242" s="3"/>
      <c r="K242" s="4"/>
    </row>
    <row r="243" spans="2:11" ht="12.75">
      <c r="B243" s="1"/>
      <c r="C243" s="2"/>
      <c r="J243" s="3"/>
      <c r="K243" s="4"/>
    </row>
    <row r="244" spans="2:11" ht="12.75">
      <c r="B244" s="1"/>
      <c r="C244" s="2"/>
      <c r="J244" s="3"/>
      <c r="K244" s="4"/>
    </row>
    <row r="245" spans="2:11" ht="12.75">
      <c r="B245" s="1"/>
      <c r="C245" s="2"/>
      <c r="J245" s="3"/>
      <c r="K245" s="4"/>
    </row>
    <row r="246" spans="2:11" ht="12.75">
      <c r="B246" s="1"/>
      <c r="C246" s="2"/>
      <c r="J246" s="3"/>
      <c r="K246" s="4"/>
    </row>
    <row r="247" spans="2:11" ht="12.75">
      <c r="B247" s="1"/>
      <c r="C247" s="2"/>
      <c r="J247" s="3"/>
      <c r="K247" s="4"/>
    </row>
    <row r="248" spans="2:11" ht="12.75">
      <c r="B248" s="1"/>
      <c r="C248" s="2"/>
      <c r="J248" s="3"/>
      <c r="K248" s="4"/>
    </row>
    <row r="249" spans="2:11" ht="12.75">
      <c r="B249" s="1"/>
      <c r="C249" s="2"/>
      <c r="J249" s="3"/>
      <c r="K249" s="4"/>
    </row>
    <row r="250" spans="2:11" ht="12.75">
      <c r="B250" s="1"/>
      <c r="C250" s="2"/>
      <c r="J250" s="3"/>
      <c r="K250" s="4"/>
    </row>
    <row r="251" spans="2:11" ht="12.75">
      <c r="B251" s="1"/>
      <c r="C251" s="2"/>
      <c r="J251" s="3"/>
      <c r="K251" s="4"/>
    </row>
    <row r="252" spans="2:11" ht="12.75">
      <c r="B252" s="1"/>
      <c r="C252" s="2"/>
      <c r="J252" s="3"/>
      <c r="K252" s="4"/>
    </row>
    <row r="253" spans="2:11" ht="12.75">
      <c r="B253" s="1"/>
      <c r="C253" s="2"/>
      <c r="J253" s="3"/>
      <c r="K253" s="4"/>
    </row>
    <row r="254" spans="2:11" ht="12.75">
      <c r="B254" s="1"/>
      <c r="C254" s="2"/>
      <c r="J254" s="3"/>
      <c r="K254" s="4"/>
    </row>
    <row r="255" spans="2:11" ht="12.75">
      <c r="B255" s="1"/>
      <c r="C255" s="2"/>
      <c r="J255" s="3"/>
      <c r="K255" s="4"/>
    </row>
    <row r="256" spans="2:11" ht="12.75">
      <c r="B256" s="1"/>
      <c r="C256" s="2"/>
      <c r="J256" s="3"/>
      <c r="K256" s="4"/>
    </row>
    <row r="257" spans="2:11" ht="12.75">
      <c r="B257" s="1"/>
      <c r="C257" s="2"/>
      <c r="J257" s="3"/>
      <c r="K257" s="4"/>
    </row>
    <row r="258" spans="2:11" ht="12.75">
      <c r="B258" s="1"/>
      <c r="C258" s="2"/>
      <c r="J258" s="3"/>
      <c r="K258" s="4"/>
    </row>
    <row r="259" spans="2:11" ht="12.75">
      <c r="B259" s="1"/>
      <c r="C259" s="2"/>
      <c r="J259" s="3"/>
      <c r="K259" s="4"/>
    </row>
    <row r="260" spans="2:11" ht="12.75">
      <c r="B260" s="1"/>
      <c r="C260" s="2"/>
      <c r="J260" s="3"/>
      <c r="K260" s="4"/>
    </row>
    <row r="261" spans="2:11" ht="12.75">
      <c r="B261" s="1"/>
      <c r="C261" s="2"/>
      <c r="J261" s="3"/>
      <c r="K261" s="4"/>
    </row>
    <row r="262" spans="2:11" ht="12.75">
      <c r="B262" s="1"/>
      <c r="C262" s="2"/>
      <c r="J262" s="3"/>
      <c r="K262" s="4"/>
    </row>
    <row r="263" spans="2:11" ht="12.75">
      <c r="B263" s="1"/>
      <c r="C263" s="2"/>
      <c r="J263" s="3"/>
      <c r="K263" s="4"/>
    </row>
    <row r="264" spans="2:11" ht="12.75">
      <c r="B264" s="1"/>
      <c r="C264" s="2"/>
      <c r="J264" s="3"/>
      <c r="K264" s="4"/>
    </row>
    <row r="265" spans="2:11" ht="12.75">
      <c r="B265" s="1"/>
      <c r="C265" s="2"/>
      <c r="J265" s="3"/>
      <c r="K265" s="4"/>
    </row>
    <row r="266" spans="2:11" ht="12.75">
      <c r="B266" s="1"/>
      <c r="C266" s="2"/>
      <c r="J266" s="3"/>
      <c r="K266" s="4"/>
    </row>
    <row r="267" spans="2:11" ht="12.75">
      <c r="B267" s="1"/>
      <c r="C267" s="2"/>
      <c r="J267" s="3"/>
      <c r="K267" s="4"/>
    </row>
    <row r="268" spans="2:11" ht="12.75">
      <c r="B268" s="1"/>
      <c r="C268" s="2"/>
      <c r="J268" s="3"/>
      <c r="K268" s="4"/>
    </row>
    <row r="269" spans="2:11" ht="12.75">
      <c r="B269" s="1"/>
      <c r="C269" s="2"/>
      <c r="J269" s="3"/>
      <c r="K269" s="4"/>
    </row>
    <row r="270" spans="2:11" ht="12.75">
      <c r="B270" s="1"/>
      <c r="C270" s="2"/>
      <c r="J270" s="3"/>
      <c r="K270" s="4"/>
    </row>
    <row r="271" spans="2:11" ht="12.75">
      <c r="B271" s="1"/>
      <c r="C271" s="2"/>
      <c r="J271" s="3"/>
      <c r="K271" s="4"/>
    </row>
    <row r="272" spans="2:11" ht="12.75">
      <c r="B272" s="1"/>
      <c r="C272" s="2"/>
      <c r="J272" s="3"/>
      <c r="K272" s="4"/>
    </row>
    <row r="273" spans="2:11" ht="12.75">
      <c r="B273" s="1"/>
      <c r="C273" s="2"/>
      <c r="J273" s="3"/>
      <c r="K273" s="4"/>
    </row>
    <row r="274" spans="2:11" ht="12.75">
      <c r="B274" s="1"/>
      <c r="C274" s="2"/>
      <c r="J274" s="3"/>
      <c r="K274" s="4"/>
    </row>
    <row r="275" spans="2:11" ht="12.75">
      <c r="B275" s="1"/>
      <c r="C275" s="2"/>
      <c r="J275" s="3"/>
      <c r="K275" s="4"/>
    </row>
    <row r="276" spans="2:11" ht="12.75">
      <c r="B276" s="1"/>
      <c r="C276" s="2"/>
      <c r="J276" s="3"/>
      <c r="K276" s="4"/>
    </row>
    <row r="277" spans="2:11" ht="12.75">
      <c r="B277" s="1"/>
      <c r="C277" s="2"/>
      <c r="J277" s="3"/>
      <c r="K277" s="4"/>
    </row>
    <row r="278" spans="2:11" ht="12.75">
      <c r="B278" s="1"/>
      <c r="C278" s="2"/>
      <c r="J278" s="3"/>
      <c r="K278" s="4"/>
    </row>
    <row r="279" spans="2:11" ht="12.75">
      <c r="B279" s="1"/>
      <c r="C279" s="2"/>
      <c r="J279" s="3"/>
      <c r="K279" s="4"/>
    </row>
    <row r="280" spans="2:11" ht="12.75">
      <c r="B280" s="1"/>
      <c r="C280" s="2"/>
      <c r="J280" s="3"/>
      <c r="K280" s="4"/>
    </row>
    <row r="281" spans="2:11" ht="12.75">
      <c r="B281" s="1"/>
      <c r="C281" s="2"/>
      <c r="J281" s="3"/>
      <c r="K281" s="4"/>
    </row>
    <row r="282" spans="2:11" ht="12.75">
      <c r="B282" s="1"/>
      <c r="C282" s="2"/>
      <c r="J282" s="3"/>
      <c r="K282" s="4"/>
    </row>
    <row r="283" spans="2:11" ht="12.75">
      <c r="B283" s="1"/>
      <c r="C283" s="2"/>
      <c r="J283" s="3"/>
      <c r="K283" s="4"/>
    </row>
    <row r="284" spans="2:11" ht="12.75">
      <c r="B284" s="1"/>
      <c r="C284" s="2"/>
      <c r="J284" s="3"/>
      <c r="K284" s="4"/>
    </row>
    <row r="285" spans="2:11" ht="12.75">
      <c r="B285" s="1"/>
      <c r="C285" s="2"/>
      <c r="J285" s="3"/>
      <c r="K285" s="4"/>
    </row>
    <row r="286" spans="2:11" ht="12.75">
      <c r="B286" s="1"/>
      <c r="C286" s="2"/>
      <c r="J286" s="3"/>
      <c r="K286" s="4"/>
    </row>
    <row r="287" spans="2:11" ht="12.75">
      <c r="B287" s="1"/>
      <c r="C287" s="2"/>
      <c r="J287" s="3"/>
      <c r="K287" s="4"/>
    </row>
    <row r="288" spans="2:11" ht="12.75">
      <c r="B288" s="1"/>
      <c r="C288" s="2"/>
      <c r="J288" s="3"/>
      <c r="K288" s="4"/>
    </row>
    <row r="289" spans="2:11" ht="12.75">
      <c r="B289" s="1"/>
      <c r="C289" s="2"/>
      <c r="J289" s="3"/>
      <c r="K289" s="4"/>
    </row>
    <row r="290" spans="2:11" ht="12.75">
      <c r="B290" s="1"/>
      <c r="C290" s="2"/>
      <c r="J290" s="3"/>
      <c r="K290" s="4"/>
    </row>
    <row r="291" spans="2:11" ht="12.75">
      <c r="B291" s="1"/>
      <c r="C291" s="2"/>
      <c r="J291" s="3"/>
      <c r="K291" s="4"/>
    </row>
    <row r="292" spans="2:11" ht="12.75">
      <c r="B292" s="1"/>
      <c r="C292" s="2"/>
      <c r="J292" s="3"/>
      <c r="K292" s="4"/>
    </row>
    <row r="293" spans="2:11" ht="12.75">
      <c r="B293" s="1"/>
      <c r="C293" s="2"/>
      <c r="J293" s="3"/>
      <c r="K293" s="4"/>
    </row>
    <row r="294" spans="2:11" ht="12.75">
      <c r="B294" s="1"/>
      <c r="C294" s="2"/>
      <c r="J294" s="3"/>
      <c r="K294" s="4"/>
    </row>
    <row r="295" spans="2:11" ht="12.75">
      <c r="B295" s="1"/>
      <c r="C295" s="2"/>
      <c r="J295" s="3"/>
      <c r="K295" s="4"/>
    </row>
    <row r="296" spans="2:11" ht="12.75">
      <c r="B296" s="1"/>
      <c r="C296" s="2"/>
      <c r="J296" s="3"/>
      <c r="K296" s="4"/>
    </row>
    <row r="297" spans="2:11" ht="12.75">
      <c r="B297" s="1"/>
      <c r="C297" s="2"/>
      <c r="J297" s="3"/>
      <c r="K297" s="4"/>
    </row>
    <row r="298" spans="2:11" ht="12.75">
      <c r="B298" s="1"/>
      <c r="C298" s="2"/>
      <c r="J298" s="3"/>
      <c r="K298" s="4"/>
    </row>
    <row r="299" spans="2:11" ht="12.75">
      <c r="B299" s="1"/>
      <c r="C299" s="2"/>
      <c r="J299" s="3"/>
      <c r="K299" s="4"/>
    </row>
    <row r="300" spans="2:11" ht="12.75">
      <c r="B300" s="1"/>
      <c r="C300" s="2"/>
      <c r="J300" s="3"/>
      <c r="K300" s="4"/>
    </row>
    <row r="301" spans="2:11" ht="12.75">
      <c r="B301" s="1"/>
      <c r="C301" s="2"/>
      <c r="J301" s="3"/>
      <c r="K301" s="4"/>
    </row>
    <row r="302" spans="2:11" ht="12.75">
      <c r="B302" s="1"/>
      <c r="C302" s="2"/>
      <c r="J302" s="3"/>
      <c r="K302" s="4"/>
    </row>
    <row r="303" spans="2:11" ht="12.75">
      <c r="B303" s="1"/>
      <c r="C303" s="2"/>
      <c r="J303" s="3"/>
      <c r="K303" s="4"/>
    </row>
    <row r="304" spans="2:11" ht="12.75">
      <c r="B304" s="1"/>
      <c r="C304" s="2"/>
      <c r="J304" s="3"/>
      <c r="K304" s="4"/>
    </row>
    <row r="305" spans="2:11" ht="12.75">
      <c r="B305" s="1"/>
      <c r="C305" s="2"/>
      <c r="J305" s="3"/>
      <c r="K305" s="4"/>
    </row>
    <row r="306" spans="2:11" ht="12.75">
      <c r="B306" s="1"/>
      <c r="C306" s="2"/>
      <c r="J306" s="3"/>
      <c r="K306" s="4"/>
    </row>
    <row r="307" spans="2:11" ht="12.75">
      <c r="B307" s="1"/>
      <c r="C307" s="2"/>
      <c r="J307" s="3"/>
      <c r="K307" s="4"/>
    </row>
    <row r="308" spans="2:11" ht="12.75">
      <c r="B308" s="1"/>
      <c r="C308" s="2"/>
      <c r="J308" s="3"/>
      <c r="K308" s="4"/>
    </row>
    <row r="309" spans="2:11" ht="12.75">
      <c r="B309" s="1"/>
      <c r="C309" s="2"/>
      <c r="J309" s="3"/>
      <c r="K309" s="4"/>
    </row>
    <row r="310" spans="2:11" ht="12.75">
      <c r="B310" s="1"/>
      <c r="C310" s="2"/>
      <c r="J310" s="3"/>
      <c r="K310" s="4"/>
    </row>
    <row r="311" spans="2:11" ht="12.75">
      <c r="B311" s="1"/>
      <c r="C311" s="2"/>
      <c r="J311" s="3"/>
      <c r="K311" s="4"/>
    </row>
    <row r="312" spans="2:11" ht="12.75">
      <c r="B312" s="1"/>
      <c r="C312" s="2"/>
      <c r="J312" s="3"/>
      <c r="K312" s="4"/>
    </row>
    <row r="313" spans="2:11" ht="12.75">
      <c r="B313" s="1"/>
      <c r="C313" s="2"/>
      <c r="J313" s="3"/>
      <c r="K313" s="4"/>
    </row>
    <row r="314" spans="2:11" ht="12.75">
      <c r="B314" s="1"/>
      <c r="C314" s="2"/>
      <c r="J314" s="3"/>
      <c r="K314" s="4"/>
    </row>
    <row r="315" spans="2:11" ht="12.75">
      <c r="B315" s="1"/>
      <c r="C315" s="2"/>
      <c r="J315" s="3"/>
      <c r="K315" s="4"/>
    </row>
    <row r="316" spans="2:11" ht="12.75">
      <c r="B316" s="1"/>
      <c r="C316" s="2"/>
      <c r="J316" s="3"/>
      <c r="K316" s="4"/>
    </row>
    <row r="317" spans="2:11" ht="12.75">
      <c r="B317" s="1"/>
      <c r="C317" s="2"/>
      <c r="J317" s="3"/>
      <c r="K317" s="4"/>
    </row>
    <row r="318" spans="2:11" ht="12.75">
      <c r="B318" s="1"/>
      <c r="C318" s="2"/>
      <c r="J318" s="3"/>
      <c r="K318" s="4"/>
    </row>
    <row r="319" spans="2:11" ht="12.75">
      <c r="B319" s="1"/>
      <c r="C319" s="2"/>
      <c r="J319" s="3"/>
      <c r="K319" s="4"/>
    </row>
    <row r="320" spans="2:11" ht="12.75">
      <c r="B320" s="1"/>
      <c r="C320" s="2"/>
      <c r="J320" s="3"/>
      <c r="K320" s="4"/>
    </row>
    <row r="321" spans="2:11" ht="12.75">
      <c r="B321" s="1"/>
      <c r="C321" s="2"/>
      <c r="J321" s="3"/>
      <c r="K321" s="4"/>
    </row>
    <row r="322" spans="2:11" ht="12.75">
      <c r="B322" s="1"/>
      <c r="C322" s="2"/>
      <c r="J322" s="3"/>
      <c r="K322" s="4"/>
    </row>
    <row r="323" spans="2:11" ht="12.75">
      <c r="B323" s="1"/>
      <c r="C323" s="2"/>
      <c r="J323" s="3"/>
      <c r="K323" s="4"/>
    </row>
    <row r="324" spans="2:11" ht="12.75">
      <c r="B324" s="1"/>
      <c r="C324" s="2"/>
      <c r="J324" s="3"/>
      <c r="K324" s="4"/>
    </row>
    <row r="325" spans="2:11" ht="12.75">
      <c r="B325" s="1"/>
      <c r="C325" s="2"/>
      <c r="J325" s="3"/>
      <c r="K325" s="4"/>
    </row>
    <row r="326" spans="2:11" ht="12.75">
      <c r="B326" s="1"/>
      <c r="C326" s="2"/>
      <c r="J326" s="3"/>
      <c r="K326" s="4"/>
    </row>
    <row r="327" spans="2:11" ht="12.75">
      <c r="B327" s="1"/>
      <c r="C327" s="2"/>
      <c r="J327" s="3"/>
      <c r="K327" s="4"/>
    </row>
    <row r="328" spans="2:11" ht="12.75">
      <c r="B328" s="1"/>
      <c r="C328" s="2"/>
      <c r="J328" s="3"/>
      <c r="K328" s="4"/>
    </row>
    <row r="329" spans="2:11" ht="12.75">
      <c r="B329" s="1"/>
      <c r="C329" s="2"/>
      <c r="J329" s="3"/>
      <c r="K329" s="4"/>
    </row>
    <row r="330" spans="2:11" ht="12.75">
      <c r="B330" s="1"/>
      <c r="C330" s="2"/>
      <c r="J330" s="3"/>
      <c r="K330" s="4"/>
    </row>
    <row r="331" spans="2:11" ht="12.75">
      <c r="B331" s="1"/>
      <c r="C331" s="2"/>
      <c r="J331" s="3"/>
      <c r="K331" s="4"/>
    </row>
    <row r="332" spans="2:11" ht="12.75">
      <c r="B332" s="1"/>
      <c r="C332" s="2"/>
      <c r="J332" s="3"/>
      <c r="K332" s="4"/>
    </row>
    <row r="333" spans="2:11" ht="12.75">
      <c r="B333" s="1"/>
      <c r="C333" s="2"/>
      <c r="J333" s="3"/>
      <c r="K333" s="4"/>
    </row>
    <row r="334" spans="2:11" ht="12.75">
      <c r="B334" s="1"/>
      <c r="C334" s="2"/>
      <c r="J334" s="3"/>
      <c r="K334" s="4"/>
    </row>
    <row r="335" spans="2:11" ht="12.75">
      <c r="B335" s="1"/>
      <c r="C335" s="2"/>
      <c r="J335" s="3"/>
      <c r="K335" s="4"/>
    </row>
    <row r="336" spans="2:11" ht="12.75">
      <c r="B336" s="1"/>
      <c r="C336" s="2"/>
      <c r="J336" s="3"/>
      <c r="K336" s="4"/>
    </row>
    <row r="337" spans="2:11" ht="12.75">
      <c r="B337" s="1"/>
      <c r="C337" s="2"/>
      <c r="J337" s="3"/>
      <c r="K337" s="4"/>
    </row>
    <row r="338" spans="2:11" ht="12.75">
      <c r="B338" s="1"/>
      <c r="C338" s="2"/>
      <c r="J338" s="3"/>
      <c r="K338" s="4"/>
    </row>
    <row r="339" spans="2:11" ht="12.75">
      <c r="B339" s="1"/>
      <c r="C339" s="2"/>
      <c r="J339" s="3"/>
      <c r="K339" s="4"/>
    </row>
    <row r="340" spans="2:11" ht="12.75">
      <c r="B340" s="1"/>
      <c r="C340" s="2"/>
      <c r="J340" s="3"/>
      <c r="K340" s="4"/>
    </row>
    <row r="341" spans="2:11" ht="12.75">
      <c r="B341" s="1"/>
      <c r="C341" s="2"/>
      <c r="J341" s="3"/>
      <c r="K341" s="4"/>
    </row>
    <row r="342" spans="2:11" ht="12.75">
      <c r="B342" s="1"/>
      <c r="C342" s="2"/>
      <c r="J342" s="3"/>
      <c r="K342" s="4"/>
    </row>
    <row r="343" spans="2:11" ht="12.75">
      <c r="B343" s="1"/>
      <c r="C343" s="2"/>
      <c r="J343" s="3"/>
      <c r="K343" s="4"/>
    </row>
    <row r="344" spans="2:11" ht="12.75">
      <c r="B344" s="1"/>
      <c r="C344" s="2"/>
      <c r="J344" s="3"/>
      <c r="K344" s="4"/>
    </row>
    <row r="345" spans="2:11" ht="12.75">
      <c r="B345" s="1"/>
      <c r="C345" s="2"/>
      <c r="J345" s="3"/>
      <c r="K345" s="4"/>
    </row>
    <row r="346" spans="2:11" ht="12.75">
      <c r="B346" s="1"/>
      <c r="C346" s="2"/>
      <c r="J346" s="3"/>
      <c r="K346" s="4"/>
    </row>
    <row r="347" spans="2:11" ht="12.75">
      <c r="B347" s="1"/>
      <c r="C347" s="2"/>
      <c r="J347" s="3"/>
      <c r="K347" s="4"/>
    </row>
    <row r="348" spans="2:11" ht="12.75">
      <c r="B348" s="1"/>
      <c r="C348" s="2"/>
      <c r="J348" s="3"/>
      <c r="K348" s="4"/>
    </row>
    <row r="349" spans="2:11" ht="12.75">
      <c r="B349" s="1"/>
      <c r="C349" s="2"/>
      <c r="J349" s="3"/>
      <c r="K349" s="4"/>
    </row>
    <row r="350" spans="2:11" ht="12.75">
      <c r="B350" s="1"/>
      <c r="C350" s="2"/>
      <c r="J350" s="3"/>
      <c r="K350" s="4"/>
    </row>
    <row r="351" spans="2:11" ht="12.75">
      <c r="B351" s="1"/>
      <c r="C351" s="2"/>
      <c r="J351" s="3"/>
      <c r="K351" s="4"/>
    </row>
    <row r="352" spans="2:11" ht="12.75">
      <c r="B352" s="1"/>
      <c r="C352" s="2"/>
      <c r="J352" s="3"/>
      <c r="K352" s="4"/>
    </row>
    <row r="353" spans="2:11" ht="12.75">
      <c r="B353" s="1"/>
      <c r="C353" s="2"/>
      <c r="J353" s="3"/>
      <c r="K353" s="4"/>
    </row>
    <row r="354" spans="2:11" ht="12.75">
      <c r="B354" s="1"/>
      <c r="C354" s="2"/>
      <c r="J354" s="3"/>
      <c r="K354" s="4"/>
    </row>
    <row r="355" spans="2:11" ht="12.75">
      <c r="B355" s="1"/>
      <c r="C355" s="2"/>
      <c r="J355" s="3"/>
      <c r="K355" s="4"/>
    </row>
    <row r="356" spans="2:11" ht="12.75">
      <c r="B356" s="1"/>
      <c r="C356" s="2"/>
      <c r="J356" s="3"/>
      <c r="K356" s="4"/>
    </row>
    <row r="357" spans="2:11" ht="12.75">
      <c r="B357" s="1"/>
      <c r="C357" s="2"/>
      <c r="J357" s="3"/>
      <c r="K357" s="4"/>
    </row>
    <row r="358" spans="2:11" ht="12.75">
      <c r="B358" s="1"/>
      <c r="C358" s="2"/>
      <c r="J358" s="3"/>
      <c r="K358" s="4"/>
    </row>
    <row r="359" spans="2:11" ht="12.75">
      <c r="B359" s="1"/>
      <c r="C359" s="2"/>
      <c r="J359" s="3"/>
      <c r="K359" s="4"/>
    </row>
    <row r="360" spans="2:11" ht="12.75">
      <c r="B360" s="1"/>
      <c r="C360" s="2"/>
      <c r="J360" s="3"/>
      <c r="K360" s="4"/>
    </row>
    <row r="361" spans="2:11" ht="12.75">
      <c r="B361" s="1"/>
      <c r="C361" s="2"/>
      <c r="J361" s="3"/>
      <c r="K361" s="4"/>
    </row>
    <row r="362" spans="2:11" ht="12.75">
      <c r="B362" s="1"/>
      <c r="C362" s="2"/>
      <c r="J362" s="3"/>
      <c r="K362" s="4"/>
    </row>
    <row r="363" spans="2:11" ht="12.75">
      <c r="B363" s="1"/>
      <c r="C363" s="2"/>
      <c r="J363" s="3"/>
      <c r="K363" s="4"/>
    </row>
    <row r="364" spans="2:11" ht="12.75">
      <c r="B364" s="1"/>
      <c r="C364" s="2"/>
      <c r="J364" s="3"/>
      <c r="K364" s="4"/>
    </row>
    <row r="365" spans="2:11" ht="12.75">
      <c r="B365" s="1"/>
      <c r="C365" s="2"/>
      <c r="J365" s="3"/>
      <c r="K365" s="4"/>
    </row>
    <row r="366" spans="2:11" ht="12.75">
      <c r="B366" s="1"/>
      <c r="C366" s="2"/>
      <c r="J366" s="3"/>
      <c r="K366" s="4"/>
    </row>
    <row r="367" spans="2:11" ht="12.75">
      <c r="B367" s="1"/>
      <c r="C367" s="2"/>
      <c r="J367" s="3"/>
      <c r="K367" s="4"/>
    </row>
    <row r="368" spans="2:11" ht="12.75">
      <c r="B368" s="1"/>
      <c r="C368" s="2"/>
      <c r="J368" s="3"/>
      <c r="K368" s="4"/>
    </row>
    <row r="369" spans="2:11" ht="12.75">
      <c r="B369" s="1"/>
      <c r="C369" s="2"/>
      <c r="J369" s="3"/>
      <c r="K369" s="4"/>
    </row>
    <row r="370" spans="2:11" ht="12.75">
      <c r="B370" s="1"/>
      <c r="C370" s="2"/>
      <c r="J370" s="3"/>
      <c r="K370" s="4"/>
    </row>
    <row r="371" spans="2:11" ht="12.75">
      <c r="B371" s="1"/>
      <c r="C371" s="2"/>
      <c r="J371" s="3"/>
      <c r="K371" s="4"/>
    </row>
    <row r="372" spans="2:11" ht="12.75">
      <c r="B372" s="1"/>
      <c r="C372" s="2"/>
      <c r="J372" s="3"/>
      <c r="K372" s="4"/>
    </row>
    <row r="373" spans="2:11" ht="12.75">
      <c r="B373" s="1"/>
      <c r="C373" s="2"/>
      <c r="J373" s="3"/>
      <c r="K373" s="4"/>
    </row>
    <row r="374" spans="2:11" ht="12.75">
      <c r="B374" s="1"/>
      <c r="C374" s="2"/>
      <c r="J374" s="3"/>
      <c r="K374" s="4"/>
    </row>
    <row r="375" spans="2:11" ht="12.75">
      <c r="B375" s="1"/>
      <c r="C375" s="2"/>
      <c r="J375" s="3"/>
      <c r="K375" s="4"/>
    </row>
    <row r="376" spans="2:11" ht="12.75">
      <c r="B376" s="1"/>
      <c r="C376" s="2"/>
      <c r="J376" s="3"/>
      <c r="K376" s="4"/>
    </row>
    <row r="377" spans="2:11" ht="12.75">
      <c r="B377" s="1"/>
      <c r="C377" s="2"/>
      <c r="J377" s="3"/>
      <c r="K377" s="4"/>
    </row>
    <row r="378" spans="2:11" ht="12.75">
      <c r="B378" s="1"/>
      <c r="C378" s="2"/>
      <c r="J378" s="3"/>
      <c r="K378" s="4"/>
    </row>
    <row r="379" spans="2:11" ht="12.75">
      <c r="B379" s="1"/>
      <c r="C379" s="2"/>
      <c r="J379" s="3"/>
      <c r="K379" s="4"/>
    </row>
    <row r="380" spans="2:11" ht="12.75">
      <c r="B380" s="1"/>
      <c r="C380" s="2"/>
      <c r="J380" s="3"/>
      <c r="K380" s="4"/>
    </row>
    <row r="381" spans="2:11" ht="12.75">
      <c r="B381" s="1"/>
      <c r="C381" s="2"/>
      <c r="J381" s="3"/>
      <c r="K381" s="4"/>
    </row>
    <row r="382" spans="2:11" ht="12.75">
      <c r="B382" s="1"/>
      <c r="C382" s="2"/>
      <c r="J382" s="3"/>
      <c r="K382" s="4"/>
    </row>
    <row r="383" spans="2:11" ht="12.75">
      <c r="B383" s="1"/>
      <c r="C383" s="2"/>
      <c r="J383" s="3"/>
      <c r="K383" s="4"/>
    </row>
    <row r="384" spans="2:11" ht="12.75">
      <c r="B384" s="1"/>
      <c r="C384" s="2"/>
      <c r="J384" s="3"/>
      <c r="K384" s="4"/>
    </row>
    <row r="385" spans="2:11" ht="12.75">
      <c r="B385" s="1"/>
      <c r="C385" s="2"/>
      <c r="J385" s="3"/>
      <c r="K385" s="4"/>
    </row>
    <row r="386" spans="2:11" ht="12.75">
      <c r="B386" s="1"/>
      <c r="C386" s="2"/>
      <c r="J386" s="3"/>
      <c r="K386" s="4"/>
    </row>
    <row r="387" spans="2:11" ht="12.75">
      <c r="B387" s="1"/>
      <c r="C387" s="2"/>
      <c r="J387" s="3"/>
      <c r="K387" s="4"/>
    </row>
    <row r="388" spans="2:11" ht="12.75">
      <c r="B388" s="1"/>
      <c r="C388" s="2"/>
      <c r="J388" s="3"/>
      <c r="K388" s="4"/>
    </row>
    <row r="389" spans="2:11" ht="12.75">
      <c r="B389" s="1"/>
      <c r="C389" s="2"/>
      <c r="J389" s="3"/>
      <c r="K389" s="4"/>
    </row>
    <row r="390" spans="2:11" ht="12.75">
      <c r="B390" s="1"/>
      <c r="C390" s="2"/>
      <c r="J390" s="3"/>
      <c r="K390" s="4"/>
    </row>
    <row r="391" spans="2:11" ht="12.75">
      <c r="B391" s="1"/>
      <c r="C391" s="2"/>
      <c r="J391" s="3"/>
      <c r="K391" s="4"/>
    </row>
    <row r="392" spans="2:11" ht="12.75">
      <c r="B392" s="1"/>
      <c r="C392" s="2"/>
      <c r="J392" s="3"/>
      <c r="K392" s="4"/>
    </row>
    <row r="393" spans="2:11" ht="12.75">
      <c r="B393" s="1"/>
      <c r="C393" s="2"/>
      <c r="J393" s="3"/>
      <c r="K393" s="4"/>
    </row>
    <row r="394" spans="2:11" ht="12.75">
      <c r="B394" s="1"/>
      <c r="C394" s="2"/>
      <c r="J394" s="3"/>
      <c r="K394" s="4"/>
    </row>
    <row r="395" spans="2:11" ht="12.75">
      <c r="B395" s="1"/>
      <c r="C395" s="2"/>
      <c r="J395" s="3"/>
      <c r="K395" s="4"/>
    </row>
    <row r="396" spans="2:11" ht="12.75">
      <c r="B396" s="1"/>
      <c r="C396" s="2"/>
      <c r="J396" s="3"/>
      <c r="K396" s="4"/>
    </row>
    <row r="397" spans="2:11" ht="12.75">
      <c r="B397" s="1"/>
      <c r="C397" s="2"/>
      <c r="J397" s="3"/>
      <c r="K397" s="4"/>
    </row>
    <row r="398" spans="2:11" ht="12.75">
      <c r="B398" s="1"/>
      <c r="C398" s="2"/>
      <c r="J398" s="3"/>
      <c r="K398" s="4"/>
    </row>
    <row r="399" spans="2:11" ht="12.75">
      <c r="B399" s="1"/>
      <c r="C399" s="2"/>
      <c r="J399" s="3"/>
      <c r="K399" s="4"/>
    </row>
    <row r="400" spans="2:11" ht="12.75">
      <c r="B400" s="1"/>
      <c r="C400" s="2"/>
      <c r="J400" s="3"/>
      <c r="K400" s="4"/>
    </row>
    <row r="401" spans="2:11" ht="12.75">
      <c r="B401" s="1"/>
      <c r="C401" s="2"/>
      <c r="J401" s="3"/>
      <c r="K401" s="4"/>
    </row>
    <row r="402" spans="2:11" ht="12.75">
      <c r="B402" s="1"/>
      <c r="C402" s="2"/>
      <c r="J402" s="3"/>
      <c r="K402" s="4"/>
    </row>
    <row r="403" spans="2:11" ht="12.75">
      <c r="B403" s="1"/>
      <c r="C403" s="2"/>
      <c r="J403" s="3"/>
      <c r="K403" s="4"/>
    </row>
    <row r="404" spans="2:11" ht="12.75">
      <c r="B404" s="1"/>
      <c r="C404" s="2"/>
      <c r="J404" s="3"/>
      <c r="K404" s="4"/>
    </row>
    <row r="405" spans="2:11" ht="12.75">
      <c r="B405" s="1"/>
      <c r="C405" s="2"/>
      <c r="J405" s="3"/>
      <c r="K405" s="4"/>
    </row>
    <row r="406" spans="2:11" ht="12.75">
      <c r="B406" s="1"/>
      <c r="C406" s="2"/>
      <c r="J406" s="3"/>
      <c r="K406" s="4"/>
    </row>
    <row r="407" spans="2:11" ht="12.75">
      <c r="B407" s="1"/>
      <c r="C407" s="2"/>
      <c r="J407" s="3"/>
      <c r="K407" s="4"/>
    </row>
    <row r="408" spans="2:11" ht="12.75">
      <c r="B408" s="1"/>
      <c r="C408" s="2"/>
      <c r="J408" s="3"/>
      <c r="K408" s="4"/>
    </row>
    <row r="409" spans="2:11" ht="12.75">
      <c r="B409" s="1"/>
      <c r="C409" s="2"/>
      <c r="J409" s="3"/>
      <c r="K409" s="4"/>
    </row>
    <row r="410" spans="2:11" ht="12.75">
      <c r="B410" s="1"/>
      <c r="C410" s="2"/>
      <c r="J410" s="3"/>
      <c r="K410" s="4"/>
    </row>
    <row r="411" spans="2:11" ht="12.75">
      <c r="B411" s="1"/>
      <c r="C411" s="2"/>
      <c r="J411" s="3"/>
      <c r="K411" s="4"/>
    </row>
    <row r="412" spans="2:11" ht="12.75">
      <c r="B412" s="1"/>
      <c r="C412" s="2"/>
      <c r="J412" s="3"/>
      <c r="K412" s="4"/>
    </row>
    <row r="413" spans="2:11" ht="12.75">
      <c r="B413" s="1"/>
      <c r="C413" s="2"/>
      <c r="J413" s="3"/>
      <c r="K413" s="4"/>
    </row>
    <row r="414" spans="2:11" ht="12.75">
      <c r="B414" s="1"/>
      <c r="C414" s="2"/>
      <c r="J414" s="3"/>
      <c r="K414" s="4"/>
    </row>
    <row r="415" spans="2:11" ht="12.75">
      <c r="B415" s="1"/>
      <c r="C415" s="2"/>
      <c r="J415" s="3"/>
      <c r="K415" s="4"/>
    </row>
    <row r="416" spans="2:11" ht="12.75">
      <c r="B416" s="1"/>
      <c r="C416" s="2"/>
      <c r="J416" s="3"/>
      <c r="K416" s="4"/>
    </row>
    <row r="417" spans="2:11" ht="12.75">
      <c r="B417" s="1"/>
      <c r="C417" s="2"/>
      <c r="J417" s="3"/>
      <c r="K417" s="4"/>
    </row>
    <row r="418" spans="2:11" ht="12.75">
      <c r="B418" s="1"/>
      <c r="C418" s="2"/>
      <c r="J418" s="3"/>
      <c r="K418" s="4"/>
    </row>
    <row r="419" spans="2:11" ht="12.75">
      <c r="B419" s="1"/>
      <c r="C419" s="2"/>
      <c r="J419" s="3"/>
      <c r="K419" s="4"/>
    </row>
    <row r="420" spans="2:11" ht="12.75">
      <c r="B420" s="1"/>
      <c r="C420" s="2"/>
      <c r="J420" s="3"/>
      <c r="K420" s="4"/>
    </row>
    <row r="421" spans="2:11" ht="12.75">
      <c r="B421" s="1"/>
      <c r="C421" s="2"/>
      <c r="J421" s="3"/>
      <c r="K421" s="4"/>
    </row>
    <row r="422" spans="2:11" ht="12.75">
      <c r="B422" s="1"/>
      <c r="C422" s="2"/>
      <c r="J422" s="3"/>
      <c r="K422" s="4"/>
    </row>
    <row r="423" spans="2:11" ht="12.75">
      <c r="B423" s="1"/>
      <c r="C423" s="2"/>
      <c r="J423" s="3"/>
      <c r="K423" s="4"/>
    </row>
    <row r="424" spans="2:11" ht="12.75">
      <c r="B424" s="1"/>
      <c r="C424" s="2"/>
      <c r="J424" s="3"/>
      <c r="K424" s="4"/>
    </row>
    <row r="425" spans="2:11" ht="12.75">
      <c r="B425" s="1"/>
      <c r="C425" s="2"/>
      <c r="J425" s="3"/>
      <c r="K425" s="4"/>
    </row>
    <row r="426" spans="2:11" ht="12.75">
      <c r="B426" s="1"/>
      <c r="C426" s="2"/>
      <c r="J426" s="3"/>
      <c r="K426" s="4"/>
    </row>
    <row r="427" spans="2:11" ht="12.75">
      <c r="B427" s="1"/>
      <c r="C427" s="2"/>
      <c r="J427" s="3"/>
      <c r="K427" s="4"/>
    </row>
    <row r="428" spans="2:11" ht="12.75">
      <c r="B428" s="1"/>
      <c r="C428" s="2"/>
      <c r="J428" s="3"/>
      <c r="K428" s="4"/>
    </row>
    <row r="429" spans="2:11" ht="12.75">
      <c r="B429" s="1"/>
      <c r="C429" s="2"/>
      <c r="J429" s="3"/>
      <c r="K429" s="4"/>
    </row>
    <row r="430" spans="2:11" ht="12.75">
      <c r="B430" s="1"/>
      <c r="C430" s="2"/>
      <c r="J430" s="3"/>
      <c r="K430" s="4"/>
    </row>
    <row r="431" spans="2:11" ht="12.75">
      <c r="B431" s="1"/>
      <c r="C431" s="2"/>
      <c r="J431" s="3"/>
      <c r="K431" s="4"/>
    </row>
    <row r="432" spans="2:11" ht="12.75">
      <c r="B432" s="1"/>
      <c r="C432" s="2"/>
      <c r="J432" s="3"/>
      <c r="K432" s="4"/>
    </row>
    <row r="433" spans="2:11" ht="12.75">
      <c r="B433" s="1"/>
      <c r="C433" s="2"/>
      <c r="J433" s="3"/>
      <c r="K433" s="4"/>
    </row>
    <row r="434" spans="2:11" ht="12.75">
      <c r="B434" s="1"/>
      <c r="C434" s="2"/>
      <c r="J434" s="3"/>
      <c r="K434" s="4"/>
    </row>
    <row r="435" spans="2:11" ht="12.75">
      <c r="B435" s="1"/>
      <c r="C435" s="2"/>
      <c r="J435" s="3"/>
      <c r="K435" s="4"/>
    </row>
    <row r="436" spans="2:11" ht="12.75">
      <c r="B436" s="1"/>
      <c r="C436" s="2"/>
      <c r="J436" s="3"/>
      <c r="K436" s="4"/>
    </row>
    <row r="437" spans="2:11" ht="12.75">
      <c r="B437" s="1"/>
      <c r="C437" s="2"/>
      <c r="J437" s="3"/>
      <c r="K437" s="4"/>
    </row>
    <row r="438" spans="2:11" ht="12.75">
      <c r="B438" s="1"/>
      <c r="C438" s="2"/>
      <c r="J438" s="3"/>
      <c r="K438" s="4"/>
    </row>
    <row r="439" spans="2:11" ht="12.75">
      <c r="B439" s="1"/>
      <c r="C439" s="2"/>
      <c r="J439" s="3"/>
      <c r="K439" s="4"/>
    </row>
    <row r="440" spans="2:11" ht="12.75">
      <c r="B440" s="1"/>
      <c r="C440" s="2"/>
      <c r="J440" s="3"/>
      <c r="K440" s="4"/>
    </row>
    <row r="441" spans="2:11" ht="12.75">
      <c r="B441" s="1"/>
      <c r="C441" s="2"/>
      <c r="J441" s="3"/>
      <c r="K441" s="4"/>
    </row>
    <row r="442" spans="2:11" ht="12.75">
      <c r="B442" s="1"/>
      <c r="C442" s="2"/>
      <c r="J442" s="3"/>
      <c r="K442" s="4"/>
    </row>
    <row r="443" spans="2:11" ht="12.75">
      <c r="B443" s="1"/>
      <c r="C443" s="2"/>
      <c r="J443" s="3"/>
      <c r="K443" s="4"/>
    </row>
    <row r="444" spans="2:11" ht="12.75">
      <c r="B444" s="1"/>
      <c r="C444" s="2"/>
      <c r="J444" s="3"/>
      <c r="K444" s="4"/>
    </row>
    <row r="445" spans="2:11" ht="12.75">
      <c r="B445" s="1"/>
      <c r="C445" s="2"/>
      <c r="J445" s="3"/>
      <c r="K445" s="4"/>
    </row>
    <row r="446" spans="2:11" ht="12.75">
      <c r="B446" s="1"/>
      <c r="C446" s="2"/>
      <c r="J446" s="3"/>
      <c r="K446" s="4"/>
    </row>
    <row r="447" spans="2:11" ht="12.75">
      <c r="B447" s="1"/>
      <c r="C447" s="2"/>
      <c r="J447" s="3"/>
      <c r="K447" s="4"/>
    </row>
    <row r="448" spans="2:11" ht="12.75">
      <c r="B448" s="1"/>
      <c r="C448" s="2"/>
      <c r="J448" s="3"/>
      <c r="K448" s="4"/>
    </row>
    <row r="449" spans="2:11" ht="12.75">
      <c r="B449" s="1"/>
      <c r="C449" s="2"/>
      <c r="J449" s="3"/>
      <c r="K449" s="4"/>
    </row>
    <row r="450" spans="2:11" ht="12.75">
      <c r="B450" s="1"/>
      <c r="C450" s="2"/>
      <c r="J450" s="3"/>
      <c r="K450" s="4"/>
    </row>
    <row r="451" spans="2:11" ht="12.75">
      <c r="B451" s="1"/>
      <c r="C451" s="2"/>
      <c r="J451" s="3"/>
      <c r="K451" s="4"/>
    </row>
    <row r="452" spans="2:11" ht="12.75">
      <c r="B452" s="1"/>
      <c r="C452" s="2"/>
      <c r="J452" s="3"/>
      <c r="K452" s="4"/>
    </row>
    <row r="453" spans="2:11" ht="12.75">
      <c r="B453" s="1"/>
      <c r="C453" s="2"/>
      <c r="J453" s="3"/>
      <c r="K453" s="4"/>
    </row>
    <row r="454" spans="2:11" ht="12.75">
      <c r="B454" s="1"/>
      <c r="C454" s="2"/>
      <c r="J454" s="3"/>
      <c r="K454" s="4"/>
    </row>
    <row r="455" spans="2:11" ht="12.75">
      <c r="B455" s="1"/>
      <c r="C455" s="2"/>
      <c r="J455" s="3"/>
      <c r="K455" s="4"/>
    </row>
    <row r="456" spans="2:11" ht="12.75">
      <c r="B456" s="1"/>
      <c r="C456" s="2"/>
      <c r="J456" s="3"/>
      <c r="K456" s="4"/>
    </row>
    <row r="457" spans="2:11" ht="12.75">
      <c r="B457" s="1"/>
      <c r="C457" s="2"/>
      <c r="J457" s="3"/>
      <c r="K457" s="4"/>
    </row>
    <row r="458" spans="2:11" ht="12.75">
      <c r="B458" s="1"/>
      <c r="C458" s="2"/>
      <c r="J458" s="3"/>
      <c r="K458" s="4"/>
    </row>
    <row r="459" spans="2:11" ht="12.75">
      <c r="B459" s="1"/>
      <c r="C459" s="2"/>
      <c r="J459" s="3"/>
      <c r="K459" s="4"/>
    </row>
    <row r="460" spans="2:11" ht="12.75">
      <c r="B460" s="1"/>
      <c r="C460" s="2"/>
      <c r="J460" s="3"/>
      <c r="K460" s="4"/>
    </row>
    <row r="461" spans="2:11" ht="12.75">
      <c r="B461" s="1"/>
      <c r="C461" s="2"/>
      <c r="J461" s="3"/>
      <c r="K461" s="4"/>
    </row>
    <row r="462" spans="2:11" ht="12.75">
      <c r="B462" s="1"/>
      <c r="C462" s="2"/>
      <c r="J462" s="3"/>
      <c r="K462" s="4"/>
    </row>
    <row r="463" spans="2:11" ht="12.75">
      <c r="B463" s="1"/>
      <c r="C463" s="2"/>
      <c r="J463" s="3"/>
      <c r="K463" s="4"/>
    </row>
    <row r="464" spans="2:11" ht="12.75">
      <c r="B464" s="1"/>
      <c r="C464" s="2"/>
      <c r="J464" s="3"/>
      <c r="K464" s="4"/>
    </row>
    <row r="465" spans="2:11" ht="12.75">
      <c r="B465" s="1"/>
      <c r="C465" s="2"/>
      <c r="J465" s="3"/>
      <c r="K465" s="4"/>
    </row>
    <row r="466" spans="2:11" ht="12.75">
      <c r="B466" s="1"/>
      <c r="C466" s="2"/>
      <c r="J466" s="3"/>
      <c r="K466" s="4"/>
    </row>
    <row r="467" spans="2:11" ht="12.75">
      <c r="B467" s="1"/>
      <c r="C467" s="2"/>
      <c r="J467" s="3"/>
      <c r="K467" s="4"/>
    </row>
    <row r="468" spans="2:11" ht="12.75">
      <c r="B468" s="1"/>
      <c r="C468" s="2"/>
      <c r="J468" s="3"/>
      <c r="K468" s="4"/>
    </row>
    <row r="469" spans="2:11" ht="12.75">
      <c r="B469" s="1"/>
      <c r="C469" s="2"/>
      <c r="J469" s="3"/>
      <c r="K469" s="4"/>
    </row>
    <row r="470" spans="2:11" ht="12.75">
      <c r="B470" s="1"/>
      <c r="C470" s="2"/>
      <c r="J470" s="3"/>
      <c r="K470" s="4"/>
    </row>
    <row r="471" spans="2:11" ht="12.75">
      <c r="B471" s="1"/>
      <c r="C471" s="2"/>
      <c r="J471" s="3"/>
      <c r="K471" s="4"/>
    </row>
    <row r="472" spans="2:11" ht="12.75">
      <c r="B472" s="1"/>
      <c r="C472" s="2"/>
      <c r="J472" s="3"/>
      <c r="K472" s="4"/>
    </row>
    <row r="473" spans="2:11" ht="12.75">
      <c r="B473" s="1"/>
      <c r="C473" s="2"/>
      <c r="J473" s="3"/>
      <c r="K473" s="4"/>
    </row>
    <row r="474" spans="2:11" ht="12.75">
      <c r="B474" s="1"/>
      <c r="C474" s="2"/>
      <c r="J474" s="3"/>
      <c r="K474" s="4"/>
    </row>
    <row r="475" spans="2:11" ht="12.75">
      <c r="B475" s="1"/>
      <c r="C475" s="2"/>
      <c r="J475" s="3"/>
      <c r="K475" s="4"/>
    </row>
    <row r="476" spans="2:11" ht="12.75">
      <c r="B476" s="1"/>
      <c r="C476" s="2"/>
      <c r="J476" s="3"/>
      <c r="K476" s="4"/>
    </row>
    <row r="477" spans="2:11" ht="12.75">
      <c r="B477" s="1"/>
      <c r="C477" s="2"/>
      <c r="J477" s="3"/>
      <c r="K477" s="4"/>
    </row>
    <row r="478" spans="2:11" ht="12.75">
      <c r="B478" s="1"/>
      <c r="C478" s="2"/>
      <c r="J478" s="3"/>
      <c r="K478" s="4"/>
    </row>
    <row r="479" spans="2:11" ht="12.75">
      <c r="B479" s="1"/>
      <c r="C479" s="2"/>
      <c r="J479" s="3"/>
      <c r="K479" s="4"/>
    </row>
    <row r="480" spans="2:11" ht="12.75">
      <c r="B480" s="1"/>
      <c r="C480" s="2"/>
      <c r="J480" s="3"/>
      <c r="K480" s="4"/>
    </row>
    <row r="481" spans="2:11" ht="12.75">
      <c r="B481" s="1"/>
      <c r="C481" s="2"/>
      <c r="J481" s="3"/>
      <c r="K481" s="4"/>
    </row>
    <row r="482" spans="2:11" ht="12.75">
      <c r="B482" s="1"/>
      <c r="C482" s="2"/>
      <c r="J482" s="3"/>
      <c r="K482" s="4"/>
    </row>
    <row r="483" spans="2:11" ht="12.75">
      <c r="B483" s="1"/>
      <c r="C483" s="2"/>
      <c r="J483" s="3"/>
      <c r="K483" s="4"/>
    </row>
    <row r="484" spans="2:11" ht="12.75">
      <c r="B484" s="1"/>
      <c r="C484" s="2"/>
      <c r="J484" s="3"/>
      <c r="K484" s="4"/>
    </row>
    <row r="485" spans="2:11" ht="12.75">
      <c r="B485" s="1"/>
      <c r="C485" s="2"/>
      <c r="J485" s="3"/>
      <c r="K485" s="4"/>
    </row>
    <row r="486" spans="2:11" ht="12.75">
      <c r="B486" s="1"/>
      <c r="C486" s="2"/>
      <c r="J486" s="3"/>
      <c r="K486" s="4"/>
    </row>
    <row r="487" spans="2:11" ht="12.75">
      <c r="B487" s="1"/>
      <c r="C487" s="2"/>
      <c r="J487" s="3"/>
      <c r="K487" s="4"/>
    </row>
    <row r="488" spans="2:11" ht="12.75">
      <c r="B488" s="1"/>
      <c r="C488" s="2"/>
      <c r="J488" s="3"/>
      <c r="K488" s="4"/>
    </row>
    <row r="489" spans="2:11" ht="12.75">
      <c r="B489" s="1"/>
      <c r="C489" s="2"/>
      <c r="J489" s="3"/>
      <c r="K489" s="4"/>
    </row>
    <row r="490" spans="2:11" ht="12.75">
      <c r="B490" s="1"/>
      <c r="C490" s="2"/>
      <c r="J490" s="3"/>
      <c r="K490" s="4"/>
    </row>
    <row r="491" spans="2:11" ht="12.75">
      <c r="B491" s="1"/>
      <c r="C491" s="2"/>
      <c r="J491" s="3"/>
      <c r="K491" s="4"/>
    </row>
    <row r="492" spans="2:11" ht="12.75">
      <c r="B492" s="1"/>
      <c r="C492" s="2"/>
      <c r="J492" s="3"/>
      <c r="K492" s="4"/>
    </row>
    <row r="493" spans="2:11" ht="12.75">
      <c r="B493" s="1"/>
      <c r="C493" s="2"/>
      <c r="J493" s="3"/>
      <c r="K493" s="4"/>
    </row>
    <row r="494" spans="2:11" ht="12.75">
      <c r="B494" s="1"/>
      <c r="C494" s="2"/>
      <c r="J494" s="3"/>
      <c r="K494" s="4"/>
    </row>
    <row r="495" spans="2:11" ht="12.75">
      <c r="B495" s="1"/>
      <c r="C495" s="2"/>
      <c r="J495" s="3"/>
      <c r="K495" s="4"/>
    </row>
    <row r="496" spans="2:11" ht="12.75">
      <c r="B496" s="1"/>
      <c r="C496" s="2"/>
      <c r="J496" s="3"/>
      <c r="K496" s="4"/>
    </row>
    <row r="497" spans="2:11" ht="12.75">
      <c r="B497" s="1"/>
      <c r="C497" s="2"/>
      <c r="J497" s="3"/>
      <c r="K497" s="4"/>
    </row>
    <row r="498" spans="2:11" ht="12.75">
      <c r="B498" s="1"/>
      <c r="C498" s="2"/>
      <c r="J498" s="3"/>
      <c r="K498" s="4"/>
    </row>
    <row r="499" spans="2:11" ht="12.75">
      <c r="B499" s="1"/>
      <c r="C499" s="2"/>
      <c r="J499" s="3"/>
      <c r="K499" s="4"/>
    </row>
    <row r="500" spans="2:11" ht="12.75">
      <c r="B500" s="1"/>
      <c r="C500" s="2"/>
      <c r="J500" s="3"/>
      <c r="K500" s="4"/>
    </row>
    <row r="501" spans="2:11" ht="12.75">
      <c r="B501" s="1"/>
      <c r="C501" s="2"/>
      <c r="J501" s="3"/>
      <c r="K501" s="4"/>
    </row>
    <row r="502" spans="2:11" ht="12.75">
      <c r="B502" s="1"/>
      <c r="C502" s="2"/>
      <c r="J502" s="3"/>
      <c r="K502" s="4"/>
    </row>
    <row r="503" spans="2:11" ht="12.75">
      <c r="B503" s="1"/>
      <c r="C503" s="2"/>
      <c r="J503" s="3"/>
      <c r="K503" s="4"/>
    </row>
    <row r="504" spans="2:11" ht="12.75">
      <c r="B504" s="1"/>
      <c r="C504" s="2"/>
      <c r="J504" s="3"/>
      <c r="K504" s="4"/>
    </row>
    <row r="505" spans="2:11" ht="12.75">
      <c r="B505" s="1"/>
      <c r="C505" s="2"/>
      <c r="J505" s="3"/>
      <c r="K505" s="4"/>
    </row>
    <row r="506" spans="2:11" ht="12.75">
      <c r="B506" s="1"/>
      <c r="C506" s="2"/>
      <c r="J506" s="3"/>
      <c r="K506" s="4"/>
    </row>
    <row r="507" spans="2:11" ht="12.75">
      <c r="B507" s="1"/>
      <c r="C507" s="2"/>
      <c r="J507" s="3"/>
      <c r="K507" s="4"/>
    </row>
    <row r="508" spans="2:11" ht="12.75">
      <c r="B508" s="1"/>
      <c r="C508" s="2"/>
      <c r="J508" s="3"/>
      <c r="K508" s="4"/>
    </row>
    <row r="509" spans="2:11" ht="12.75">
      <c r="B509" s="1"/>
      <c r="C509" s="2"/>
      <c r="J509" s="3"/>
      <c r="K509" s="4"/>
    </row>
    <row r="510" spans="2:11" ht="12.75">
      <c r="B510" s="1"/>
      <c r="C510" s="2"/>
      <c r="J510" s="3"/>
      <c r="K510" s="4"/>
    </row>
    <row r="511" spans="2:11" ht="12.75">
      <c r="B511" s="1"/>
      <c r="C511" s="2"/>
      <c r="J511" s="3"/>
      <c r="K511" s="4"/>
    </row>
    <row r="512" spans="2:11" ht="12.75">
      <c r="B512" s="1"/>
      <c r="C512" s="2"/>
      <c r="J512" s="3"/>
      <c r="K512" s="4"/>
    </row>
    <row r="513" spans="2:11" ht="12.75">
      <c r="B513" s="1"/>
      <c r="C513" s="2"/>
      <c r="J513" s="3"/>
      <c r="K513" s="4"/>
    </row>
    <row r="514" spans="2:11" ht="12.75">
      <c r="B514" s="1"/>
      <c r="C514" s="2"/>
      <c r="J514" s="3"/>
      <c r="K514" s="4"/>
    </row>
    <row r="515" spans="2:11" ht="12.75">
      <c r="B515" s="1"/>
      <c r="C515" s="2"/>
      <c r="J515" s="3"/>
      <c r="K515" s="4"/>
    </row>
    <row r="516" spans="2:11" ht="12.75">
      <c r="B516" s="1"/>
      <c r="C516" s="2"/>
      <c r="J516" s="3"/>
      <c r="K516" s="4"/>
    </row>
    <row r="517" spans="2:11" ht="12.75">
      <c r="B517" s="1"/>
      <c r="C517" s="2"/>
      <c r="J517" s="3"/>
      <c r="K517" s="4"/>
    </row>
    <row r="518" spans="2:11" ht="12.75">
      <c r="B518" s="1"/>
      <c r="C518" s="2"/>
      <c r="J518" s="3"/>
      <c r="K518" s="4"/>
    </row>
    <row r="519" spans="2:11" ht="12.75">
      <c r="B519" s="1"/>
      <c r="C519" s="2"/>
      <c r="J519" s="3"/>
      <c r="K519" s="4"/>
    </row>
    <row r="520" spans="2:11" ht="12.75">
      <c r="B520" s="1"/>
      <c r="C520" s="2"/>
      <c r="J520" s="3"/>
      <c r="K520" s="4"/>
    </row>
    <row r="521" spans="2:11" ht="12.75">
      <c r="B521" s="1"/>
      <c r="C521" s="2"/>
      <c r="J521" s="3"/>
      <c r="K521" s="4"/>
    </row>
    <row r="522" spans="2:11" ht="12.75">
      <c r="B522" s="1"/>
      <c r="C522" s="2"/>
      <c r="J522" s="3"/>
      <c r="K522" s="4"/>
    </row>
    <row r="523" spans="2:11" ht="12.75">
      <c r="B523" s="1"/>
      <c r="C523" s="2"/>
      <c r="J523" s="3"/>
      <c r="K523" s="4"/>
    </row>
    <row r="524" spans="2:11" ht="12.75">
      <c r="B524" s="1"/>
      <c r="C524" s="2"/>
      <c r="J524" s="3"/>
      <c r="K524" s="4"/>
    </row>
    <row r="525" spans="2:11" ht="12.75">
      <c r="B525" s="1"/>
      <c r="C525" s="2"/>
      <c r="J525" s="3"/>
      <c r="K525" s="4"/>
    </row>
    <row r="526" spans="2:11" ht="12.75">
      <c r="B526" s="1"/>
      <c r="C526" s="2"/>
      <c r="J526" s="3"/>
      <c r="K526" s="4"/>
    </row>
    <row r="527" spans="2:11" ht="12.75">
      <c r="B527" s="1"/>
      <c r="C527" s="2"/>
      <c r="J527" s="3"/>
      <c r="K527" s="4"/>
    </row>
    <row r="528" spans="2:11" ht="12.75">
      <c r="B528" s="1"/>
      <c r="C528" s="2"/>
      <c r="J528" s="3"/>
      <c r="K528" s="4"/>
    </row>
    <row r="529" spans="2:11" ht="12.75">
      <c r="B529" s="1"/>
      <c r="C529" s="2"/>
      <c r="J529" s="3"/>
      <c r="K529" s="4"/>
    </row>
    <row r="530" spans="2:11" ht="12.75">
      <c r="B530" s="1"/>
      <c r="C530" s="2"/>
      <c r="J530" s="3"/>
      <c r="K530" s="4"/>
    </row>
    <row r="531" spans="2:11" ht="12.75">
      <c r="B531" s="1"/>
      <c r="C531" s="2"/>
      <c r="J531" s="3"/>
      <c r="K531" s="4"/>
    </row>
    <row r="532" spans="2:11" ht="12.75">
      <c r="B532" s="1"/>
      <c r="C532" s="2"/>
      <c r="J532" s="3"/>
      <c r="K532" s="4"/>
    </row>
    <row r="533" spans="2:11" ht="12.75">
      <c r="B533" s="1"/>
      <c r="C533" s="2"/>
      <c r="J533" s="3"/>
      <c r="K533" s="4"/>
    </row>
    <row r="534" spans="2:11" ht="12.75">
      <c r="B534" s="1"/>
      <c r="C534" s="2"/>
      <c r="J534" s="3"/>
      <c r="K534" s="4"/>
    </row>
    <row r="535" spans="2:11" ht="12.75">
      <c r="B535" s="1"/>
      <c r="C535" s="2"/>
      <c r="J535" s="3"/>
      <c r="K535" s="4"/>
    </row>
    <row r="536" spans="2:11" ht="12.75">
      <c r="B536" s="1"/>
      <c r="C536" s="2"/>
      <c r="J536" s="3"/>
      <c r="K536" s="4"/>
    </row>
    <row r="537" spans="2:11" ht="12.75">
      <c r="B537" s="1"/>
      <c r="C537" s="2"/>
      <c r="J537" s="3"/>
      <c r="K537" s="4"/>
    </row>
    <row r="538" spans="2:11" ht="12.75">
      <c r="B538" s="1"/>
      <c r="C538" s="2"/>
      <c r="J538" s="3"/>
      <c r="K538" s="4"/>
    </row>
    <row r="539" spans="2:11" ht="12.75">
      <c r="B539" s="1"/>
      <c r="C539" s="2"/>
      <c r="J539" s="3"/>
      <c r="K539" s="4"/>
    </row>
    <row r="540" spans="2:11" ht="12.75">
      <c r="B540" s="1"/>
      <c r="C540" s="2"/>
      <c r="J540" s="3"/>
      <c r="K540" s="4"/>
    </row>
    <row r="541" spans="2:11" ht="12.75">
      <c r="B541" s="1"/>
      <c r="C541" s="2"/>
      <c r="J541" s="3"/>
      <c r="K541" s="4"/>
    </row>
    <row r="542" spans="2:11" ht="12.75">
      <c r="B542" s="1"/>
      <c r="C542" s="2"/>
      <c r="J542" s="3"/>
      <c r="K542" s="4"/>
    </row>
    <row r="543" spans="2:11" ht="12.75">
      <c r="B543" s="1"/>
      <c r="C543" s="2"/>
      <c r="J543" s="3"/>
      <c r="K543" s="4"/>
    </row>
    <row r="544" spans="2:11" ht="12.75">
      <c r="B544" s="1"/>
      <c r="C544" s="2"/>
      <c r="J544" s="3"/>
      <c r="K544" s="4"/>
    </row>
    <row r="545" spans="2:11" ht="12.75">
      <c r="B545" s="1"/>
      <c r="C545" s="2"/>
      <c r="J545" s="3"/>
      <c r="K545" s="4"/>
    </row>
    <row r="546" spans="2:11" ht="12.75">
      <c r="B546" s="1"/>
      <c r="C546" s="2"/>
      <c r="J546" s="3"/>
      <c r="K546" s="4"/>
    </row>
    <row r="547" spans="2:11" ht="12.75">
      <c r="B547" s="1"/>
      <c r="C547" s="2"/>
      <c r="J547" s="3"/>
      <c r="K547" s="4"/>
    </row>
    <row r="548" spans="2:11" ht="12.75">
      <c r="B548" s="1"/>
      <c r="C548" s="2"/>
      <c r="J548" s="3"/>
      <c r="K548" s="4"/>
    </row>
    <row r="549" spans="2:11" ht="12.75">
      <c r="B549" s="1"/>
      <c r="C549" s="2"/>
      <c r="J549" s="3"/>
      <c r="K549" s="4"/>
    </row>
    <row r="550" spans="2:11" ht="12.75">
      <c r="B550" s="1"/>
      <c r="C550" s="2"/>
      <c r="J550" s="3"/>
      <c r="K550" s="4"/>
    </row>
    <row r="551" spans="2:11" ht="12.75">
      <c r="B551" s="1"/>
      <c r="C551" s="2"/>
      <c r="J551" s="3"/>
      <c r="K551" s="4"/>
    </row>
    <row r="552" spans="2:11" ht="12.75">
      <c r="B552" s="1"/>
      <c r="C552" s="2"/>
      <c r="J552" s="3"/>
      <c r="K552" s="4"/>
    </row>
    <row r="553" spans="2:11" ht="12.75">
      <c r="B553" s="1"/>
      <c r="C553" s="2"/>
      <c r="J553" s="3"/>
      <c r="K553" s="4"/>
    </row>
    <row r="554" spans="2:11" ht="12.75">
      <c r="B554" s="1"/>
      <c r="C554" s="2"/>
      <c r="J554" s="3"/>
      <c r="K554" s="4"/>
    </row>
    <row r="555" spans="2:11" ht="12.75">
      <c r="B555" s="1"/>
      <c r="C555" s="2"/>
      <c r="J555" s="3"/>
      <c r="K555" s="4"/>
    </row>
    <row r="556" spans="2:11" ht="12.75">
      <c r="B556" s="1"/>
      <c r="C556" s="2"/>
      <c r="J556" s="3"/>
      <c r="K556" s="4"/>
    </row>
    <row r="557" spans="2:11" ht="12.75">
      <c r="B557" s="1"/>
      <c r="C557" s="2"/>
      <c r="J557" s="3"/>
      <c r="K557" s="4"/>
    </row>
    <row r="558" spans="2:11" ht="12.75">
      <c r="B558" s="1"/>
      <c r="C558" s="2"/>
      <c r="J558" s="3"/>
      <c r="K558" s="4"/>
    </row>
    <row r="559" spans="2:11" ht="12.75">
      <c r="B559" s="1"/>
      <c r="C559" s="2"/>
      <c r="J559" s="3"/>
      <c r="K559" s="4"/>
    </row>
    <row r="560" spans="2:11" ht="12.75">
      <c r="B560" s="1"/>
      <c r="C560" s="2"/>
      <c r="J560" s="3"/>
      <c r="K560" s="4"/>
    </row>
    <row r="561" spans="2:11" ht="12.75">
      <c r="B561" s="1"/>
      <c r="C561" s="2"/>
      <c r="J561" s="3"/>
      <c r="K561" s="4"/>
    </row>
    <row r="562" spans="2:11" ht="12.75">
      <c r="B562" s="1"/>
      <c r="C562" s="2"/>
      <c r="J562" s="3"/>
      <c r="K562" s="4"/>
    </row>
    <row r="563" spans="2:11" ht="12.75">
      <c r="B563" s="1"/>
      <c r="C563" s="2"/>
      <c r="J563" s="3"/>
      <c r="K563" s="4"/>
    </row>
    <row r="564" spans="2:11" ht="12.75">
      <c r="B564" s="1"/>
      <c r="C564" s="2"/>
      <c r="J564" s="3"/>
      <c r="K564" s="4"/>
    </row>
    <row r="565" spans="2:11" ht="12.75">
      <c r="B565" s="1"/>
      <c r="C565" s="2"/>
      <c r="J565" s="3"/>
      <c r="K565" s="4"/>
    </row>
    <row r="566" spans="2:11" ht="12.75">
      <c r="B566" s="1"/>
      <c r="C566" s="2"/>
      <c r="J566" s="3"/>
      <c r="K566" s="4"/>
    </row>
    <row r="567" spans="2:11" ht="12.75">
      <c r="B567" s="1"/>
      <c r="C567" s="2"/>
      <c r="J567" s="3"/>
      <c r="K567" s="4"/>
    </row>
    <row r="568" spans="2:11" ht="12.75">
      <c r="B568" s="1"/>
      <c r="C568" s="2"/>
      <c r="J568" s="3"/>
      <c r="K568" s="4"/>
    </row>
    <row r="569" spans="2:11" ht="12.75">
      <c r="B569" s="1"/>
      <c r="C569" s="2"/>
      <c r="J569" s="3"/>
      <c r="K569" s="4"/>
    </row>
    <row r="570" spans="2:11" ht="12.75">
      <c r="B570" s="1"/>
      <c r="C570" s="2"/>
      <c r="J570" s="3"/>
      <c r="K570" s="4"/>
    </row>
    <row r="571" spans="2:11" ht="12.75">
      <c r="B571" s="1"/>
      <c r="C571" s="2"/>
      <c r="J571" s="3"/>
      <c r="K571" s="4"/>
    </row>
    <row r="572" spans="2:11" ht="12.75">
      <c r="B572" s="1"/>
      <c r="C572" s="2"/>
      <c r="J572" s="3"/>
      <c r="K572" s="4"/>
    </row>
    <row r="573" spans="2:11" ht="12.75">
      <c r="B573" s="1"/>
      <c r="C573" s="2"/>
      <c r="J573" s="3"/>
      <c r="K573" s="4"/>
    </row>
    <row r="574" spans="2:11" ht="12.75">
      <c r="B574" s="1"/>
      <c r="C574" s="2"/>
      <c r="J574" s="3"/>
      <c r="K574" s="4"/>
    </row>
    <row r="575" spans="2:11" ht="12.75">
      <c r="B575" s="1"/>
      <c r="C575" s="2"/>
      <c r="J575" s="3"/>
      <c r="K575" s="4"/>
    </row>
    <row r="576" spans="2:11" ht="12.75">
      <c r="B576" s="1"/>
      <c r="C576" s="2"/>
      <c r="J576" s="3"/>
      <c r="K576" s="4"/>
    </row>
    <row r="577" spans="2:11" ht="12.75">
      <c r="B577" s="1"/>
      <c r="C577" s="2"/>
      <c r="J577" s="3"/>
      <c r="K577" s="4"/>
    </row>
    <row r="578" spans="2:11" ht="12.75">
      <c r="B578" s="1"/>
      <c r="C578" s="2"/>
      <c r="J578" s="3"/>
      <c r="K578" s="4"/>
    </row>
    <row r="579" spans="2:11" ht="12.75">
      <c r="B579" s="1"/>
      <c r="C579" s="2"/>
      <c r="J579" s="3"/>
      <c r="K579" s="4"/>
    </row>
    <row r="580" spans="2:11" ht="12.75">
      <c r="B580" s="1"/>
      <c r="C580" s="2"/>
      <c r="J580" s="3"/>
      <c r="K580" s="4"/>
    </row>
    <row r="581" spans="2:11" ht="12.75">
      <c r="B581" s="1"/>
      <c r="C581" s="2"/>
      <c r="J581" s="3"/>
      <c r="K581" s="4"/>
    </row>
    <row r="582" spans="2:11" ht="12.75">
      <c r="B582" s="1"/>
      <c r="C582" s="2"/>
      <c r="J582" s="3"/>
      <c r="K582" s="4"/>
    </row>
    <row r="583" spans="2:11" ht="12.75">
      <c r="B583" s="1"/>
      <c r="C583" s="2"/>
      <c r="J583" s="3"/>
      <c r="K583" s="4"/>
    </row>
    <row r="584" spans="2:11" ht="12.75">
      <c r="B584" s="1"/>
      <c r="C584" s="2"/>
      <c r="J584" s="3"/>
      <c r="K584" s="4"/>
    </row>
    <row r="585" spans="2:11" ht="12.75">
      <c r="B585" s="1"/>
      <c r="C585" s="2"/>
      <c r="J585" s="3"/>
      <c r="K585" s="4"/>
    </row>
    <row r="586" spans="2:11" ht="12.75">
      <c r="B586" s="1"/>
      <c r="C586" s="2"/>
      <c r="J586" s="3"/>
      <c r="K586" s="4"/>
    </row>
    <row r="587" spans="2:11" ht="12.75">
      <c r="B587" s="1"/>
      <c r="C587" s="2"/>
      <c r="J587" s="3"/>
      <c r="K587" s="4"/>
    </row>
    <row r="588" spans="2:11" ht="12.75">
      <c r="B588" s="1"/>
      <c r="C588" s="2"/>
      <c r="J588" s="3"/>
      <c r="K588" s="4"/>
    </row>
    <row r="589" spans="2:11" ht="12.75">
      <c r="B589" s="1"/>
      <c r="C589" s="2"/>
      <c r="J589" s="3"/>
      <c r="K589" s="4"/>
    </row>
    <row r="590" spans="2:11" ht="12.75">
      <c r="B590" s="1"/>
      <c r="C590" s="2"/>
      <c r="J590" s="3"/>
      <c r="K590" s="4"/>
    </row>
    <row r="591" spans="2:11" ht="12.75">
      <c r="B591" s="1"/>
      <c r="C591" s="2"/>
      <c r="J591" s="3"/>
      <c r="K591" s="4"/>
    </row>
    <row r="592" spans="2:11" ht="12.75">
      <c r="B592" s="1"/>
      <c r="C592" s="2"/>
      <c r="J592" s="3"/>
      <c r="K592" s="4"/>
    </row>
    <row r="593" spans="2:11" ht="12.75">
      <c r="B593" s="1"/>
      <c r="C593" s="2"/>
      <c r="J593" s="3"/>
      <c r="K593" s="4"/>
    </row>
    <row r="594" spans="2:11" ht="12.75">
      <c r="B594" s="1"/>
      <c r="C594" s="2"/>
      <c r="J594" s="3"/>
      <c r="K594" s="4"/>
    </row>
    <row r="595" spans="2:11" ht="12.75">
      <c r="B595" s="1"/>
      <c r="C595" s="2"/>
      <c r="J595" s="3"/>
      <c r="K595" s="4"/>
    </row>
    <row r="596" spans="2:11" ht="12.75">
      <c r="B596" s="1"/>
      <c r="C596" s="2"/>
      <c r="J596" s="3"/>
      <c r="K596" s="4"/>
    </row>
    <row r="597" spans="2:11" ht="12.75">
      <c r="B597" s="1"/>
      <c r="C597" s="2"/>
      <c r="J597" s="3"/>
      <c r="K597" s="4"/>
    </row>
    <row r="598" spans="2:11" ht="12.75">
      <c r="B598" s="1"/>
      <c r="C598" s="2"/>
      <c r="J598" s="3"/>
      <c r="K598" s="4"/>
    </row>
    <row r="599" spans="2:11" ht="12.75">
      <c r="B599" s="1"/>
      <c r="C599" s="2"/>
      <c r="J599" s="3"/>
      <c r="K599" s="4"/>
    </row>
    <row r="600" spans="2:11" ht="12.75">
      <c r="B600" s="1"/>
      <c r="C600" s="2"/>
      <c r="J600" s="3"/>
      <c r="K600" s="4"/>
    </row>
    <row r="601" spans="2:11" ht="12.75">
      <c r="B601" s="1"/>
      <c r="C601" s="2"/>
      <c r="J601" s="3"/>
      <c r="K601" s="4"/>
    </row>
    <row r="602" spans="2:11" ht="12.75">
      <c r="B602" s="1"/>
      <c r="C602" s="2"/>
      <c r="J602" s="3"/>
      <c r="K602" s="4"/>
    </row>
    <row r="603" spans="2:11" ht="12.75">
      <c r="B603" s="1"/>
      <c r="C603" s="2"/>
      <c r="J603" s="3"/>
      <c r="K603" s="4"/>
    </row>
    <row r="604" spans="2:11" ht="12.75">
      <c r="B604" s="1"/>
      <c r="C604" s="2"/>
      <c r="J604" s="3"/>
      <c r="K604" s="4"/>
    </row>
    <row r="605" spans="2:11" ht="12.75">
      <c r="B605" s="1"/>
      <c r="C605" s="2"/>
      <c r="J605" s="3"/>
      <c r="K605" s="4"/>
    </row>
    <row r="606" spans="2:11" ht="12.75">
      <c r="B606" s="1"/>
      <c r="C606" s="2"/>
      <c r="J606" s="3"/>
      <c r="K606" s="4"/>
    </row>
    <row r="607" spans="2:11" ht="12.75">
      <c r="B607" s="1"/>
      <c r="C607" s="2"/>
      <c r="J607" s="3"/>
      <c r="K607" s="4"/>
    </row>
    <row r="608" spans="2:11" ht="12.75">
      <c r="B608" s="1"/>
      <c r="C608" s="2"/>
      <c r="J608" s="3"/>
      <c r="K608" s="4"/>
    </row>
    <row r="609" spans="2:11" ht="12.75">
      <c r="B609" s="1"/>
      <c r="C609" s="2"/>
      <c r="J609" s="3"/>
      <c r="K609" s="4"/>
    </row>
    <row r="610" spans="2:11" ht="12.75">
      <c r="B610" s="1"/>
      <c r="C610" s="2"/>
      <c r="J610" s="3"/>
      <c r="K610" s="4"/>
    </row>
    <row r="611" spans="2:11" ht="12.75">
      <c r="B611" s="1"/>
      <c r="C611" s="2"/>
      <c r="J611" s="3"/>
      <c r="K611" s="4"/>
    </row>
    <row r="612" spans="2:11" ht="12.75">
      <c r="B612" s="1"/>
      <c r="C612" s="2"/>
      <c r="J612" s="3"/>
      <c r="K612" s="4"/>
    </row>
    <row r="613" spans="2:11" ht="12.75">
      <c r="B613" s="1"/>
      <c r="C613" s="2"/>
      <c r="J613" s="3"/>
      <c r="K613" s="4"/>
    </row>
    <row r="614" spans="2:11" ht="12.75">
      <c r="B614" s="1"/>
      <c r="C614" s="2"/>
      <c r="J614" s="3"/>
      <c r="K614" s="4"/>
    </row>
    <row r="615" spans="2:11" ht="12.75">
      <c r="B615" s="1"/>
      <c r="C615" s="2"/>
      <c r="J615" s="3"/>
      <c r="K615" s="4"/>
    </row>
    <row r="616" spans="2:11" ht="12.75">
      <c r="B616" s="1"/>
      <c r="C616" s="2"/>
      <c r="J616" s="3"/>
      <c r="K616" s="4"/>
    </row>
    <row r="617" spans="2:11" ht="12.75">
      <c r="B617" s="1"/>
      <c r="C617" s="2"/>
      <c r="J617" s="3"/>
      <c r="K617" s="4"/>
    </row>
    <row r="618" spans="2:11" ht="12.75">
      <c r="B618" s="1"/>
      <c r="C618" s="2"/>
      <c r="J618" s="3"/>
      <c r="K618" s="4"/>
    </row>
    <row r="619" spans="2:11" ht="12.75">
      <c r="B619" s="1"/>
      <c r="C619" s="2"/>
      <c r="J619" s="3"/>
      <c r="K619" s="4"/>
    </row>
    <row r="620" spans="2:11" ht="12.75">
      <c r="B620" s="1"/>
      <c r="C620" s="2"/>
      <c r="J620" s="3"/>
      <c r="K620" s="4"/>
    </row>
    <row r="621" spans="2:11" ht="12.75">
      <c r="B621" s="1"/>
      <c r="C621" s="2"/>
      <c r="J621" s="3"/>
      <c r="K621" s="4"/>
    </row>
    <row r="622" spans="2:11" ht="12.75">
      <c r="B622" s="1"/>
      <c r="C622" s="2"/>
      <c r="J622" s="3"/>
      <c r="K622" s="4"/>
    </row>
    <row r="623" spans="2:11" ht="12.75">
      <c r="B623" s="1"/>
      <c r="C623" s="2"/>
      <c r="J623" s="3"/>
      <c r="K623" s="4"/>
    </row>
    <row r="624" spans="2:11" ht="12.75">
      <c r="B624" s="1"/>
      <c r="C624" s="2"/>
      <c r="J624" s="3"/>
      <c r="K624" s="4"/>
    </row>
    <row r="625" spans="2:11" ht="12.75">
      <c r="B625" s="1"/>
      <c r="C625" s="2"/>
      <c r="J625" s="3"/>
      <c r="K625" s="4"/>
    </row>
    <row r="626" spans="2:11" ht="12.75">
      <c r="B626" s="1"/>
      <c r="C626" s="2"/>
      <c r="J626" s="3"/>
      <c r="K626" s="4"/>
    </row>
    <row r="627" spans="2:11" ht="12.75">
      <c r="B627" s="1"/>
      <c r="C627" s="2"/>
      <c r="J627" s="3"/>
      <c r="K627" s="4"/>
    </row>
    <row r="628" spans="2:11" ht="12.75">
      <c r="B628" s="1"/>
      <c r="C628" s="2"/>
      <c r="J628" s="3"/>
      <c r="K628" s="4"/>
    </row>
    <row r="629" spans="2:11" ht="12.75">
      <c r="B629" s="1"/>
      <c r="C629" s="2"/>
      <c r="J629" s="3"/>
      <c r="K629" s="4"/>
    </row>
    <row r="630" spans="2:11" ht="12.75">
      <c r="B630" s="1"/>
      <c r="C630" s="2"/>
      <c r="J630" s="3"/>
      <c r="K630" s="4"/>
    </row>
    <row r="631" spans="2:11" ht="12.75">
      <c r="B631" s="1"/>
      <c r="C631" s="2"/>
      <c r="J631" s="3"/>
      <c r="K631" s="4"/>
    </row>
    <row r="632" spans="2:11" ht="12.75">
      <c r="B632" s="1"/>
      <c r="C632" s="2"/>
      <c r="J632" s="3"/>
      <c r="K632" s="4"/>
    </row>
    <row r="633" spans="2:11" ht="12.75">
      <c r="B633" s="1"/>
      <c r="C633" s="2"/>
      <c r="J633" s="3"/>
      <c r="K633" s="4"/>
    </row>
    <row r="634" spans="2:11" ht="12.75">
      <c r="B634" s="1"/>
      <c r="C634" s="2"/>
      <c r="J634" s="3"/>
      <c r="K634" s="4"/>
    </row>
    <row r="635" spans="2:11" ht="12.75">
      <c r="B635" s="1"/>
      <c r="C635" s="2"/>
      <c r="J635" s="3"/>
      <c r="K635" s="4"/>
    </row>
    <row r="636" spans="2:11" ht="12.75">
      <c r="B636" s="1"/>
      <c r="C636" s="2"/>
      <c r="J636" s="3"/>
      <c r="K636" s="4"/>
    </row>
    <row r="637" spans="2:11" ht="12.75">
      <c r="B637" s="1"/>
      <c r="C637" s="2"/>
      <c r="J637" s="3"/>
      <c r="K637" s="4"/>
    </row>
    <row r="638" spans="2:11" ht="12.75">
      <c r="B638" s="1"/>
      <c r="C638" s="2"/>
      <c r="J638" s="3"/>
      <c r="K638" s="4"/>
    </row>
    <row r="639" spans="2:11" ht="12.75">
      <c r="B639" s="1"/>
      <c r="C639" s="2"/>
      <c r="J639" s="3"/>
      <c r="K639" s="4"/>
    </row>
    <row r="640" spans="2:11" ht="12.75">
      <c r="B640" s="1"/>
      <c r="C640" s="2"/>
      <c r="J640" s="3"/>
      <c r="K640" s="4"/>
    </row>
    <row r="641" spans="2:11" ht="12.75">
      <c r="B641" s="1"/>
      <c r="C641" s="2"/>
      <c r="J641" s="3"/>
      <c r="K641" s="4"/>
    </row>
    <row r="642" spans="2:11" ht="12.75">
      <c r="B642" s="1"/>
      <c r="C642" s="2"/>
      <c r="J642" s="3"/>
      <c r="K642" s="4"/>
    </row>
    <row r="643" spans="2:11" ht="12.75">
      <c r="B643" s="1"/>
      <c r="C643" s="2"/>
      <c r="J643" s="3"/>
      <c r="K643" s="4"/>
    </row>
    <row r="644" spans="2:11" ht="12.75">
      <c r="B644" s="1"/>
      <c r="C644" s="2"/>
      <c r="J644" s="3"/>
      <c r="K644" s="4"/>
    </row>
    <row r="645" spans="2:11" ht="12.75">
      <c r="B645" s="1"/>
      <c r="C645" s="2"/>
      <c r="J645" s="3"/>
      <c r="K645" s="4"/>
    </row>
    <row r="646" spans="2:11" ht="12.75">
      <c r="B646" s="1"/>
      <c r="C646" s="2"/>
      <c r="J646" s="3"/>
      <c r="K646" s="4"/>
    </row>
    <row r="647" spans="2:11" ht="12.75">
      <c r="B647" s="1"/>
      <c r="C647" s="2"/>
      <c r="J647" s="3"/>
      <c r="K647" s="4"/>
    </row>
    <row r="648" spans="2:11" ht="12.75">
      <c r="B648" s="1"/>
      <c r="C648" s="2"/>
      <c r="J648" s="3"/>
      <c r="K648" s="4"/>
    </row>
    <row r="649" spans="2:11" ht="12.75">
      <c r="B649" s="1"/>
      <c r="C649" s="2"/>
      <c r="J649" s="3"/>
      <c r="K649" s="4"/>
    </row>
    <row r="650" spans="2:11" ht="12.75">
      <c r="B650" s="1"/>
      <c r="C650" s="2"/>
      <c r="J650" s="3"/>
      <c r="K650" s="4"/>
    </row>
    <row r="651" spans="2:11" ht="12.75">
      <c r="B651" s="1"/>
      <c r="C651" s="2"/>
      <c r="J651" s="3"/>
      <c r="K651" s="4"/>
    </row>
    <row r="652" spans="2:11" ht="12.75">
      <c r="B652" s="1"/>
      <c r="C652" s="2"/>
      <c r="J652" s="3"/>
      <c r="K652" s="4"/>
    </row>
    <row r="653" spans="2:11" ht="12.75">
      <c r="B653" s="1"/>
      <c r="C653" s="2"/>
      <c r="J653" s="3"/>
      <c r="K653" s="4"/>
    </row>
    <row r="654" spans="2:11" ht="12.75">
      <c r="B654" s="1"/>
      <c r="C654" s="2"/>
      <c r="J654" s="3"/>
      <c r="K654" s="4"/>
    </row>
    <row r="655" spans="2:11" ht="12.75">
      <c r="B655" s="1"/>
      <c r="C655" s="2"/>
      <c r="J655" s="3"/>
      <c r="K655" s="4"/>
    </row>
    <row r="656" spans="2:11" ht="12.75">
      <c r="B656" s="1"/>
      <c r="C656" s="2"/>
      <c r="J656" s="3"/>
      <c r="K656" s="4"/>
    </row>
    <row r="657" spans="2:11" ht="12.75">
      <c r="B657" s="1"/>
      <c r="C657" s="2"/>
      <c r="J657" s="3"/>
      <c r="K657" s="4"/>
    </row>
    <row r="658" spans="2:11" ht="12.75">
      <c r="B658" s="1"/>
      <c r="C658" s="2"/>
      <c r="J658" s="3"/>
      <c r="K658" s="4"/>
    </row>
    <row r="659" spans="2:11" ht="12.75">
      <c r="B659" s="1"/>
      <c r="C659" s="2"/>
      <c r="J659" s="3"/>
      <c r="K659" s="4"/>
    </row>
    <row r="660" spans="2:11" ht="12.75">
      <c r="B660" s="1"/>
      <c r="C660" s="2"/>
      <c r="J660" s="3"/>
      <c r="K660" s="4"/>
    </row>
    <row r="661" spans="2:11" ht="12.75">
      <c r="B661" s="1"/>
      <c r="C661" s="2"/>
      <c r="J661" s="3"/>
      <c r="K661" s="4"/>
    </row>
    <row r="662" spans="2:11" ht="12.75">
      <c r="B662" s="1"/>
      <c r="C662" s="2"/>
      <c r="J662" s="3"/>
      <c r="K662" s="4"/>
    </row>
    <row r="663" spans="2:11" ht="12.75">
      <c r="B663" s="1"/>
      <c r="C663" s="2"/>
      <c r="J663" s="3"/>
      <c r="K663" s="4"/>
    </row>
    <row r="664" spans="2:11" ht="12.75">
      <c r="B664" s="1"/>
      <c r="C664" s="2"/>
      <c r="J664" s="3"/>
      <c r="K664" s="4"/>
    </row>
    <row r="665" spans="2:11" ht="12.75">
      <c r="B665" s="1"/>
      <c r="C665" s="2"/>
      <c r="J665" s="3"/>
      <c r="K665" s="4"/>
    </row>
    <row r="666" spans="2:11" ht="12.75">
      <c r="B666" s="1"/>
      <c r="C666" s="2"/>
      <c r="J666" s="3"/>
      <c r="K666" s="4"/>
    </row>
    <row r="667" spans="2:11" ht="12.75">
      <c r="B667" s="1"/>
      <c r="C667" s="2"/>
      <c r="J667" s="3"/>
      <c r="K667" s="4"/>
    </row>
    <row r="668" spans="2:11" ht="12.75">
      <c r="B668" s="1"/>
      <c r="C668" s="2"/>
      <c r="J668" s="3"/>
      <c r="K668" s="4"/>
    </row>
    <row r="669" spans="2:11" ht="12.75">
      <c r="B669" s="1"/>
      <c r="C669" s="2"/>
      <c r="J669" s="3"/>
      <c r="K669" s="4"/>
    </row>
    <row r="670" spans="2:11" ht="12.75">
      <c r="B670" s="1"/>
      <c r="C670" s="2"/>
      <c r="J670" s="3"/>
      <c r="K670" s="4"/>
    </row>
    <row r="671" spans="2:11" ht="12.75">
      <c r="B671" s="1"/>
      <c r="C671" s="2"/>
      <c r="J671" s="3"/>
      <c r="K671" s="4"/>
    </row>
    <row r="672" spans="2:11" ht="12.75">
      <c r="B672" s="1"/>
      <c r="C672" s="2"/>
      <c r="J672" s="3"/>
      <c r="K672" s="4"/>
    </row>
    <row r="673" spans="2:11" ht="12.75">
      <c r="B673" s="1"/>
      <c r="C673" s="2"/>
      <c r="J673" s="3"/>
      <c r="K673" s="4"/>
    </row>
    <row r="674" spans="2:11" ht="12.75">
      <c r="B674" s="1"/>
      <c r="C674" s="2"/>
      <c r="J674" s="3"/>
      <c r="K674" s="4"/>
    </row>
    <row r="675" spans="2:11" ht="12.75">
      <c r="B675" s="1"/>
      <c r="C675" s="2"/>
      <c r="J675" s="3"/>
      <c r="K675" s="4"/>
    </row>
    <row r="676" spans="2:11" ht="12.75">
      <c r="B676" s="1"/>
      <c r="C676" s="2"/>
      <c r="J676" s="3"/>
      <c r="K676" s="4"/>
    </row>
    <row r="677" spans="2:11" ht="12.75">
      <c r="B677" s="1"/>
      <c r="C677" s="2"/>
      <c r="J677" s="3"/>
      <c r="K677" s="4"/>
    </row>
    <row r="678" spans="2:11" ht="12.75">
      <c r="B678" s="1"/>
      <c r="C678" s="2"/>
      <c r="J678" s="3"/>
      <c r="K678" s="4"/>
    </row>
    <row r="679" spans="2:11" ht="12.75">
      <c r="B679" s="1"/>
      <c r="C679" s="2"/>
      <c r="J679" s="3"/>
      <c r="K679" s="4"/>
    </row>
    <row r="680" spans="2:11" ht="12.75">
      <c r="B680" s="1"/>
      <c r="C680" s="2"/>
      <c r="J680" s="3"/>
      <c r="K680" s="4"/>
    </row>
    <row r="681" spans="2:11" ht="12.75">
      <c r="B681" s="1"/>
      <c r="C681" s="2"/>
      <c r="J681" s="3"/>
      <c r="K681" s="4"/>
    </row>
    <row r="682" spans="2:11" ht="12.75">
      <c r="B682" s="1"/>
      <c r="C682" s="2"/>
      <c r="J682" s="3"/>
      <c r="K682" s="4"/>
    </row>
    <row r="683" spans="2:11" ht="12.75">
      <c r="B683" s="1"/>
      <c r="C683" s="2"/>
      <c r="J683" s="3"/>
      <c r="K683" s="4"/>
    </row>
    <row r="684" spans="2:11" ht="12.75">
      <c r="B684" s="1"/>
      <c r="C684" s="2"/>
      <c r="J684" s="3"/>
      <c r="K684" s="4"/>
    </row>
    <row r="685" spans="2:11" ht="12.75">
      <c r="B685" s="1"/>
      <c r="C685" s="2"/>
      <c r="J685" s="3"/>
      <c r="K685" s="4"/>
    </row>
    <row r="686" spans="2:11" ht="12.75">
      <c r="B686" s="1"/>
      <c r="C686" s="2"/>
      <c r="J686" s="3"/>
      <c r="K686" s="4"/>
    </row>
    <row r="687" spans="2:11" ht="12.75">
      <c r="B687" s="1"/>
      <c r="C687" s="2"/>
      <c r="J687" s="3"/>
      <c r="K687" s="4"/>
    </row>
    <row r="688" spans="2:11" ht="12.75">
      <c r="B688" s="1"/>
      <c r="C688" s="2"/>
      <c r="J688" s="3"/>
      <c r="K688" s="4"/>
    </row>
    <row r="689" spans="2:11" ht="12.75">
      <c r="B689" s="1"/>
      <c r="C689" s="2"/>
      <c r="J689" s="3"/>
      <c r="K689" s="4"/>
    </row>
    <row r="690" spans="2:11" ht="12.75">
      <c r="B690" s="1"/>
      <c r="C690" s="2"/>
      <c r="J690" s="3"/>
      <c r="K690" s="4"/>
    </row>
    <row r="691" spans="2:11" ht="12.75">
      <c r="B691" s="1"/>
      <c r="C691" s="2"/>
      <c r="J691" s="3"/>
      <c r="K691" s="4"/>
    </row>
    <row r="692" spans="2:11" ht="12.75">
      <c r="B692" s="1"/>
      <c r="C692" s="2"/>
      <c r="J692" s="3"/>
      <c r="K692" s="4"/>
    </row>
    <row r="693" spans="2:11" ht="12.75">
      <c r="B693" s="1"/>
      <c r="C693" s="2"/>
      <c r="J693" s="3"/>
      <c r="K693" s="4"/>
    </row>
    <row r="694" spans="2:11" ht="12.75">
      <c r="B694" s="1"/>
      <c r="C694" s="2"/>
      <c r="J694" s="3"/>
      <c r="K694" s="4"/>
    </row>
    <row r="695" spans="2:11" ht="12.75">
      <c r="B695" s="1"/>
      <c r="C695" s="2"/>
      <c r="J695" s="3"/>
      <c r="K695" s="4"/>
    </row>
    <row r="696" spans="2:11" ht="12.75">
      <c r="B696" s="1"/>
      <c r="C696" s="2"/>
      <c r="J696" s="3"/>
      <c r="K696" s="4"/>
    </row>
    <row r="697" spans="2:11" ht="12.75">
      <c r="B697" s="1"/>
      <c r="C697" s="2"/>
      <c r="J697" s="3"/>
      <c r="K697" s="4"/>
    </row>
    <row r="698" spans="2:11" ht="12.75">
      <c r="B698" s="1"/>
      <c r="C698" s="2"/>
      <c r="J698" s="3"/>
      <c r="K698" s="4"/>
    </row>
    <row r="699" spans="2:11" ht="12.75">
      <c r="B699" s="1"/>
      <c r="C699" s="2"/>
      <c r="J699" s="3"/>
      <c r="K699" s="4"/>
    </row>
    <row r="700" spans="2:11" ht="12.75">
      <c r="B700" s="1"/>
      <c r="C700" s="2"/>
      <c r="J700" s="3"/>
      <c r="K700" s="4"/>
    </row>
    <row r="701" spans="2:11" ht="12.75">
      <c r="B701" s="1"/>
      <c r="C701" s="2"/>
      <c r="J701" s="3"/>
      <c r="K701" s="4"/>
    </row>
    <row r="702" spans="2:11" ht="12.75">
      <c r="B702" s="1"/>
      <c r="C702" s="2"/>
      <c r="J702" s="3"/>
      <c r="K702" s="4"/>
    </row>
    <row r="703" spans="2:11" ht="12.75">
      <c r="B703" s="1"/>
      <c r="C703" s="2"/>
      <c r="J703" s="3"/>
      <c r="K703" s="4"/>
    </row>
    <row r="704" spans="2:11" ht="12.75">
      <c r="B704" s="1"/>
      <c r="C704" s="2"/>
      <c r="J704" s="3"/>
      <c r="K704" s="4"/>
    </row>
    <row r="705" spans="2:11" ht="12.75">
      <c r="B705" s="1"/>
      <c r="C705" s="2"/>
      <c r="J705" s="3"/>
      <c r="K705" s="4"/>
    </row>
    <row r="706" spans="2:11" ht="12.75">
      <c r="B706" s="1"/>
      <c r="C706" s="2"/>
      <c r="J706" s="3"/>
      <c r="K706" s="4"/>
    </row>
    <row r="707" spans="2:11" ht="12.75">
      <c r="B707" s="1"/>
      <c r="C707" s="2"/>
      <c r="J707" s="3"/>
      <c r="K707" s="4"/>
    </row>
    <row r="708" spans="2:11" ht="12.75">
      <c r="B708" s="1"/>
      <c r="C708" s="2"/>
      <c r="J708" s="3"/>
      <c r="K708" s="4"/>
    </row>
    <row r="709" spans="2:11" ht="12.75">
      <c r="B709" s="1"/>
      <c r="C709" s="2"/>
      <c r="J709" s="3"/>
      <c r="K709" s="4"/>
    </row>
    <row r="710" spans="2:11" ht="12.75">
      <c r="B710" s="1"/>
      <c r="C710" s="2"/>
      <c r="J710" s="3"/>
      <c r="K710" s="4"/>
    </row>
    <row r="711" spans="2:11" ht="12.75">
      <c r="B711" s="1"/>
      <c r="C711" s="2"/>
      <c r="J711" s="3"/>
      <c r="K711" s="4"/>
    </row>
    <row r="712" spans="2:11" ht="12.75">
      <c r="B712" s="1"/>
      <c r="C712" s="2"/>
      <c r="J712" s="3"/>
      <c r="K712" s="4"/>
    </row>
    <row r="713" spans="2:11" ht="12.75">
      <c r="B713" s="1"/>
      <c r="C713" s="2"/>
      <c r="J713" s="3"/>
      <c r="K713" s="4"/>
    </row>
    <row r="714" spans="2:11" ht="12.75">
      <c r="B714" s="1"/>
      <c r="C714" s="2"/>
      <c r="J714" s="3"/>
      <c r="K714" s="4"/>
    </row>
    <row r="715" spans="2:11" ht="12.75">
      <c r="B715" s="1"/>
      <c r="C715" s="2"/>
      <c r="J715" s="3"/>
      <c r="K715" s="4"/>
    </row>
    <row r="716" spans="2:11" ht="12.75">
      <c r="B716" s="1"/>
      <c r="C716" s="2"/>
      <c r="J716" s="3"/>
      <c r="K716" s="4"/>
    </row>
    <row r="717" spans="2:11" ht="12.75">
      <c r="B717" s="1"/>
      <c r="C717" s="2"/>
      <c r="J717" s="3"/>
      <c r="K717" s="4"/>
    </row>
    <row r="718" spans="2:11" ht="12.75">
      <c r="B718" s="1"/>
      <c r="C718" s="2"/>
      <c r="J718" s="3"/>
      <c r="K718" s="4"/>
    </row>
    <row r="719" spans="2:11" ht="12.75">
      <c r="B719" s="1"/>
      <c r="C719" s="2"/>
      <c r="J719" s="3"/>
      <c r="K719" s="4"/>
    </row>
    <row r="720" spans="2:11" ht="12.75">
      <c r="B720" s="1"/>
      <c r="C720" s="2"/>
      <c r="J720" s="3"/>
      <c r="K720" s="4"/>
    </row>
    <row r="721" spans="2:11" ht="12.75">
      <c r="B721" s="1"/>
      <c r="C721" s="2"/>
      <c r="J721" s="3"/>
      <c r="K721" s="4"/>
    </row>
    <row r="722" spans="2:11" ht="12.75">
      <c r="B722" s="1"/>
      <c r="C722" s="2"/>
      <c r="J722" s="3"/>
      <c r="K722" s="4"/>
    </row>
    <row r="723" spans="2:11" ht="12.75">
      <c r="B723" s="1"/>
      <c r="C723" s="2"/>
      <c r="J723" s="3"/>
      <c r="K723" s="4"/>
    </row>
    <row r="724" spans="2:11" ht="12.75">
      <c r="B724" s="1"/>
      <c r="C724" s="2"/>
      <c r="J724" s="3"/>
      <c r="K724" s="4"/>
    </row>
    <row r="725" spans="2:11" ht="12.75">
      <c r="B725" s="1"/>
      <c r="C725" s="2"/>
      <c r="J725" s="3"/>
      <c r="K725" s="4"/>
    </row>
    <row r="726" spans="2:11" ht="12.75">
      <c r="B726" s="1"/>
      <c r="C726" s="2"/>
      <c r="J726" s="3"/>
      <c r="K726" s="4"/>
    </row>
    <row r="727" spans="2:11" ht="12.75">
      <c r="B727" s="1"/>
      <c r="C727" s="2"/>
      <c r="J727" s="3"/>
      <c r="K727" s="4"/>
    </row>
    <row r="728" spans="2:11" ht="12.75">
      <c r="B728" s="1"/>
      <c r="C728" s="2"/>
      <c r="J728" s="3"/>
      <c r="K728" s="4"/>
    </row>
    <row r="729" spans="2:11" ht="12.75">
      <c r="B729" s="1"/>
      <c r="C729" s="2"/>
      <c r="J729" s="3"/>
      <c r="K729" s="4"/>
    </row>
    <row r="730" spans="2:11" ht="12.75">
      <c r="B730" s="1"/>
      <c r="C730" s="2"/>
      <c r="J730" s="3"/>
      <c r="K730" s="4"/>
    </row>
    <row r="731" spans="2:11" ht="12.75">
      <c r="B731" s="1"/>
      <c r="C731" s="2"/>
      <c r="J731" s="3"/>
      <c r="K731" s="4"/>
    </row>
    <row r="732" spans="2:11" ht="12.75">
      <c r="B732" s="1"/>
      <c r="C732" s="2"/>
      <c r="J732" s="3"/>
      <c r="K732" s="4"/>
    </row>
    <row r="733" spans="2:11" ht="12.75">
      <c r="B733" s="1"/>
      <c r="C733" s="2"/>
      <c r="J733" s="3"/>
      <c r="K733" s="4"/>
    </row>
    <row r="734" spans="2:11" ht="12.75">
      <c r="B734" s="1"/>
      <c r="C734" s="2"/>
      <c r="J734" s="3"/>
      <c r="K734" s="4"/>
    </row>
    <row r="735" spans="2:11" ht="12.75">
      <c r="B735" s="1"/>
      <c r="C735" s="2"/>
      <c r="J735" s="3"/>
      <c r="K735" s="4"/>
    </row>
    <row r="736" spans="2:11" ht="12.75">
      <c r="B736" s="1"/>
      <c r="C736" s="2"/>
      <c r="J736" s="3"/>
      <c r="K736" s="4"/>
    </row>
    <row r="737" spans="2:11" ht="12.75">
      <c r="B737" s="1"/>
      <c r="C737" s="2"/>
      <c r="J737" s="3"/>
      <c r="K737" s="4"/>
    </row>
    <row r="738" spans="2:11" ht="12.75">
      <c r="B738" s="1"/>
      <c r="C738" s="2"/>
      <c r="J738" s="3"/>
      <c r="K738" s="4"/>
    </row>
    <row r="739" spans="2:11" ht="12.75">
      <c r="B739" s="1"/>
      <c r="C739" s="2"/>
      <c r="J739" s="3"/>
      <c r="K739" s="4"/>
    </row>
    <row r="740" spans="2:11" ht="12.75">
      <c r="B740" s="1"/>
      <c r="C740" s="2"/>
      <c r="J740" s="3"/>
      <c r="K740" s="4"/>
    </row>
    <row r="741" spans="2:11" ht="12.75">
      <c r="B741" s="1"/>
      <c r="C741" s="2"/>
      <c r="J741" s="3"/>
      <c r="K741" s="4"/>
    </row>
    <row r="742" spans="2:11" ht="12.75">
      <c r="B742" s="1"/>
      <c r="C742" s="2"/>
      <c r="J742" s="3"/>
      <c r="K742" s="4"/>
    </row>
    <row r="743" spans="2:11" ht="12.75">
      <c r="B743" s="1"/>
      <c r="C743" s="2"/>
      <c r="J743" s="3"/>
      <c r="K743" s="4"/>
    </row>
    <row r="744" spans="2:11" ht="12.75">
      <c r="B744" s="1"/>
      <c r="C744" s="2"/>
      <c r="J744" s="3"/>
      <c r="K744" s="4"/>
    </row>
    <row r="745" spans="2:11" ht="12.75">
      <c r="B745" s="1"/>
      <c r="C745" s="2"/>
      <c r="J745" s="3"/>
      <c r="K745" s="4"/>
    </row>
    <row r="746" spans="2:11" ht="12.75">
      <c r="B746" s="1"/>
      <c r="C746" s="2"/>
      <c r="J746" s="3"/>
      <c r="K746" s="4"/>
    </row>
    <row r="747" spans="2:11" ht="12.75">
      <c r="B747" s="1"/>
      <c r="C747" s="2"/>
      <c r="J747" s="3"/>
      <c r="K747" s="4"/>
    </row>
    <row r="748" spans="2:11" ht="12.75">
      <c r="B748" s="1"/>
      <c r="C748" s="2"/>
      <c r="J748" s="3"/>
      <c r="K748" s="4"/>
    </row>
    <row r="749" spans="2:11" ht="12.75">
      <c r="B749" s="1"/>
      <c r="C749" s="2"/>
      <c r="J749" s="3"/>
      <c r="K749" s="4"/>
    </row>
    <row r="750" spans="2:11" ht="12.75">
      <c r="B750" s="1"/>
      <c r="C750" s="2"/>
      <c r="J750" s="3"/>
      <c r="K750" s="4"/>
    </row>
    <row r="751" spans="2:11" ht="12.75">
      <c r="B751" s="1"/>
      <c r="C751" s="2"/>
      <c r="J751" s="3"/>
      <c r="K751" s="4"/>
    </row>
    <row r="752" spans="2:11" ht="12.75">
      <c r="B752" s="1"/>
      <c r="C752" s="2"/>
      <c r="J752" s="3"/>
      <c r="K752" s="4"/>
    </row>
    <row r="753" spans="2:11" ht="12.75">
      <c r="B753" s="1"/>
      <c r="C753" s="2"/>
      <c r="J753" s="3"/>
      <c r="K753" s="4"/>
    </row>
    <row r="754" spans="2:11" ht="12.75">
      <c r="B754" s="1"/>
      <c r="C754" s="2"/>
      <c r="J754" s="3"/>
      <c r="K754" s="4"/>
    </row>
    <row r="755" spans="2:11" ht="12.75">
      <c r="B755" s="1"/>
      <c r="C755" s="2"/>
      <c r="J755" s="3"/>
      <c r="K755" s="4"/>
    </row>
    <row r="756" spans="2:11" ht="12.75">
      <c r="B756" s="1"/>
      <c r="C756" s="2"/>
      <c r="J756" s="3"/>
      <c r="K756" s="4"/>
    </row>
    <row r="757" spans="2:11" ht="12.75">
      <c r="B757" s="1"/>
      <c r="C757" s="2"/>
      <c r="J757" s="3"/>
      <c r="K757" s="4"/>
    </row>
    <row r="758" spans="2:11" ht="12.75">
      <c r="B758" s="1"/>
      <c r="C758" s="2"/>
      <c r="J758" s="3"/>
      <c r="K758" s="4"/>
    </row>
    <row r="759" spans="2:11" ht="12.75">
      <c r="B759" s="1"/>
      <c r="C759" s="2"/>
      <c r="J759" s="3"/>
      <c r="K759" s="4"/>
    </row>
    <row r="760" spans="2:11" ht="12.75">
      <c r="B760" s="1"/>
      <c r="C760" s="2"/>
      <c r="J760" s="3"/>
      <c r="K760" s="4"/>
    </row>
    <row r="761" spans="2:11" ht="12.75">
      <c r="B761" s="1"/>
      <c r="C761" s="2"/>
      <c r="J761" s="3"/>
      <c r="K761" s="4"/>
    </row>
    <row r="762" spans="2:11" ht="12.75">
      <c r="B762" s="1"/>
      <c r="C762" s="2"/>
      <c r="J762" s="3"/>
      <c r="K762" s="4"/>
    </row>
    <row r="763" spans="2:11" ht="12.75">
      <c r="B763" s="1"/>
      <c r="C763" s="2"/>
      <c r="J763" s="3"/>
      <c r="K763" s="4"/>
    </row>
    <row r="764" spans="2:11" ht="12.75">
      <c r="B764" s="1"/>
      <c r="C764" s="2"/>
      <c r="J764" s="3"/>
      <c r="K764" s="4"/>
    </row>
    <row r="765" spans="2:11" ht="12.75">
      <c r="B765" s="1"/>
      <c r="C765" s="2"/>
      <c r="J765" s="3"/>
      <c r="K765" s="4"/>
    </row>
    <row r="766" spans="2:11" ht="12.75">
      <c r="B766" s="1"/>
      <c r="C766" s="2"/>
      <c r="J766" s="3"/>
      <c r="K766" s="4"/>
    </row>
    <row r="767" spans="2:11" ht="12.75">
      <c r="B767" s="1"/>
      <c r="C767" s="2"/>
      <c r="J767" s="3"/>
      <c r="K767" s="4"/>
    </row>
    <row r="768" spans="2:11" ht="12.75">
      <c r="B768" s="1"/>
      <c r="C768" s="2"/>
      <c r="J768" s="3"/>
      <c r="K768" s="4"/>
    </row>
    <row r="769" spans="2:11" ht="12.75">
      <c r="B769" s="1"/>
      <c r="C769" s="2"/>
      <c r="J769" s="3"/>
      <c r="K769" s="4"/>
    </row>
    <row r="770" spans="2:11" ht="12.75">
      <c r="B770" s="1"/>
      <c r="C770" s="2"/>
      <c r="J770" s="3"/>
      <c r="K770" s="4"/>
    </row>
    <row r="771" spans="2:11" ht="12.75">
      <c r="B771" s="1"/>
      <c r="C771" s="2"/>
      <c r="J771" s="3"/>
      <c r="K771" s="4"/>
    </row>
    <row r="772" spans="2:11" ht="12.75">
      <c r="B772" s="1"/>
      <c r="C772" s="2"/>
      <c r="J772" s="3"/>
      <c r="K772" s="4"/>
    </row>
    <row r="773" spans="2:11" ht="12.75">
      <c r="B773" s="1"/>
      <c r="C773" s="2"/>
      <c r="J773" s="3"/>
      <c r="K773" s="4"/>
    </row>
    <row r="774" spans="2:11" ht="12.75">
      <c r="B774" s="1"/>
      <c r="C774" s="2"/>
      <c r="J774" s="3"/>
      <c r="K774" s="4"/>
    </row>
    <row r="775" spans="2:11" ht="12.75">
      <c r="B775" s="1"/>
      <c r="C775" s="2"/>
      <c r="J775" s="3"/>
      <c r="K775" s="4"/>
    </row>
    <row r="776" spans="2:11" ht="12.75">
      <c r="B776" s="1"/>
      <c r="C776" s="2"/>
      <c r="J776" s="3"/>
      <c r="K776" s="4"/>
    </row>
    <row r="777" spans="2:11" ht="12.75">
      <c r="B777" s="1"/>
      <c r="C777" s="2"/>
      <c r="J777" s="3"/>
      <c r="K777" s="4"/>
    </row>
    <row r="778" spans="2:11" ht="12.75">
      <c r="B778" s="1"/>
      <c r="C778" s="2"/>
      <c r="J778" s="3"/>
      <c r="K778" s="4"/>
    </row>
    <row r="779" spans="2:11" ht="12.75">
      <c r="B779" s="1"/>
      <c r="C779" s="2"/>
      <c r="J779" s="3"/>
      <c r="K779" s="4"/>
    </row>
    <row r="780" spans="2:11" ht="12.75">
      <c r="B780" s="1"/>
      <c r="C780" s="2"/>
      <c r="J780" s="3"/>
      <c r="K780" s="4"/>
    </row>
    <row r="781" spans="2:11" ht="12.75">
      <c r="B781" s="1"/>
      <c r="C781" s="2"/>
      <c r="J781" s="3"/>
      <c r="K781" s="4"/>
    </row>
    <row r="782" spans="2:11" ht="12.75">
      <c r="B782" s="1"/>
      <c r="C782" s="2"/>
      <c r="J782" s="3"/>
      <c r="K782" s="4"/>
    </row>
    <row r="783" spans="2:11" ht="12.75">
      <c r="B783" s="1"/>
      <c r="C783" s="2"/>
      <c r="J783" s="3"/>
      <c r="K783" s="4"/>
    </row>
    <row r="784" spans="2:11" ht="12.75">
      <c r="B784" s="1"/>
      <c r="C784" s="2"/>
      <c r="J784" s="3"/>
      <c r="K784" s="4"/>
    </row>
    <row r="785" spans="2:11" ht="12.75">
      <c r="B785" s="1"/>
      <c r="C785" s="2"/>
      <c r="J785" s="3"/>
      <c r="K785" s="4"/>
    </row>
    <row r="786" spans="2:11" ht="12.75">
      <c r="B786" s="1"/>
      <c r="C786" s="2"/>
      <c r="J786" s="3"/>
      <c r="K786" s="4"/>
    </row>
    <row r="787" spans="2:11" ht="12.75">
      <c r="B787" s="1"/>
      <c r="C787" s="2"/>
      <c r="J787" s="3"/>
      <c r="K787" s="4"/>
    </row>
    <row r="788" spans="2:11" ht="12.75">
      <c r="B788" s="1"/>
      <c r="C788" s="2"/>
      <c r="J788" s="3"/>
      <c r="K788" s="4"/>
    </row>
    <row r="789" spans="2:11" ht="12.75">
      <c r="B789" s="1"/>
      <c r="C789" s="2"/>
      <c r="J789" s="3"/>
      <c r="K789" s="4"/>
    </row>
    <row r="790" spans="2:11" ht="12.75">
      <c r="B790" s="1"/>
      <c r="C790" s="2"/>
      <c r="J790" s="3"/>
      <c r="K790" s="4"/>
    </row>
    <row r="791" spans="2:11" ht="12.75">
      <c r="B791" s="1"/>
      <c r="C791" s="2"/>
      <c r="J791" s="3"/>
      <c r="K791" s="4"/>
    </row>
    <row r="792" spans="2:11" ht="12.75">
      <c r="B792" s="1"/>
      <c r="C792" s="2"/>
      <c r="J792" s="3"/>
      <c r="K792" s="4"/>
    </row>
    <row r="793" spans="2:11" ht="12.75">
      <c r="B793" s="1"/>
      <c r="C793" s="2"/>
      <c r="J793" s="3"/>
      <c r="K793" s="4"/>
    </row>
    <row r="794" spans="2:11" ht="12.75">
      <c r="B794" s="1"/>
      <c r="C794" s="2"/>
      <c r="J794" s="3"/>
      <c r="K794" s="4"/>
    </row>
    <row r="795" spans="2:11" ht="12.75">
      <c r="B795" s="1"/>
      <c r="C795" s="2"/>
      <c r="J795" s="3"/>
      <c r="K795" s="4"/>
    </row>
    <row r="796" spans="2:11" ht="12.75">
      <c r="B796" s="1"/>
      <c r="C796" s="2"/>
      <c r="J796" s="3"/>
      <c r="K796" s="4"/>
    </row>
    <row r="797" spans="2:11" ht="12.75">
      <c r="B797" s="1"/>
      <c r="C797" s="2"/>
      <c r="J797" s="3"/>
      <c r="K797" s="4"/>
    </row>
    <row r="798" spans="2:11" ht="12.75">
      <c r="B798" s="1"/>
      <c r="C798" s="2"/>
      <c r="J798" s="3"/>
      <c r="K798" s="4"/>
    </row>
    <row r="799" spans="2:11" ht="12.75">
      <c r="B799" s="1"/>
      <c r="C799" s="2"/>
      <c r="J799" s="3"/>
      <c r="K799" s="4"/>
    </row>
    <row r="800" spans="2:11" ht="12.75">
      <c r="B800" s="1"/>
      <c r="C800" s="2"/>
      <c r="J800" s="3"/>
      <c r="K800" s="4"/>
    </row>
    <row r="801" spans="2:11" ht="12.75">
      <c r="B801" s="1"/>
      <c r="C801" s="2"/>
      <c r="J801" s="3"/>
      <c r="K801" s="4"/>
    </row>
    <row r="802" spans="2:11" ht="12.75">
      <c r="B802" s="1"/>
      <c r="C802" s="2"/>
      <c r="J802" s="3"/>
      <c r="K802" s="4"/>
    </row>
    <row r="803" spans="2:11" ht="12.75">
      <c r="B803" s="1"/>
      <c r="C803" s="2"/>
      <c r="J803" s="3"/>
      <c r="K803" s="4"/>
    </row>
    <row r="804" spans="2:11" ht="12.75">
      <c r="B804" s="1"/>
      <c r="C804" s="2"/>
      <c r="J804" s="3"/>
      <c r="K804" s="4"/>
    </row>
    <row r="805" spans="2:11" ht="12.75">
      <c r="B805" s="1"/>
      <c r="C805" s="2"/>
      <c r="J805" s="3"/>
      <c r="K805" s="4"/>
    </row>
    <row r="806" spans="2:11" ht="12.75">
      <c r="B806" s="1"/>
      <c r="C806" s="2"/>
      <c r="J806" s="3"/>
      <c r="K806" s="4"/>
    </row>
    <row r="807" spans="2:11" ht="12.75">
      <c r="B807" s="1"/>
      <c r="C807" s="2"/>
      <c r="J807" s="3"/>
      <c r="K807" s="4"/>
    </row>
    <row r="808" spans="2:11" ht="12.75">
      <c r="B808" s="1"/>
      <c r="C808" s="2"/>
      <c r="J808" s="3"/>
      <c r="K808" s="4"/>
    </row>
    <row r="809" spans="2:11" ht="12.75">
      <c r="B809" s="1"/>
      <c r="C809" s="2"/>
      <c r="J809" s="3"/>
      <c r="K809" s="4"/>
    </row>
    <row r="810" spans="2:11" ht="12.75">
      <c r="B810" s="1"/>
      <c r="C810" s="2"/>
      <c r="J810" s="3"/>
      <c r="K810" s="4"/>
    </row>
    <row r="811" spans="2:11" ht="12.75">
      <c r="B811" s="1"/>
      <c r="C811" s="2"/>
      <c r="J811" s="3"/>
      <c r="K811" s="4"/>
    </row>
    <row r="812" spans="2:11" ht="12.75">
      <c r="B812" s="1"/>
      <c r="C812" s="2"/>
      <c r="J812" s="3"/>
      <c r="K812" s="4"/>
    </row>
    <row r="813" spans="2:11" ht="12.75">
      <c r="B813" s="1"/>
      <c r="C813" s="2"/>
      <c r="J813" s="3"/>
      <c r="K813" s="4"/>
    </row>
    <row r="814" spans="2:11" ht="12.75">
      <c r="B814" s="1"/>
      <c r="C814" s="2"/>
      <c r="J814" s="3"/>
      <c r="K814" s="4"/>
    </row>
    <row r="815" spans="2:11" ht="12.75">
      <c r="B815" s="1"/>
      <c r="C815" s="2"/>
      <c r="J815" s="3"/>
      <c r="K815" s="4"/>
    </row>
    <row r="816" spans="2:11" ht="12.75">
      <c r="B816" s="1"/>
      <c r="C816" s="2"/>
      <c r="J816" s="3"/>
      <c r="K816" s="4"/>
    </row>
    <row r="817" spans="2:11" ht="12.75">
      <c r="B817" s="1"/>
      <c r="C817" s="2"/>
      <c r="J817" s="3"/>
      <c r="K817" s="4"/>
    </row>
    <row r="818" spans="2:11" ht="12.75">
      <c r="B818" s="1"/>
      <c r="C818" s="2"/>
      <c r="J818" s="3"/>
      <c r="K818" s="4"/>
    </row>
    <row r="819" spans="2:11" ht="12.75">
      <c r="B819" s="1"/>
      <c r="C819" s="2"/>
      <c r="J819" s="3"/>
      <c r="K819" s="4"/>
    </row>
    <row r="820" spans="2:11" ht="12.75">
      <c r="B820" s="1"/>
      <c r="C820" s="2"/>
      <c r="J820" s="3"/>
      <c r="K820" s="4"/>
    </row>
    <row r="821" spans="2:11" ht="12.75">
      <c r="B821" s="1"/>
      <c r="C821" s="2"/>
      <c r="J821" s="3"/>
      <c r="K821" s="4"/>
    </row>
    <row r="822" spans="2:11" ht="12.75">
      <c r="B822" s="1"/>
      <c r="C822" s="2"/>
      <c r="J822" s="3"/>
      <c r="K822" s="4"/>
    </row>
    <row r="823" spans="2:11" ht="12.75">
      <c r="B823" s="1"/>
      <c r="C823" s="2"/>
      <c r="J823" s="3"/>
      <c r="K823" s="4"/>
    </row>
    <row r="824" spans="2:11" ht="12.75">
      <c r="B824" s="1"/>
      <c r="C824" s="2"/>
      <c r="J824" s="3"/>
      <c r="K824" s="4"/>
    </row>
    <row r="825" spans="2:11" ht="12.75">
      <c r="B825" s="1"/>
      <c r="C825" s="2"/>
      <c r="J825" s="3"/>
      <c r="K825" s="4"/>
    </row>
    <row r="826" spans="2:11" ht="12.75">
      <c r="B826" s="1"/>
      <c r="C826" s="2"/>
      <c r="J826" s="3"/>
      <c r="K826" s="4"/>
    </row>
    <row r="827" spans="2:11" ht="12.75">
      <c r="B827" s="1"/>
      <c r="C827" s="2"/>
      <c r="J827" s="3"/>
      <c r="K827" s="4"/>
    </row>
    <row r="828" spans="2:11" ht="12.75">
      <c r="B828" s="1"/>
      <c r="C828" s="2"/>
      <c r="J828" s="3"/>
      <c r="K828" s="4"/>
    </row>
    <row r="829" spans="2:11" ht="12.75">
      <c r="B829" s="1"/>
      <c r="C829" s="2"/>
      <c r="J829" s="3"/>
      <c r="K829" s="4"/>
    </row>
    <row r="830" spans="2:11" ht="12.75">
      <c r="B830" s="1"/>
      <c r="C830" s="2"/>
      <c r="J830" s="3"/>
      <c r="K830" s="4"/>
    </row>
    <row r="831" spans="2:11" ht="12.75">
      <c r="B831" s="1"/>
      <c r="C831" s="2"/>
      <c r="J831" s="3"/>
      <c r="K831" s="4"/>
    </row>
    <row r="832" spans="2:11" ht="12.75">
      <c r="B832" s="1"/>
      <c r="C832" s="2"/>
      <c r="J832" s="3"/>
      <c r="K832" s="4"/>
    </row>
    <row r="833" spans="2:11" ht="12.75">
      <c r="B833" s="1"/>
      <c r="C833" s="2"/>
      <c r="J833" s="3"/>
      <c r="K833" s="4"/>
    </row>
    <row r="834" spans="2:11" ht="12.75">
      <c r="B834" s="1"/>
      <c r="C834" s="2"/>
      <c r="J834" s="3"/>
      <c r="K834" s="4"/>
    </row>
    <row r="835" spans="2:11" ht="12.75">
      <c r="B835" s="1"/>
      <c r="C835" s="2"/>
      <c r="J835" s="3"/>
      <c r="K835" s="4"/>
    </row>
    <row r="836" spans="2:11" ht="12.75">
      <c r="B836" s="1"/>
      <c r="C836" s="2"/>
      <c r="J836" s="3"/>
      <c r="K836" s="4"/>
    </row>
    <row r="837" spans="2:11" ht="12.75">
      <c r="B837" s="1"/>
      <c r="C837" s="2"/>
      <c r="J837" s="3"/>
      <c r="K837" s="4"/>
    </row>
    <row r="838" spans="2:11" ht="12.75">
      <c r="B838" s="1"/>
      <c r="C838" s="2"/>
      <c r="J838" s="3"/>
      <c r="K838" s="4"/>
    </row>
    <row r="839" spans="2:11" ht="12.75">
      <c r="B839" s="1"/>
      <c r="C839" s="2"/>
      <c r="J839" s="3"/>
      <c r="K839" s="4"/>
    </row>
    <row r="840" spans="2:11" ht="12.75">
      <c r="B840" s="1"/>
      <c r="C840" s="2"/>
      <c r="J840" s="3"/>
      <c r="K840" s="4"/>
    </row>
    <row r="841" spans="2:11" ht="12.75">
      <c r="B841" s="1"/>
      <c r="C841" s="2"/>
      <c r="J841" s="3"/>
      <c r="K841" s="4"/>
    </row>
    <row r="842" spans="2:11" ht="12.75">
      <c r="B842" s="1"/>
      <c r="C842" s="2"/>
      <c r="J842" s="3"/>
      <c r="K842" s="4"/>
    </row>
    <row r="843" spans="2:11" ht="12.75">
      <c r="B843" s="1"/>
      <c r="C843" s="2"/>
      <c r="J843" s="3"/>
      <c r="K843" s="4"/>
    </row>
    <row r="844" spans="2:11" ht="12.75">
      <c r="B844" s="1"/>
      <c r="C844" s="2"/>
      <c r="J844" s="3"/>
      <c r="K844" s="4"/>
    </row>
    <row r="845" spans="2:11" ht="12.75">
      <c r="B845" s="1"/>
      <c r="C845" s="2"/>
      <c r="J845" s="3"/>
      <c r="K845" s="4"/>
    </row>
    <row r="846" spans="2:11" ht="12.75">
      <c r="B846" s="1"/>
      <c r="C846" s="2"/>
      <c r="J846" s="3"/>
      <c r="K846" s="4"/>
    </row>
    <row r="847" spans="2:11" ht="12.75">
      <c r="B847" s="1"/>
      <c r="C847" s="2"/>
      <c r="J847" s="3"/>
      <c r="K847" s="4"/>
    </row>
    <row r="848" spans="2:11" ht="12.75">
      <c r="B848" s="1"/>
      <c r="C848" s="2"/>
      <c r="J848" s="3"/>
      <c r="K848" s="4"/>
    </row>
    <row r="849" spans="2:11" ht="12.75">
      <c r="B849" s="1"/>
      <c r="C849" s="2"/>
      <c r="J849" s="3"/>
      <c r="K849" s="4"/>
    </row>
    <row r="850" spans="2:11" ht="12.75">
      <c r="B850" s="1"/>
      <c r="C850" s="2"/>
      <c r="J850" s="3"/>
      <c r="K850" s="4"/>
    </row>
    <row r="851" spans="2:11" ht="12.75">
      <c r="B851" s="1"/>
      <c r="C851" s="2"/>
      <c r="J851" s="3"/>
      <c r="K851" s="4"/>
    </row>
    <row r="852" spans="2:11" ht="12.75">
      <c r="B852" s="1"/>
      <c r="C852" s="2"/>
      <c r="J852" s="3"/>
      <c r="K852" s="4"/>
    </row>
    <row r="853" spans="2:11" ht="12.75">
      <c r="B853" s="1"/>
      <c r="C853" s="2"/>
      <c r="J853" s="3"/>
      <c r="K853" s="4"/>
    </row>
    <row r="854" spans="2:11" ht="12.75">
      <c r="B854" s="1"/>
      <c r="C854" s="2"/>
      <c r="J854" s="3"/>
      <c r="K854" s="4"/>
    </row>
    <row r="855" spans="2:11" ht="12.75">
      <c r="B855" s="1"/>
      <c r="C855" s="2"/>
      <c r="J855" s="3"/>
      <c r="K855" s="4"/>
    </row>
    <row r="856" spans="2:11" ht="12.75">
      <c r="B856" s="1"/>
      <c r="C856" s="2"/>
      <c r="J856" s="3"/>
      <c r="K856" s="4"/>
    </row>
    <row r="857" spans="2:11" ht="12.75">
      <c r="B857" s="1"/>
      <c r="C857" s="2"/>
      <c r="J857" s="3"/>
      <c r="K857" s="4"/>
    </row>
    <row r="858" spans="2:11" ht="12.75">
      <c r="B858" s="1"/>
      <c r="C858" s="2"/>
      <c r="J858" s="3"/>
      <c r="K858" s="4"/>
    </row>
    <row r="859" spans="2:11" ht="12.75">
      <c r="B859" s="1"/>
      <c r="C859" s="2"/>
      <c r="J859" s="3"/>
      <c r="K859" s="4"/>
    </row>
    <row r="860" spans="2:11" ht="12.75">
      <c r="B860" s="1"/>
      <c r="C860" s="2"/>
      <c r="J860" s="3"/>
      <c r="K860" s="4"/>
    </row>
    <row r="861" spans="2:11" ht="12.75">
      <c r="B861" s="1"/>
      <c r="C861" s="2"/>
      <c r="J861" s="3"/>
      <c r="K861" s="4"/>
    </row>
    <row r="862" spans="2:11" ht="12.75">
      <c r="B862" s="1"/>
      <c r="C862" s="2"/>
      <c r="J862" s="3"/>
      <c r="K862" s="4"/>
    </row>
    <row r="863" spans="2:11" ht="12.75">
      <c r="B863" s="1"/>
      <c r="C863" s="2"/>
      <c r="J863" s="3"/>
      <c r="K863" s="4"/>
    </row>
    <row r="864" spans="2:11" ht="12.75">
      <c r="B864" s="1"/>
      <c r="C864" s="2"/>
      <c r="J864" s="3"/>
      <c r="K864" s="4"/>
    </row>
    <row r="865" spans="2:11" ht="12.75">
      <c r="B865" s="1"/>
      <c r="C865" s="2"/>
      <c r="J865" s="3"/>
      <c r="K865" s="4"/>
    </row>
    <row r="866" spans="2:11" ht="12.75">
      <c r="B866" s="1"/>
      <c r="C866" s="2"/>
      <c r="J866" s="3"/>
      <c r="K866" s="4"/>
    </row>
    <row r="867" spans="2:11" ht="12.75">
      <c r="B867" s="1"/>
      <c r="C867" s="2"/>
      <c r="J867" s="3"/>
      <c r="K867" s="4"/>
    </row>
    <row r="868" spans="2:11" ht="12.75">
      <c r="B868" s="1"/>
      <c r="C868" s="2"/>
      <c r="J868" s="3"/>
      <c r="K868" s="4"/>
    </row>
    <row r="869" spans="2:11" ht="12.75">
      <c r="B869" s="1"/>
      <c r="C869" s="2"/>
      <c r="J869" s="3"/>
      <c r="K869" s="4"/>
    </row>
    <row r="870" spans="2:11" ht="12.75">
      <c r="B870" s="1"/>
      <c r="C870" s="2"/>
      <c r="J870" s="3"/>
      <c r="K870" s="4"/>
    </row>
    <row r="871" spans="2:11" ht="12.75">
      <c r="B871" s="1"/>
      <c r="C871" s="2"/>
      <c r="J871" s="3"/>
      <c r="K871" s="4"/>
    </row>
    <row r="872" spans="2:11" ht="12.75">
      <c r="B872" s="1"/>
      <c r="C872" s="2"/>
      <c r="J872" s="3"/>
      <c r="K872" s="4"/>
    </row>
    <row r="873" spans="2:11" ht="12.75">
      <c r="B873" s="1"/>
      <c r="C873" s="2"/>
      <c r="J873" s="3"/>
      <c r="K873" s="4"/>
    </row>
    <row r="874" spans="2:11" ht="12.75">
      <c r="B874" s="1"/>
      <c r="C874" s="2"/>
      <c r="J874" s="3"/>
      <c r="K874" s="4"/>
    </row>
    <row r="875" spans="2:11" ht="12.75">
      <c r="B875" s="1"/>
      <c r="C875" s="2"/>
      <c r="J875" s="3"/>
      <c r="K875" s="4"/>
    </row>
    <row r="876" spans="2:11" ht="12.75">
      <c r="B876" s="1"/>
      <c r="C876" s="2"/>
      <c r="J876" s="3"/>
      <c r="K876" s="4"/>
    </row>
    <row r="877" spans="2:11" ht="12.75">
      <c r="B877" s="1"/>
      <c r="C877" s="2"/>
      <c r="J877" s="3"/>
      <c r="K877" s="4"/>
    </row>
    <row r="878" spans="2:11" ht="12.75">
      <c r="B878" s="1"/>
      <c r="C878" s="2"/>
      <c r="J878" s="3"/>
      <c r="K878" s="4"/>
    </row>
    <row r="879" spans="2:11" ht="12.75">
      <c r="B879" s="1"/>
      <c r="C879" s="2"/>
      <c r="J879" s="3"/>
      <c r="K879" s="4"/>
    </row>
    <row r="880" spans="2:11" ht="12.75">
      <c r="B880" s="1"/>
      <c r="C880" s="2"/>
      <c r="J880" s="3"/>
      <c r="K880" s="4"/>
    </row>
    <row r="881" spans="2:11" ht="12.75">
      <c r="B881" s="1"/>
      <c r="C881" s="2"/>
      <c r="J881" s="3"/>
      <c r="K881" s="4"/>
    </row>
    <row r="882" spans="2:11" ht="12.75">
      <c r="B882" s="1"/>
      <c r="C882" s="2"/>
      <c r="J882" s="3"/>
      <c r="K882" s="4"/>
    </row>
    <row r="883" spans="2:11" ht="12.75">
      <c r="B883" s="1"/>
      <c r="C883" s="2"/>
      <c r="J883" s="3"/>
      <c r="K883" s="4"/>
    </row>
    <row r="884" spans="2:11" ht="12.75">
      <c r="B884" s="1"/>
      <c r="C884" s="2"/>
      <c r="J884" s="3"/>
      <c r="K884" s="4"/>
    </row>
    <row r="885" spans="2:11" ht="12.75">
      <c r="B885" s="1"/>
      <c r="C885" s="2"/>
      <c r="J885" s="3"/>
      <c r="K885" s="4"/>
    </row>
    <row r="886" spans="2:11" ht="12.75">
      <c r="B886" s="1"/>
      <c r="C886" s="2"/>
      <c r="J886" s="3"/>
      <c r="K886" s="4"/>
    </row>
    <row r="887" spans="2:11" ht="12.75">
      <c r="B887" s="1"/>
      <c r="C887" s="2"/>
      <c r="J887" s="3"/>
      <c r="K887" s="4"/>
    </row>
    <row r="888" spans="2:11" ht="12.75">
      <c r="B888" s="1"/>
      <c r="C888" s="2"/>
      <c r="J888" s="3"/>
      <c r="K888" s="4"/>
    </row>
    <row r="889" spans="2:11" ht="12.75">
      <c r="B889" s="1"/>
      <c r="C889" s="2"/>
      <c r="J889" s="3"/>
      <c r="K889" s="4"/>
    </row>
    <row r="890" spans="2:11" ht="12.75">
      <c r="B890" s="1"/>
      <c r="C890" s="2"/>
      <c r="J890" s="3"/>
      <c r="K890" s="4"/>
    </row>
    <row r="891" spans="2:11" ht="12.75">
      <c r="B891" s="1"/>
      <c r="C891" s="2"/>
      <c r="J891" s="3"/>
      <c r="K891" s="4"/>
    </row>
    <row r="892" spans="2:11" ht="12.75">
      <c r="B892" s="1"/>
      <c r="C892" s="2"/>
      <c r="J892" s="3"/>
      <c r="K892" s="4"/>
    </row>
    <row r="893" spans="2:11" ht="12.75">
      <c r="B893" s="1"/>
      <c r="C893" s="2"/>
      <c r="J893" s="3"/>
      <c r="K893" s="4"/>
    </row>
    <row r="894" spans="2:11" ht="12.75">
      <c r="B894" s="1"/>
      <c r="C894" s="2"/>
      <c r="J894" s="3"/>
      <c r="K894" s="4"/>
    </row>
    <row r="895" spans="2:11" ht="12.75">
      <c r="B895" s="1"/>
      <c r="C895" s="2"/>
      <c r="J895" s="3"/>
      <c r="K895" s="4"/>
    </row>
    <row r="896" spans="2:11" ht="12.75">
      <c r="B896" s="1"/>
      <c r="C896" s="2"/>
      <c r="J896" s="3"/>
      <c r="K896" s="4"/>
    </row>
    <row r="897" spans="2:11" ht="12.75">
      <c r="B897" s="1"/>
      <c r="C897" s="2"/>
      <c r="J897" s="3"/>
      <c r="K897" s="4"/>
    </row>
    <row r="898" spans="2:11" ht="12.75">
      <c r="B898" s="1"/>
      <c r="C898" s="2"/>
      <c r="J898" s="3"/>
      <c r="K898" s="4"/>
    </row>
    <row r="899" spans="2:11" ht="12.75">
      <c r="B899" s="1"/>
      <c r="C899" s="2"/>
      <c r="J899" s="3"/>
      <c r="K899" s="4"/>
    </row>
    <row r="900" spans="2:11" ht="12.75">
      <c r="B900" s="1"/>
      <c r="C900" s="2"/>
      <c r="J900" s="3"/>
      <c r="K900" s="4"/>
    </row>
    <row r="901" spans="2:11" ht="12.75">
      <c r="B901" s="1"/>
      <c r="C901" s="2"/>
      <c r="J901" s="3"/>
      <c r="K901" s="4"/>
    </row>
    <row r="902" spans="2:11" ht="12.75">
      <c r="B902" s="1"/>
      <c r="C902" s="2"/>
      <c r="J902" s="3"/>
      <c r="K902" s="4"/>
    </row>
    <row r="903" spans="2:11" ht="12.75">
      <c r="B903" s="1"/>
      <c r="C903" s="2"/>
      <c r="J903" s="3"/>
      <c r="K903" s="4"/>
    </row>
    <row r="904" spans="2:11" ht="12.75">
      <c r="B904" s="1"/>
      <c r="C904" s="2"/>
      <c r="J904" s="3"/>
      <c r="K904" s="4"/>
    </row>
    <row r="905" spans="2:11" ht="12.75">
      <c r="B905" s="1"/>
      <c r="C905" s="2"/>
      <c r="J905" s="3"/>
      <c r="K905" s="4"/>
    </row>
    <row r="906" spans="2:11" ht="12.75">
      <c r="B906" s="1"/>
      <c r="C906" s="2"/>
      <c r="J906" s="3"/>
      <c r="K906" s="4"/>
    </row>
    <row r="907" spans="2:11" ht="12.75">
      <c r="B907" s="1"/>
      <c r="C907" s="2"/>
      <c r="J907" s="3"/>
      <c r="K907" s="4"/>
    </row>
    <row r="908" spans="2:11" ht="12.75">
      <c r="B908" s="1"/>
      <c r="C908" s="2"/>
      <c r="J908" s="3"/>
      <c r="K908" s="4"/>
    </row>
    <row r="909" spans="2:11" ht="12.75">
      <c r="B909" s="1"/>
      <c r="C909" s="2"/>
      <c r="J909" s="3"/>
      <c r="K909" s="4"/>
    </row>
    <row r="910" spans="2:11" ht="12.75">
      <c r="B910" s="1"/>
      <c r="C910" s="2"/>
      <c r="J910" s="3"/>
      <c r="K910" s="4"/>
    </row>
    <row r="911" spans="2:11" ht="12.75">
      <c r="B911" s="1"/>
      <c r="C911" s="2"/>
      <c r="J911" s="3"/>
      <c r="K911" s="4"/>
    </row>
    <row r="912" spans="2:11" ht="12.75">
      <c r="B912" s="1"/>
      <c r="C912" s="2"/>
      <c r="J912" s="3"/>
      <c r="K912" s="4"/>
    </row>
    <row r="913" spans="2:11" ht="12.75">
      <c r="B913" s="1"/>
      <c r="C913" s="2"/>
      <c r="J913" s="3"/>
      <c r="K913" s="4"/>
    </row>
    <row r="914" spans="2:11" ht="12.75">
      <c r="B914" s="1"/>
      <c r="C914" s="2"/>
      <c r="J914" s="3"/>
      <c r="K914" s="4"/>
    </row>
    <row r="915" spans="2:11" ht="12.75">
      <c r="B915" s="1"/>
      <c r="C915" s="2"/>
      <c r="J915" s="3"/>
      <c r="K915" s="4"/>
    </row>
    <row r="916" spans="2:11" ht="12.75">
      <c r="B916" s="1"/>
      <c r="C916" s="2"/>
      <c r="J916" s="3"/>
      <c r="K916" s="4"/>
    </row>
    <row r="917" spans="2:11" ht="12.75">
      <c r="B917" s="1"/>
      <c r="C917" s="2"/>
      <c r="J917" s="3"/>
      <c r="K917" s="4"/>
    </row>
    <row r="918" spans="2:11" ht="12.75">
      <c r="B918" s="1"/>
      <c r="C918" s="2"/>
      <c r="J918" s="3"/>
      <c r="K918" s="4"/>
    </row>
    <row r="919" spans="2:11" ht="12.75">
      <c r="B919" s="1"/>
      <c r="C919" s="2"/>
      <c r="J919" s="3"/>
      <c r="K919" s="4"/>
    </row>
    <row r="920" spans="2:11" ht="12.75">
      <c r="B920" s="1"/>
      <c r="C920" s="2"/>
      <c r="J920" s="3"/>
      <c r="K920" s="4"/>
    </row>
    <row r="921" spans="2:11" ht="12.75">
      <c r="B921" s="1"/>
      <c r="C921" s="2"/>
      <c r="J921" s="3"/>
      <c r="K921" s="4"/>
    </row>
    <row r="922" spans="2:11" ht="12.75">
      <c r="B922" s="1"/>
      <c r="C922" s="2"/>
      <c r="J922" s="3"/>
      <c r="K922" s="4"/>
    </row>
    <row r="923" spans="2:11" ht="12.75">
      <c r="B923" s="1"/>
      <c r="C923" s="2"/>
      <c r="J923" s="3"/>
      <c r="K923" s="4"/>
    </row>
    <row r="924" spans="2:11" ht="12.75">
      <c r="B924" s="1"/>
      <c r="C924" s="2"/>
      <c r="J924" s="3"/>
      <c r="K924" s="4"/>
    </row>
    <row r="925" spans="2:11" ht="12.75">
      <c r="B925" s="1"/>
      <c r="C925" s="2"/>
      <c r="J925" s="3"/>
      <c r="K925" s="4"/>
    </row>
    <row r="926" spans="2:11" ht="12.75">
      <c r="B926" s="1"/>
      <c r="C926" s="2"/>
      <c r="J926" s="3"/>
      <c r="K926" s="4"/>
    </row>
    <row r="927" spans="2:11" ht="12.75">
      <c r="B927" s="1"/>
      <c r="C927" s="2"/>
      <c r="J927" s="3"/>
      <c r="K927" s="4"/>
    </row>
    <row r="928" spans="2:11" ht="12.75">
      <c r="B928" s="1"/>
      <c r="C928" s="2"/>
      <c r="J928" s="3"/>
      <c r="K928" s="4"/>
    </row>
    <row r="929" spans="2:11" ht="12.75">
      <c r="B929" s="1"/>
      <c r="C929" s="2"/>
      <c r="J929" s="3"/>
      <c r="K929" s="4"/>
    </row>
    <row r="930" spans="2:11" ht="12.75">
      <c r="B930" s="1"/>
      <c r="C930" s="2"/>
      <c r="J930" s="3"/>
      <c r="K930" s="4"/>
    </row>
    <row r="931" spans="2:11" ht="12.75">
      <c r="B931" s="1"/>
      <c r="C931" s="2"/>
      <c r="J931" s="3"/>
      <c r="K931" s="4"/>
    </row>
    <row r="932" spans="2:11" ht="12.75">
      <c r="B932" s="1"/>
      <c r="C932" s="2"/>
      <c r="J932" s="3"/>
      <c r="K932" s="4"/>
    </row>
    <row r="933" spans="2:11" ht="12.75">
      <c r="B933" s="1"/>
      <c r="C933" s="2"/>
      <c r="J933" s="3"/>
      <c r="K933" s="4"/>
    </row>
    <row r="934" spans="2:11" ht="12.75">
      <c r="B934" s="1"/>
      <c r="C934" s="2"/>
      <c r="J934" s="3"/>
      <c r="K934" s="4"/>
    </row>
    <row r="935" spans="2:11" ht="12.75">
      <c r="B935" s="1"/>
      <c r="C935" s="2"/>
      <c r="J935" s="3"/>
      <c r="K935" s="4"/>
    </row>
    <row r="936" spans="2:11" ht="12.75">
      <c r="B936" s="1"/>
      <c r="C936" s="2"/>
      <c r="J936" s="3"/>
      <c r="K936" s="4"/>
    </row>
    <row r="937" spans="2:11" ht="12.75">
      <c r="B937" s="1"/>
      <c r="C937" s="2"/>
      <c r="J937" s="3"/>
      <c r="K937" s="4"/>
    </row>
    <row r="938" spans="2:11" ht="12.75">
      <c r="B938" s="1"/>
      <c r="C938" s="2"/>
      <c r="J938" s="3"/>
      <c r="K938" s="4"/>
    </row>
    <row r="939" spans="2:11" ht="12.75">
      <c r="B939" s="1"/>
      <c r="C939" s="2"/>
      <c r="J939" s="3"/>
      <c r="K939" s="4"/>
    </row>
    <row r="940" spans="2:11" ht="12.75">
      <c r="B940" s="1"/>
      <c r="C940" s="2"/>
      <c r="J940" s="3"/>
      <c r="K940" s="4"/>
    </row>
    <row r="941" spans="2:11" ht="12.75">
      <c r="B941" s="1"/>
      <c r="C941" s="2"/>
      <c r="J941" s="3"/>
      <c r="K941" s="4"/>
    </row>
    <row r="942" spans="2:11" ht="12.75">
      <c r="B942" s="1"/>
      <c r="C942" s="2"/>
      <c r="J942" s="3"/>
      <c r="K942" s="4"/>
    </row>
    <row r="943" spans="2:11" ht="12.75">
      <c r="B943" s="1"/>
      <c r="C943" s="2"/>
      <c r="J943" s="3"/>
      <c r="K943" s="4"/>
    </row>
    <row r="944" spans="2:11" ht="12.75">
      <c r="B944" s="1"/>
      <c r="C944" s="2"/>
      <c r="J944" s="3"/>
      <c r="K944" s="4"/>
    </row>
    <row r="945" spans="2:11" ht="12.75">
      <c r="B945" s="1"/>
      <c r="C945" s="2"/>
      <c r="J945" s="3"/>
      <c r="K945" s="4"/>
    </row>
    <row r="946" spans="2:11" ht="12.75">
      <c r="B946" s="1"/>
      <c r="C946" s="2"/>
      <c r="J946" s="3"/>
      <c r="K946" s="4"/>
    </row>
    <row r="947" spans="2:11" ht="12.75">
      <c r="B947" s="1"/>
      <c r="C947" s="2"/>
      <c r="J947" s="3"/>
      <c r="K947" s="4"/>
    </row>
    <row r="948" spans="2:11" ht="12.75">
      <c r="B948" s="1"/>
      <c r="C948" s="2"/>
      <c r="J948" s="3"/>
      <c r="K948" s="4"/>
    </row>
    <row r="949" spans="2:11" ht="12.75">
      <c r="B949" s="1"/>
      <c r="C949" s="2"/>
      <c r="J949" s="3"/>
      <c r="K949" s="4"/>
    </row>
    <row r="950" spans="2:11" ht="12.75">
      <c r="B950" s="1"/>
      <c r="C950" s="2"/>
      <c r="J950" s="3"/>
      <c r="K950" s="4"/>
    </row>
    <row r="951" spans="2:11" ht="12.75">
      <c r="B951" s="1"/>
      <c r="C951" s="2"/>
      <c r="J951" s="3"/>
      <c r="K951" s="4"/>
    </row>
    <row r="952" spans="2:11" ht="12.75">
      <c r="B952" s="1"/>
      <c r="C952" s="2"/>
      <c r="J952" s="3"/>
      <c r="K952" s="4"/>
    </row>
    <row r="953" spans="2:11" ht="12.75">
      <c r="B953" s="1"/>
      <c r="C953" s="2"/>
      <c r="J953" s="3"/>
      <c r="K953" s="4"/>
    </row>
    <row r="954" spans="2:11" ht="12.75">
      <c r="B954" s="1"/>
      <c r="C954" s="2"/>
      <c r="J954" s="3"/>
      <c r="K954" s="4"/>
    </row>
    <row r="955" spans="2:11" ht="12.75">
      <c r="B955" s="1"/>
      <c r="C955" s="2"/>
      <c r="J955" s="3"/>
      <c r="K955" s="4"/>
    </row>
    <row r="956" spans="2:11" ht="12.75">
      <c r="B956" s="1"/>
      <c r="C956" s="2"/>
      <c r="J956" s="3"/>
      <c r="K956" s="4"/>
    </row>
    <row r="957" spans="2:11" ht="12.75">
      <c r="B957" s="1"/>
      <c r="C957" s="2"/>
      <c r="J957" s="3"/>
      <c r="K957" s="4"/>
    </row>
    <row r="958" spans="2:11" ht="12.75">
      <c r="B958" s="1"/>
      <c r="C958" s="2"/>
      <c r="J958" s="3"/>
      <c r="K958" s="4"/>
    </row>
    <row r="959" spans="2:11" ht="12.75">
      <c r="B959" s="1"/>
      <c r="C959" s="2"/>
      <c r="J959" s="3"/>
      <c r="K959" s="4"/>
    </row>
    <row r="960" spans="2:11" ht="12.75">
      <c r="B960" s="1"/>
      <c r="C960" s="2"/>
      <c r="J960" s="3"/>
      <c r="K960" s="4"/>
    </row>
    <row r="961" spans="2:11" ht="12.75">
      <c r="B961" s="1"/>
      <c r="C961" s="2"/>
      <c r="J961" s="3"/>
      <c r="K961" s="4"/>
    </row>
    <row r="962" spans="2:11" ht="12.75">
      <c r="B962" s="1"/>
      <c r="C962" s="2"/>
      <c r="J962" s="3"/>
      <c r="K962" s="4"/>
    </row>
  </sheetData>
  <mergeCells count="1">
    <mergeCell ref="I13:K13"/>
  </mergeCells>
  <pageMargins left="0.7" right="0.7" top="0.75" bottom="0.75" header="0.3" footer="0.3"/>
  <pageSetup paperSize="9" scale="44"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7E764-1D8A-4B9C-B7DF-AC4092AFB433}">
  <dimension ref="A20:K55"/>
  <sheetViews>
    <sheetView showGridLines="0" zoomScale="115" zoomScaleNormal="115" workbookViewId="0" tabSelected="true"/>
  </sheetViews>
  <sheetFormatPr baseColWidth="10" defaultRowHeight="12.75"/>
  <cols>
    <col min="1" max="1" customWidth="true" width="1.140625" collapsed="true"/>
    <col min="2" max="2" customWidth="true" width="36.5703125" collapsed="true"/>
    <col min="3" max="3" customWidth="true" width="5.42578125" collapsed="true"/>
    <col min="4" max="4" customWidth="true" width="48.5703125" collapsed="true"/>
    <col min="5" max="5" customWidth="true" width="6.42578125" collapsed="true"/>
    <col min="6" max="6" customWidth="true" width="2.5703125" collapsed="true"/>
    <col min="7" max="7" customWidth="true" width="48.42578125" collapsed="true"/>
    <col min="8" max="8" customWidth="true" width="6.42578125" collapsed="true"/>
    <col min="9" max="9" customWidth="true" width="3.140625" collapsed="true"/>
    <col min="10" max="10" customWidth="true" width="48.5703125" collapsed="true"/>
    <col min="11" max="11" customWidth="true" width="6.42578125" collapsed="true"/>
  </cols>
  <sheetData>
    <row r="20" spans="2:11" ht="15.75">
      <c r="B20" s="34" t="s">
        <v>134</v>
      </c>
      <c r="C20" s="36" t="s">
        <v>156</v>
      </c>
    </row>
    <row r="21" spans="2:11" ht="15.75">
      <c r="B21" s="34" t="s">
        <v>130</v>
      </c>
      <c r="C21" s="36" t="s">
        <v>199</v>
      </c>
    </row>
    <row r="22" spans="2:11" ht="15.75">
      <c r="B22" s="34" t="s">
        <v>137</v>
      </c>
      <c r="C22" s="36" t="s">
        <v>200</v>
      </c>
    </row>
    <row r="23" spans="2:11" ht="30" customHeight="1" thickBot="1">
      <c r="B23" s="34" t="s">
        <v>131</v>
      </c>
      <c r="C23" s="36" t="s">
        <v>201</v>
      </c>
      <c r="J23" s="16" t="s">
        <v>93</v>
      </c>
      <c r="K23" s="59" t="str">
        <f>IFERROR(AVERAGE(E27,E35,H27,H35,K27,K35),"-")</f>
        <v>-</v>
      </c>
    </row>
    <row r="24" spans="2:11" ht="16.5" customHeight="1">
      <c r="B24" s="35" t="s">
        <v>133</v>
      </c>
      <c r="C24" s="36" t="s">
        <v>202</v>
      </c>
      <c r="E24" s="31"/>
    </row>
    <row r="25" spans="2:11" ht="15.75">
      <c r="B25" s="34" t="s">
        <v>132</v>
      </c>
      <c r="C25" s="36" t="s">
        <v>203</v>
      </c>
    </row>
    <row r="26" spans="2:11" ht="21.75" customHeight="1"/>
    <row r="27" spans="2:11" ht="46.5" customHeight="1" thickBot="1">
      <c r="B27" s="37" t="s">
        <v>135</v>
      </c>
      <c r="D27" s="16" t="s">
        <v>31</v>
      </c>
      <c r="E27" s="41" t="str">
        <f>IFERROR(AVERAGE(E29:E32),"-")</f>
        <v>-</v>
      </c>
      <c r="G27" s="16" t="s">
        <v>29</v>
      </c>
      <c r="H27" s="41" t="str">
        <f>IFERROR(AVERAGE(H29:H31),"-")</f>
        <v>-</v>
      </c>
      <c r="J27" s="17" t="s">
        <v>33</v>
      </c>
      <c r="K27" s="41" t="str">
        <f>IFERROR(AVERAGE(K29:K32),"-")</f>
        <v>-</v>
      </c>
    </row>
    <row r="28" spans="2:11" ht="15">
      <c r="D28" s="14"/>
      <c r="E28" s="10"/>
      <c r="G28" s="15"/>
      <c r="J28" s="30"/>
    </row>
    <row r="29" spans="2:11" ht="51.75" customHeight="1">
      <c r="B29" s="26"/>
      <c r="D29" s="13" t="s">
        <v>26</v>
      </c>
      <c r="E29" s="60" t="str">
        <f>IFERROR(AVERAGE(_DinamicaProm!B6:B400),"-")</f>
        <v>-</v>
      </c>
      <c r="G29" s="13" t="s">
        <v>10</v>
      </c>
      <c r="H29" s="60" t="str">
        <f>IFERROR(AVERAGE(_DinamicaProm!F6:F400),"-")</f>
        <v>-</v>
      </c>
      <c r="J29" s="13" t="s">
        <v>16</v>
      </c>
      <c r="K29" s="60" t="str">
        <f>IFERROR(AVERAGE(_DinamicaProm!I6:I400),"-")</f>
        <v>-</v>
      </c>
    </row>
    <row r="30" spans="2:11" ht="32.25" customHeight="1">
      <c r="B30" s="26"/>
      <c r="D30" s="13" t="s">
        <v>4</v>
      </c>
      <c r="E30" s="60" t="str">
        <f>IFERROR(AVERAGE(_DinamicaProm!C6:C400),"-")</f>
        <v>-</v>
      </c>
      <c r="G30" s="13" t="s">
        <v>12</v>
      </c>
      <c r="H30" s="60" t="str">
        <f>IFERROR(AVERAGE(_DinamicaProm!G6:G400),"-")</f>
        <v>-</v>
      </c>
      <c r="J30" s="13" t="s">
        <v>18</v>
      </c>
      <c r="K30" s="60" t="str">
        <f>IFERROR(AVERAGE(_DinamicaProm!J6:J400),"-")</f>
        <v>-</v>
      </c>
    </row>
    <row r="31" spans="2:11" ht="42" customHeight="1">
      <c r="B31" s="26"/>
      <c r="D31" s="13" t="s">
        <v>6</v>
      </c>
      <c r="E31" s="60" t="str">
        <f>IFERROR(AVERAGE(_DinamicaProm!D6:D400),"-")</f>
        <v>-</v>
      </c>
      <c r="G31" s="13" t="s">
        <v>14</v>
      </c>
      <c r="H31" s="60" t="str">
        <f>IFERROR(AVERAGE(_DinamicaProm!H6:H400),"-")</f>
        <v>-</v>
      </c>
      <c r="J31" s="13" t="s">
        <v>28</v>
      </c>
      <c r="K31" s="60" t="str">
        <f>IFERROR(AVERAGE(_DinamicaProm!K6:K400),"-")</f>
        <v>-</v>
      </c>
    </row>
    <row r="32" spans="2:11" ht="38.25">
      <c r="B32" s="26"/>
      <c r="D32" s="13" t="s">
        <v>7</v>
      </c>
      <c r="E32" s="60" t="str">
        <f>IFERROR(AVERAGE(_DinamicaProm!E6:E400),"-")</f>
        <v>-</v>
      </c>
      <c r="J32" s="13" t="s">
        <v>21</v>
      </c>
      <c r="K32" s="60" t="str">
        <f>IFERROR(AVERAGE(_DinamicaProm!L6:L400),"-")</f>
        <v>-</v>
      </c>
    </row>
    <row r="33" spans="2:11">
      <c r="B33" s="32"/>
    </row>
    <row r="34" spans="2:11">
      <c r="B34" s="63" t="s">
        <v>136</v>
      </c>
      <c r="G34" s="13"/>
    </row>
    <row r="35" spans="2:11" ht="34.5" customHeight="1" thickBot="1">
      <c r="B35" s="63"/>
      <c r="D35" s="16" t="s">
        <v>32</v>
      </c>
      <c r="E35" s="41" t="str">
        <f>IFERROR(AVERAGE(E37:E41),"-")</f>
        <v>-</v>
      </c>
      <c r="G35" s="16" t="s">
        <v>34</v>
      </c>
      <c r="H35" s="41" t="str">
        <f>IFERROR(AVERAGE(H37:H40),"-")</f>
        <v>-</v>
      </c>
      <c r="J35" s="16" t="s">
        <v>30</v>
      </c>
      <c r="K35" s="41" t="str">
        <f>IFERROR(AVERAGE(K37:K38),"-")</f>
        <v>-</v>
      </c>
    </row>
    <row r="36" spans="2:11" ht="15" customHeight="1">
      <c r="B36" s="63"/>
      <c r="G36" s="15"/>
      <c r="J36" s="15"/>
    </row>
    <row r="37" spans="2:11" ht="25.5">
      <c r="B37" s="63"/>
      <c r="D37" s="13" t="s">
        <v>3</v>
      </c>
      <c r="E37" s="60" t="str">
        <f>IFERROR(AVERAGE(_DinamicaProm!M6:M400),"-")</f>
        <v>-</v>
      </c>
      <c r="G37" s="13" t="s">
        <v>11</v>
      </c>
      <c r="H37" s="60" t="str">
        <f>IFERROR(AVERAGE(_DinamicaProm!R6:R400),"-")</f>
        <v>-</v>
      </c>
      <c r="J37" s="13" t="s">
        <v>19</v>
      </c>
      <c r="K37" s="60" t="str">
        <f>IFERROR(AVERAGE(_DinamicaProm!V6:V400),"-")</f>
        <v>-</v>
      </c>
    </row>
    <row r="38" spans="2:11" ht="43.5" customHeight="1">
      <c r="B38" s="63"/>
      <c r="D38" s="13" t="s">
        <v>5</v>
      </c>
      <c r="E38" s="60" t="str">
        <f>IFERROR(AVERAGE(_DinamicaProm!N6:N400),"-")</f>
        <v>-</v>
      </c>
      <c r="G38" s="13" t="s">
        <v>13</v>
      </c>
      <c r="H38" s="60" t="str">
        <f>IFERROR(AVERAGE(_DinamicaProm!S6:S400),"-")</f>
        <v>-</v>
      </c>
      <c r="J38" s="13" t="s">
        <v>20</v>
      </c>
      <c r="K38" s="60" t="str">
        <f>IFERROR(AVERAGE(_DinamicaProm!W6:W400),"-")</f>
        <v>-</v>
      </c>
    </row>
    <row r="39" spans="2:11" ht="37.5" customHeight="1">
      <c r="B39" s="63"/>
      <c r="D39" s="13" t="s">
        <v>27</v>
      </c>
      <c r="E39" s="60" t="str">
        <f>IFERROR(AVERAGE(_DinamicaProm!O6:O400),"-")</f>
        <v>-</v>
      </c>
      <c r="G39" s="13" t="s">
        <v>15</v>
      </c>
      <c r="H39" s="60" t="str">
        <f>IFERROR(AVERAGE(_DinamicaProm!T6:T400),"-")</f>
        <v>-</v>
      </c>
    </row>
    <row r="40" spans="2:11" ht="46.5" customHeight="1">
      <c r="B40" s="33"/>
      <c r="D40" s="29" t="s">
        <v>8</v>
      </c>
      <c r="E40" s="60" t="str">
        <f>IFERROR(AVERAGE(_DinamicaProm!P6:P400),"-")</f>
        <v>-</v>
      </c>
      <c r="G40" s="13" t="s">
        <v>17</v>
      </c>
      <c r="H40" s="60" t="str">
        <f>IFERROR(AVERAGE(_DinamicaProm!U6:U400),"-")</f>
        <v>-</v>
      </c>
    </row>
    <row r="41" spans="2:11" ht="42" customHeight="1">
      <c r="D41" s="13" t="s">
        <v>9</v>
      </c>
      <c r="E41" s="60" t="str">
        <f>IFERROR(AVERAGE(_DinamicaProm!Q6:Q400),"-")</f>
        <v>-</v>
      </c>
      <c r="H41" s="13"/>
    </row>
    <row r="42" spans="2:11" ht="39" customHeight="1"/>
    <row r="43" spans="2:11" ht="25.5" customHeight="1"/>
    <row r="44" spans="2:11" ht="27" customHeight="1">
      <c r="D44" s="27"/>
    </row>
    <row r="46" spans="2:11" ht="6" customHeight="1"/>
    <row r="47" spans="2:11">
      <c r="D47" s="42"/>
    </row>
    <row r="50" ht="36.75" customHeight="1"/>
    <row r="51" ht="27" customHeight="1"/>
    <row r="53" ht="6" customHeight="1"/>
    <row r="54" ht="16.5" customHeight="1"/>
    <row r="55" ht="16.5" customHeight="1"/>
  </sheetData>
  <mergeCells count="1">
    <mergeCell ref="B34:B39"/>
  </mergeCells>
  <conditionalFormatting sqref="K23 E27 H27 K27 H29:H31 E29:E32 K29:K32 E35 H35 K35 K37:K38 H37:H40 E37:E41">
    <cfRule type="cellIs" dxfId="9" priority="1" operator="notBetween">
      <formula>1</formula>
      <formula>5</formula>
    </cfRule>
    <cfRule type="expression" dxfId="8" priority="2">
      <formula>ROUND(E23,1)&lt;3.5</formula>
    </cfRule>
    <cfRule type="expression" dxfId="7" priority="3">
      <formula>AND(ROUND(E23,1)&gt;=3.5,ROUND(E23,1)&lt;4)</formula>
    </cfRule>
    <cfRule type="expression" dxfId="6" priority="4">
      <formula>AND(ROUND(E23,1)&gt;=4,ROUND(E23,1)&lt;4.5)</formula>
    </cfRule>
    <cfRule type="expression" dxfId="5" priority="5">
      <formula>ROUND(E23,1)&gt;=4.5</formula>
    </cfRule>
  </conditionalFormatting>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5C1E2-CBA8-4D1A-9B7F-54B3B776C63B}">
  <sheetPr codeName="Hoja4"/>
  <dimension ref="A18:AX35"/>
  <sheetViews>
    <sheetView showGridLines="0" zoomScale="130" zoomScaleNormal="130" workbookViewId="0" tabSelected="false"/>
  </sheetViews>
  <sheetFormatPr baseColWidth="10" defaultColWidth="11.42578125" defaultRowHeight="12.75"/>
  <cols>
    <col min="1" max="1" customWidth="true" width="15.5703125" collapsed="true"/>
    <col min="3" max="3" customWidth="true" width="12.28515625" collapsed="true"/>
    <col min="4" max="4" customWidth="true" width="18.140625" collapsed="true"/>
    <col min="9" max="9" customWidth="true" width="12.85546875" collapsed="true"/>
    <col min="10" max="10" customWidth="true" width="23.5703125" collapsed="true"/>
    <col min="11" max="11" customWidth="true" width="19.85546875" collapsed="true"/>
    <col min="12" max="12" customWidth="true" width="18.28515625" collapsed="true"/>
    <col min="13" max="13" customWidth="true" width="14.42578125" collapsed="true"/>
    <col min="14" max="14" customWidth="true" width="12.42578125" collapsed="true"/>
    <col min="15" max="15" customWidth="true" width="11.42578125" collapsed="true"/>
    <col min="16" max="16" customWidth="true" width="14.85546875" collapsed="true"/>
    <col min="17" max="17" customWidth="true" width="16.5703125" collapsed="true"/>
    <col min="18" max="22" customWidth="true" width="27.85546875" collapsed="true"/>
    <col min="23" max="36" customWidth="true" width="25.85546875" collapsed="true"/>
    <col min="37" max="38" customWidth="true" width="24.85546875" collapsed="true"/>
    <col min="39" max="46" customWidth="true" width="25.85546875" collapsed="true"/>
    <col min="47" max="47" customWidth="true" width="31.0" collapsed="true"/>
    <col min="48" max="50" customWidth="true" width="25.85546875" collapsed="true"/>
  </cols>
  <sheetData>
    <row r="18" spans="1:50">
      <c r="A18" s="5" t="s">
        <v>148</v>
      </c>
    </row>
    <row r="19" spans="1:50" s="19" customFormat="1" ht="27.75" customHeight="1">
      <c r="L19" s="69" t="s">
        <v>83</v>
      </c>
      <c r="M19" s="71"/>
      <c r="N19" s="71"/>
      <c r="O19" s="70"/>
      <c r="P19" s="69" t="s">
        <v>84</v>
      </c>
      <c r="Q19" s="70"/>
      <c r="R19" s="64" t="s">
        <v>31</v>
      </c>
      <c r="S19" s="65"/>
      <c r="T19" s="65"/>
      <c r="U19" s="65"/>
      <c r="V19" s="66"/>
      <c r="W19" s="64" t="s">
        <v>29</v>
      </c>
      <c r="X19" s="65"/>
      <c r="Y19" s="66"/>
      <c r="Z19" s="64" t="s">
        <v>33</v>
      </c>
      <c r="AA19" s="65"/>
      <c r="AB19" s="65"/>
      <c r="AC19" s="65"/>
      <c r="AD19" s="66"/>
      <c r="AE19" s="64" t="s">
        <v>32</v>
      </c>
      <c r="AF19" s="65"/>
      <c r="AG19" s="65"/>
      <c r="AH19" s="65"/>
      <c r="AI19" s="65"/>
      <c r="AJ19" s="65"/>
      <c r="AK19" s="66"/>
      <c r="AL19" s="64" t="s">
        <v>34</v>
      </c>
      <c r="AM19" s="65"/>
      <c r="AN19" s="65"/>
      <c r="AO19" s="65"/>
      <c r="AP19" s="66"/>
      <c r="AQ19" s="67" t="s">
        <v>30</v>
      </c>
      <c r="AR19" s="67"/>
      <c r="AS19" s="67"/>
      <c r="AT19" s="67"/>
      <c r="AU19" s="67"/>
      <c r="AV19" s="68"/>
      <c r="AW19" s="68"/>
      <c r="AX19" s="68"/>
    </row>
    <row r="20" spans="1:50" ht="144" customHeight="1">
      <c r="A20" s="38" t="s">
        <v>35</v>
      </c>
      <c r="B20" s="38" t="s">
        <v>36</v>
      </c>
      <c r="C20" s="38" t="s">
        <v>37</v>
      </c>
      <c r="D20" s="38" t="s">
        <v>38</v>
      </c>
      <c r="E20" s="38" t="s">
        <v>39</v>
      </c>
      <c r="F20" s="38" t="s">
        <v>40</v>
      </c>
      <c r="G20" s="38" t="s">
        <v>41</v>
      </c>
      <c r="H20" s="38" t="s">
        <v>42</v>
      </c>
      <c r="I20" s="38" t="s">
        <v>94</v>
      </c>
      <c r="J20" s="38" t="s">
        <v>43</v>
      </c>
      <c r="K20" s="38" t="s">
        <v>44</v>
      </c>
      <c r="L20" s="38" t="s">
        <v>45</v>
      </c>
      <c r="M20" s="38" t="s">
        <v>46</v>
      </c>
      <c r="N20" s="39" t="s">
        <v>47</v>
      </c>
      <c r="O20" s="38" t="s">
        <v>48</v>
      </c>
      <c r="P20" s="38" t="s">
        <v>125</v>
      </c>
      <c r="Q20" s="39" t="s">
        <v>49</v>
      </c>
      <c r="R20" s="38" t="s">
        <v>50</v>
      </c>
      <c r="S20" s="38" t="s">
        <v>51</v>
      </c>
      <c r="T20" s="38" t="s">
        <v>52</v>
      </c>
      <c r="U20" s="39" t="s">
        <v>53</v>
      </c>
      <c r="V20" s="38" t="s">
        <v>54</v>
      </c>
      <c r="W20" s="38" t="s">
        <v>55</v>
      </c>
      <c r="X20" s="38" t="s">
        <v>56</v>
      </c>
      <c r="Y20" s="38" t="s">
        <v>57</v>
      </c>
      <c r="Z20" s="38" t="s">
        <v>58</v>
      </c>
      <c r="AA20" s="38" t="s">
        <v>59</v>
      </c>
      <c r="AB20" s="38" t="s">
        <v>60</v>
      </c>
      <c r="AC20" s="38" t="s">
        <v>61</v>
      </c>
      <c r="AD20" s="39" t="s">
        <v>62</v>
      </c>
      <c r="AE20" s="38" t="s">
        <v>63</v>
      </c>
      <c r="AF20" s="38" t="s">
        <v>64</v>
      </c>
      <c r="AG20" s="38" t="s">
        <v>65</v>
      </c>
      <c r="AH20" s="38" t="s">
        <v>66</v>
      </c>
      <c r="AI20" s="38" t="s">
        <v>67</v>
      </c>
      <c r="AJ20" s="38" t="s">
        <v>68</v>
      </c>
      <c r="AK20" s="39" t="s">
        <v>69</v>
      </c>
      <c r="AL20" s="38" t="s">
        <v>70</v>
      </c>
      <c r="AM20" s="38" t="s">
        <v>71</v>
      </c>
      <c r="AN20" s="38" t="s">
        <v>72</v>
      </c>
      <c r="AO20" s="38" t="s">
        <v>73</v>
      </c>
      <c r="AP20" s="39" t="s">
        <v>74</v>
      </c>
      <c r="AQ20" s="38" t="s">
        <v>75</v>
      </c>
      <c r="AR20" s="38" t="s">
        <v>76</v>
      </c>
      <c r="AS20" s="39" t="s">
        <v>77</v>
      </c>
      <c r="AT20" s="39" t="s">
        <v>78</v>
      </c>
      <c r="AU20" s="39" t="s">
        <v>79</v>
      </c>
      <c r="AV20" s="38" t="s">
        <v>80</v>
      </c>
      <c r="AW20" s="38" t="s">
        <v>81</v>
      </c>
      <c r="AX20" s="39" t="s">
        <v>82</v>
      </c>
    </row>
    <row r="21" spans="1:50">
      <c r="A21" t="s">
        <v>149</v>
      </c>
      <c r="B21" t="s">
        <v>150</v>
      </c>
      <c r="C21" t="n">
        <v>31008.0</v>
      </c>
      <c r="D21" t="s">
        <v>151</v>
      </c>
      <c r="E21" t="s">
        <v>152</v>
      </c>
      <c r="F21" t="s">
        <v>153</v>
      </c>
      <c r="G21" s="28" t="s">
        <v>154</v>
      </c>
      <c r="H21" t="s">
        <v>155</v>
      </c>
      <c r="I21" s="28" t="s">
        <v>156</v>
      </c>
      <c r="J21" t="s">
        <v>157</v>
      </c>
      <c r="K21" t="s">
        <v>95</v>
      </c>
      <c r="L21" t="s">
        <v>158</v>
      </c>
      <c r="M21" t="s">
        <v>158</v>
      </c>
      <c r="N21" t="s">
        <v>158</v>
      </c>
      <c r="O21" t="s">
        <v>158</v>
      </c>
      <c r="P21" t="s">
        <v>159</v>
      </c>
      <c r="Q21" t="s">
        <v>160</v>
      </c>
      <c r="R21" t="s">
        <v>161</v>
      </c>
      <c r="S21" t="s">
        <v>161</v>
      </c>
      <c r="T21" t="s">
        <v>161</v>
      </c>
      <c r="U21" t="s">
        <v>160</v>
      </c>
      <c r="V21" t="s">
        <v>162</v>
      </c>
      <c r="W21" t="s">
        <v>161</v>
      </c>
      <c r="X21" t="s">
        <v>161</v>
      </c>
      <c r="Y21" t="s">
        <v>161</v>
      </c>
      <c r="Z21" t="s">
        <v>161</v>
      </c>
      <c r="AA21" t="s">
        <v>161</v>
      </c>
      <c r="AB21" t="s">
        <v>161</v>
      </c>
      <c r="AC21" t="s">
        <v>161</v>
      </c>
      <c r="AD21" t="s">
        <v>160</v>
      </c>
      <c r="AE21" t="s">
        <v>163</v>
      </c>
      <c r="AF21" t="s">
        <v>161</v>
      </c>
      <c r="AG21" t="s">
        <v>161</v>
      </c>
      <c r="AH21" t="s">
        <v>161</v>
      </c>
      <c r="AI21" t="s">
        <v>161</v>
      </c>
      <c r="AJ21" t="s">
        <v>161</v>
      </c>
      <c r="AK21" t="s">
        <v>160</v>
      </c>
      <c r="AL21" t="s">
        <v>161</v>
      </c>
      <c r="AM21" t="s">
        <v>161</v>
      </c>
      <c r="AN21" t="s">
        <v>161</v>
      </c>
      <c r="AO21" t="s">
        <v>161</v>
      </c>
      <c r="AP21" t="s">
        <v>160</v>
      </c>
      <c r="AQ21" t="s">
        <v>161</v>
      </c>
      <c r="AR21" t="s">
        <v>161</v>
      </c>
      <c r="AS21" t="s">
        <v>160</v>
      </c>
      <c r="AT21" t="s">
        <v>160</v>
      </c>
      <c r="AU21" t="s">
        <v>160</v>
      </c>
      <c r="AV21" t="s">
        <v>164</v>
      </c>
      <c r="AW21" t="s">
        <v>158</v>
      </c>
      <c r="AX21" t="s">
        <v>158</v>
      </c>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row>
    <row r="22" spans="1:50">
      <c r="A22" s="0" t="s">
        <v>149</v>
      </c>
      <c r="B22" s="0" t="s">
        <v>150</v>
      </c>
      <c r="C22" s="0" t="n">
        <v>31009.0</v>
      </c>
      <c r="D22" s="0" t="s">
        <v>151</v>
      </c>
      <c r="E22" s="0" t="s">
        <v>152</v>
      </c>
      <c r="F22" s="0" t="s">
        <v>153</v>
      </c>
      <c r="G22" s="28" t="s">
        <v>154</v>
      </c>
      <c r="H22" s="0" t="s">
        <v>155</v>
      </c>
      <c r="I22" s="28" t="s">
        <v>156</v>
      </c>
      <c r="J22" s="0" t="s">
        <v>157</v>
      </c>
      <c r="K22" s="0" t="s">
        <v>95</v>
      </c>
      <c r="L22" s="0" t="s">
        <v>158</v>
      </c>
      <c r="M22" s="0" t="s">
        <v>158</v>
      </c>
      <c r="N22" s="0" t="s">
        <v>158</v>
      </c>
      <c r="O22" s="0" t="s">
        <v>158</v>
      </c>
      <c r="P22" s="0" t="s">
        <v>165</v>
      </c>
      <c r="Q22" s="0" t="s">
        <v>166</v>
      </c>
      <c r="R22" s="0" t="s">
        <v>161</v>
      </c>
      <c r="S22" s="0" t="s">
        <v>161</v>
      </c>
      <c r="T22" s="0" t="s">
        <v>161</v>
      </c>
      <c r="U22" s="0" t="s">
        <v>160</v>
      </c>
      <c r="V22" s="0" t="s">
        <v>161</v>
      </c>
      <c r="W22" s="0" t="s">
        <v>161</v>
      </c>
      <c r="X22" s="0" t="s">
        <v>161</v>
      </c>
      <c r="Y22" s="0" t="s">
        <v>161</v>
      </c>
      <c r="Z22" s="0" t="s">
        <v>161</v>
      </c>
      <c r="AA22" s="0" t="s">
        <v>161</v>
      </c>
      <c r="AB22" s="0" t="s">
        <v>161</v>
      </c>
      <c r="AC22" s="0" t="s">
        <v>161</v>
      </c>
      <c r="AD22" s="0" t="s">
        <v>167</v>
      </c>
      <c r="AE22" s="0" t="s">
        <v>163</v>
      </c>
      <c r="AF22" s="0" t="s">
        <v>161</v>
      </c>
      <c r="AG22" s="0" t="s">
        <v>161</v>
      </c>
      <c r="AH22" s="0" t="s">
        <v>161</v>
      </c>
      <c r="AI22" s="0" t="s">
        <v>161</v>
      </c>
      <c r="AJ22" s="0" t="s">
        <v>161</v>
      </c>
      <c r="AK22" s="0" t="s">
        <v>168</v>
      </c>
      <c r="AL22" s="0" t="s">
        <v>161</v>
      </c>
      <c r="AM22" s="0" t="s">
        <v>161</v>
      </c>
      <c r="AN22" s="0" t="s">
        <v>161</v>
      </c>
      <c r="AO22" s="0" t="s">
        <v>161</v>
      </c>
      <c r="AP22" s="0" t="s">
        <v>169</v>
      </c>
      <c r="AQ22" s="0" t="s">
        <v>161</v>
      </c>
      <c r="AR22" s="0" t="s">
        <v>161</v>
      </c>
      <c r="AS22" s="0" t="s">
        <v>170</v>
      </c>
      <c r="AT22" s="0" t="s">
        <v>171</v>
      </c>
      <c r="AU22" s="0" t="s">
        <v>172</v>
      </c>
      <c r="AV22" s="0" t="s">
        <v>164</v>
      </c>
      <c r="AW22" s="0" t="s">
        <v>158</v>
      </c>
      <c r="AX22" s="0" t="s">
        <v>158</v>
      </c>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c r="BY22" s="0"/>
      <c r="BZ22" s="0"/>
      <c r="CA22" s="0"/>
      <c r="CB22" s="0"/>
      <c r="CC22" s="0"/>
      <c r="CD22" s="0"/>
      <c r="CE22" s="0"/>
      <c r="CF22" s="0"/>
      <c r="CG22" s="0"/>
      <c r="CH22" s="0"/>
      <c r="CI22" s="0"/>
    </row>
    <row r="23" spans="1:50">
      <c r="A23" s="0" t="s">
        <v>149</v>
      </c>
      <c r="B23" s="0" t="s">
        <v>150</v>
      </c>
      <c r="C23" s="0" t="n">
        <v>31010.0</v>
      </c>
      <c r="D23" s="0" t="s">
        <v>151</v>
      </c>
      <c r="E23" s="0" t="s">
        <v>152</v>
      </c>
      <c r="F23" s="0" t="s">
        <v>153</v>
      </c>
      <c r="G23" s="28" t="s">
        <v>154</v>
      </c>
      <c r="H23" s="0" t="s">
        <v>155</v>
      </c>
      <c r="I23" s="28" t="s">
        <v>156</v>
      </c>
      <c r="J23" s="0" t="s">
        <v>157</v>
      </c>
      <c r="K23" s="0" t="s">
        <v>95</v>
      </c>
      <c r="L23" s="0" t="s">
        <v>158</v>
      </c>
      <c r="M23" s="0" t="s">
        <v>158</v>
      </c>
      <c r="N23" s="0" t="s">
        <v>158</v>
      </c>
      <c r="O23" s="0" t="s">
        <v>158</v>
      </c>
      <c r="P23" s="0" t="s">
        <v>173</v>
      </c>
      <c r="Q23" s="0" t="s">
        <v>174</v>
      </c>
      <c r="R23" s="0" t="s">
        <v>161</v>
      </c>
      <c r="S23" s="0" t="s">
        <v>161</v>
      </c>
      <c r="T23" s="0" t="s">
        <v>161</v>
      </c>
      <c r="U23" s="0" t="s">
        <v>160</v>
      </c>
      <c r="V23" s="0" t="s">
        <v>162</v>
      </c>
      <c r="W23" s="0" t="s">
        <v>161</v>
      </c>
      <c r="X23" s="0" t="s">
        <v>161</v>
      </c>
      <c r="Y23" s="0" t="s">
        <v>161</v>
      </c>
      <c r="Z23" s="0" t="s">
        <v>161</v>
      </c>
      <c r="AA23" s="0" t="s">
        <v>161</v>
      </c>
      <c r="AB23" s="0" t="s">
        <v>161</v>
      </c>
      <c r="AC23" s="0" t="s">
        <v>161</v>
      </c>
      <c r="AD23" s="0" t="s">
        <v>175</v>
      </c>
      <c r="AE23" s="0" t="s">
        <v>163</v>
      </c>
      <c r="AF23" s="0" t="s">
        <v>161</v>
      </c>
      <c r="AG23" s="0" t="s">
        <v>161</v>
      </c>
      <c r="AH23" s="0" t="s">
        <v>161</v>
      </c>
      <c r="AI23" s="0" t="s">
        <v>161</v>
      </c>
      <c r="AJ23" s="0" t="s">
        <v>161</v>
      </c>
      <c r="AK23" s="0" t="s">
        <v>176</v>
      </c>
      <c r="AL23" s="0" t="s">
        <v>161</v>
      </c>
      <c r="AM23" s="0" t="s">
        <v>161</v>
      </c>
      <c r="AN23" s="0" t="s">
        <v>161</v>
      </c>
      <c r="AO23" s="0" t="s">
        <v>161</v>
      </c>
      <c r="AP23" s="0" t="s">
        <v>177</v>
      </c>
      <c r="AQ23" s="0" t="s">
        <v>178</v>
      </c>
      <c r="AR23" s="0" t="s">
        <v>161</v>
      </c>
      <c r="AS23" s="0" t="s">
        <v>179</v>
      </c>
      <c r="AT23" s="0" t="s">
        <v>180</v>
      </c>
      <c r="AU23" s="0" t="s">
        <v>181</v>
      </c>
      <c r="AV23" s="0" t="s">
        <v>164</v>
      </c>
      <c r="AW23" s="0" t="s">
        <v>158</v>
      </c>
      <c r="AX23" s="0" t="s">
        <v>158</v>
      </c>
      <c r="AY23" s="0"/>
      <c r="AZ23" s="0"/>
      <c r="BA23" s="0"/>
      <c r="BB23" s="0"/>
      <c r="BC23" s="0"/>
      <c r="BD23" s="0"/>
      <c r="BE23" s="0"/>
      <c r="BF23" s="0"/>
      <c r="BG23" s="0"/>
      <c r="BH23" s="0"/>
      <c r="BI23" s="0"/>
      <c r="BJ23" s="0"/>
      <c r="BK23" s="0"/>
      <c r="BL23" s="0"/>
      <c r="BM23" s="0"/>
      <c r="BN23" s="0"/>
      <c r="BO23" s="0"/>
      <c r="BP23" s="0"/>
      <c r="BQ23" s="0"/>
      <c r="BR23" s="0"/>
      <c r="BS23" s="0"/>
      <c r="BT23" s="0"/>
      <c r="BU23" s="0"/>
      <c r="BV23" s="0"/>
      <c r="BW23" s="0"/>
      <c r="BX23" s="0"/>
      <c r="BY23" s="0"/>
      <c r="BZ23" s="0"/>
      <c r="CA23" s="0"/>
      <c r="CB23" s="0"/>
      <c r="CC23" s="0"/>
      <c r="CD23" s="0"/>
      <c r="CE23" s="0"/>
      <c r="CF23" s="0"/>
      <c r="CG23" s="0"/>
      <c r="CH23" s="0"/>
      <c r="CI23" s="0"/>
    </row>
    <row r="24" spans="1:50">
      <c r="A24" s="0" t="s">
        <v>149</v>
      </c>
      <c r="B24" s="0" t="s">
        <v>150</v>
      </c>
      <c r="C24" s="0" t="n">
        <v>31011.0</v>
      </c>
      <c r="D24" s="0" t="s">
        <v>151</v>
      </c>
      <c r="E24" s="0" t="s">
        <v>152</v>
      </c>
      <c r="F24" s="0" t="s">
        <v>153</v>
      </c>
      <c r="G24" s="28" t="s">
        <v>154</v>
      </c>
      <c r="H24" s="0" t="s">
        <v>155</v>
      </c>
      <c r="I24" s="28" t="s">
        <v>156</v>
      </c>
      <c r="J24" s="0" t="s">
        <v>182</v>
      </c>
      <c r="K24" s="0" t="s">
        <v>140</v>
      </c>
      <c r="L24" s="0" t="s">
        <v>158</v>
      </c>
      <c r="M24" s="0" t="s">
        <v>158</v>
      </c>
      <c r="N24" s="0" t="s">
        <v>158</v>
      </c>
      <c r="O24" s="0" t="s">
        <v>158</v>
      </c>
      <c r="P24" s="0" t="s">
        <v>158</v>
      </c>
      <c r="Q24" s="0" t="s">
        <v>158</v>
      </c>
      <c r="R24" s="0" t="s">
        <v>158</v>
      </c>
      <c r="S24" s="0" t="s">
        <v>158</v>
      </c>
      <c r="T24" s="0" t="s">
        <v>158</v>
      </c>
      <c r="U24" s="0" t="s">
        <v>158</v>
      </c>
      <c r="V24" s="0" t="s">
        <v>158</v>
      </c>
      <c r="W24" s="0" t="s">
        <v>158</v>
      </c>
      <c r="X24" s="0" t="s">
        <v>158</v>
      </c>
      <c r="Y24" s="0" t="s">
        <v>158</v>
      </c>
      <c r="Z24" s="0" t="s">
        <v>158</v>
      </c>
      <c r="AA24" s="0" t="s">
        <v>158</v>
      </c>
      <c r="AB24" s="0" t="s">
        <v>158</v>
      </c>
      <c r="AC24" s="0" t="s">
        <v>158</v>
      </c>
      <c r="AD24" s="0" t="s">
        <v>158</v>
      </c>
      <c r="AE24" s="0" t="s">
        <v>158</v>
      </c>
      <c r="AF24" s="0" t="s">
        <v>158</v>
      </c>
      <c r="AG24" s="0" t="s">
        <v>158</v>
      </c>
      <c r="AH24" s="0" t="s">
        <v>158</v>
      </c>
      <c r="AI24" s="0" t="s">
        <v>158</v>
      </c>
      <c r="AJ24" s="0" t="s">
        <v>158</v>
      </c>
      <c r="AK24" s="0" t="s">
        <v>158</v>
      </c>
      <c r="AL24" s="0" t="s">
        <v>158</v>
      </c>
      <c r="AM24" s="0" t="s">
        <v>158</v>
      </c>
      <c r="AN24" s="0" t="s">
        <v>158</v>
      </c>
      <c r="AO24" s="0" t="s">
        <v>158</v>
      </c>
      <c r="AP24" s="0" t="s">
        <v>158</v>
      </c>
      <c r="AQ24" s="0" t="s">
        <v>158</v>
      </c>
      <c r="AR24" s="0" t="s">
        <v>158</v>
      </c>
      <c r="AS24" s="0" t="s">
        <v>158</v>
      </c>
      <c r="AT24" s="0" t="s">
        <v>158</v>
      </c>
      <c r="AU24" s="0" t="s">
        <v>158</v>
      </c>
      <c r="AV24" s="0" t="s">
        <v>158</v>
      </c>
      <c r="AW24" s="0" t="s">
        <v>158</v>
      </c>
      <c r="AX24" s="0" t="s">
        <v>158</v>
      </c>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c r="BY24" s="0"/>
      <c r="BZ24" s="0"/>
      <c r="CA24" s="0"/>
      <c r="CB24" s="0"/>
      <c r="CC24" s="0"/>
      <c r="CD24" s="0"/>
      <c r="CE24" s="0"/>
      <c r="CF24" s="0"/>
      <c r="CG24" s="0"/>
      <c r="CH24" s="0"/>
      <c r="CI24" s="0"/>
    </row>
    <row r="25" spans="1:50">
      <c r="A25" s="0" t="s">
        <v>149</v>
      </c>
      <c r="B25" s="0" t="s">
        <v>150</v>
      </c>
      <c r="C25" s="0" t="n">
        <v>31012.0</v>
      </c>
      <c r="D25" s="0" t="s">
        <v>151</v>
      </c>
      <c r="E25" s="0" t="s">
        <v>152</v>
      </c>
      <c r="F25" s="0" t="s">
        <v>153</v>
      </c>
      <c r="G25" s="28" t="s">
        <v>154</v>
      </c>
      <c r="H25" s="0" t="s">
        <v>155</v>
      </c>
      <c r="I25" s="28" t="s">
        <v>156</v>
      </c>
      <c r="J25" s="0" t="s">
        <v>157</v>
      </c>
      <c r="K25" s="0" t="s">
        <v>95</v>
      </c>
      <c r="L25" s="0" t="s">
        <v>158</v>
      </c>
      <c r="M25" s="0" t="s">
        <v>158</v>
      </c>
      <c r="N25" s="0" t="s">
        <v>158</v>
      </c>
      <c r="O25" s="0" t="s">
        <v>158</v>
      </c>
      <c r="P25" s="0" t="s">
        <v>183</v>
      </c>
      <c r="Q25" s="0" t="s">
        <v>184</v>
      </c>
      <c r="R25" s="0" t="s">
        <v>161</v>
      </c>
      <c r="S25" s="0" t="s">
        <v>161</v>
      </c>
      <c r="T25" s="0" t="s">
        <v>161</v>
      </c>
      <c r="U25" s="0" t="s">
        <v>160</v>
      </c>
      <c r="V25" s="0" t="s">
        <v>161</v>
      </c>
      <c r="W25" s="0" t="s">
        <v>161</v>
      </c>
      <c r="X25" s="0" t="s">
        <v>161</v>
      </c>
      <c r="Y25" s="0" t="s">
        <v>161</v>
      </c>
      <c r="Z25" s="0" t="s">
        <v>161</v>
      </c>
      <c r="AA25" s="0" t="s">
        <v>161</v>
      </c>
      <c r="AB25" s="0" t="s">
        <v>161</v>
      </c>
      <c r="AC25" s="0" t="s">
        <v>161</v>
      </c>
      <c r="AD25" s="0" t="s">
        <v>160</v>
      </c>
      <c r="AE25" s="0" t="s">
        <v>163</v>
      </c>
      <c r="AF25" s="0" t="s">
        <v>161</v>
      </c>
      <c r="AG25" s="0" t="s">
        <v>161</v>
      </c>
      <c r="AH25" s="0" t="s">
        <v>161</v>
      </c>
      <c r="AI25" s="0" t="s">
        <v>161</v>
      </c>
      <c r="AJ25" s="0" t="s">
        <v>161</v>
      </c>
      <c r="AK25" s="0" t="s">
        <v>160</v>
      </c>
      <c r="AL25" s="0" t="s">
        <v>161</v>
      </c>
      <c r="AM25" s="0" t="s">
        <v>161</v>
      </c>
      <c r="AN25" s="0" t="s">
        <v>161</v>
      </c>
      <c r="AO25" s="0" t="s">
        <v>161</v>
      </c>
      <c r="AP25" s="0" t="s">
        <v>160</v>
      </c>
      <c r="AQ25" s="0" t="s">
        <v>161</v>
      </c>
      <c r="AR25" s="0" t="s">
        <v>161</v>
      </c>
      <c r="AS25" s="0" t="s">
        <v>160</v>
      </c>
      <c r="AT25" s="0" t="s">
        <v>160</v>
      </c>
      <c r="AU25" s="0" t="s">
        <v>160</v>
      </c>
      <c r="AV25" s="0" t="s">
        <v>164</v>
      </c>
      <c r="AW25" s="0" t="s">
        <v>158</v>
      </c>
      <c r="AX25" s="0" t="s">
        <v>158</v>
      </c>
      <c r="AY25" s="0"/>
      <c r="AZ25" s="0"/>
      <c r="BA25" s="0"/>
      <c r="BB25" s="0"/>
      <c r="BC25" s="0"/>
      <c r="BD25" s="0"/>
      <c r="BE25" s="0"/>
      <c r="BF25" s="0"/>
      <c r="BG25" s="0"/>
      <c r="BH25" s="0"/>
      <c r="BI25" s="0"/>
      <c r="BJ25" s="0"/>
      <c r="BK25" s="0"/>
      <c r="BL25" s="0"/>
      <c r="BM25" s="0"/>
      <c r="BN25" s="0"/>
      <c r="BO25" s="0"/>
      <c r="BP25" s="0"/>
      <c r="BQ25" s="0"/>
      <c r="BR25" s="0"/>
      <c r="BS25" s="0"/>
      <c r="BT25" s="0"/>
      <c r="BU25" s="0"/>
      <c r="BV25" s="0"/>
      <c r="BW25" s="0"/>
      <c r="BX25" s="0"/>
      <c r="BY25" s="0"/>
      <c r="BZ25" s="0"/>
      <c r="CA25" s="0"/>
      <c r="CB25" s="0"/>
      <c r="CC25" s="0"/>
      <c r="CD25" s="0"/>
      <c r="CE25" s="0"/>
      <c r="CF25" s="0"/>
      <c r="CG25" s="0"/>
      <c r="CH25" s="0"/>
      <c r="CI25" s="0"/>
    </row>
    <row r="26" spans="1:50">
      <c r="A26" s="0" t="s">
        <v>149</v>
      </c>
      <c r="B26" s="0" t="s">
        <v>150</v>
      </c>
      <c r="C26" s="0" t="n">
        <v>31013.0</v>
      </c>
      <c r="D26" s="0" t="s">
        <v>151</v>
      </c>
      <c r="E26" s="0" t="s">
        <v>152</v>
      </c>
      <c r="F26" s="0" t="s">
        <v>153</v>
      </c>
      <c r="G26" s="28" t="s">
        <v>154</v>
      </c>
      <c r="H26" s="0" t="s">
        <v>155</v>
      </c>
      <c r="I26" s="28" t="s">
        <v>156</v>
      </c>
      <c r="J26" s="0" t="s">
        <v>157</v>
      </c>
      <c r="K26" s="0" t="s">
        <v>95</v>
      </c>
      <c r="L26" s="0" t="s">
        <v>158</v>
      </c>
      <c r="M26" s="0" t="s">
        <v>158</v>
      </c>
      <c r="N26" s="0" t="s">
        <v>158</v>
      </c>
      <c r="O26" s="0" t="s">
        <v>158</v>
      </c>
      <c r="P26" s="0" t="s">
        <v>185</v>
      </c>
      <c r="Q26" s="0" t="s">
        <v>186</v>
      </c>
      <c r="R26" s="0" t="s">
        <v>161</v>
      </c>
      <c r="S26" s="0" t="s">
        <v>161</v>
      </c>
      <c r="T26" s="0" t="s">
        <v>161</v>
      </c>
      <c r="U26" s="0" t="s">
        <v>160</v>
      </c>
      <c r="V26" s="0" t="s">
        <v>162</v>
      </c>
      <c r="W26" s="0" t="s">
        <v>161</v>
      </c>
      <c r="X26" s="0" t="s">
        <v>161</v>
      </c>
      <c r="Y26" s="0" t="s">
        <v>161</v>
      </c>
      <c r="Z26" s="0" t="s">
        <v>161</v>
      </c>
      <c r="AA26" s="0" t="s">
        <v>161</v>
      </c>
      <c r="AB26" s="0" t="s">
        <v>161</v>
      </c>
      <c r="AC26" s="0" t="s">
        <v>161</v>
      </c>
      <c r="AD26" s="0" t="s">
        <v>187</v>
      </c>
      <c r="AE26" s="0" t="s">
        <v>163</v>
      </c>
      <c r="AF26" s="0" t="s">
        <v>161</v>
      </c>
      <c r="AG26" s="0" t="s">
        <v>161</v>
      </c>
      <c r="AH26" s="0" t="s">
        <v>161</v>
      </c>
      <c r="AI26" s="0" t="s">
        <v>161</v>
      </c>
      <c r="AJ26" s="0" t="s">
        <v>161</v>
      </c>
      <c r="AK26" s="0" t="s">
        <v>160</v>
      </c>
      <c r="AL26" s="0" t="s">
        <v>161</v>
      </c>
      <c r="AM26" s="0" t="s">
        <v>161</v>
      </c>
      <c r="AN26" s="0" t="s">
        <v>161</v>
      </c>
      <c r="AO26" s="0" t="s">
        <v>161</v>
      </c>
      <c r="AP26" s="0" t="s">
        <v>160</v>
      </c>
      <c r="AQ26" s="0" t="s">
        <v>178</v>
      </c>
      <c r="AR26" s="0" t="s">
        <v>161</v>
      </c>
      <c r="AS26" s="0" t="s">
        <v>188</v>
      </c>
      <c r="AT26" s="0" t="s">
        <v>189</v>
      </c>
      <c r="AU26" s="0" t="s">
        <v>160</v>
      </c>
      <c r="AV26" s="0" t="s">
        <v>164</v>
      </c>
      <c r="AW26" s="0" t="s">
        <v>158</v>
      </c>
      <c r="AX26" s="0" t="s">
        <v>158</v>
      </c>
      <c r="AY26" s="0"/>
      <c r="AZ26" s="0"/>
      <c r="BA26" s="0"/>
      <c r="BB26" s="0"/>
      <c r="BC26" s="0"/>
      <c r="BD26" s="0"/>
      <c r="BE26" s="0"/>
      <c r="BF26" s="0"/>
      <c r="BG26" s="0"/>
      <c r="BH26" s="0"/>
      <c r="BI26" s="0"/>
      <c r="BJ26" s="0"/>
      <c r="BK26" s="0"/>
      <c r="BL26" s="0"/>
      <c r="BM26" s="0"/>
      <c r="BN26" s="0"/>
      <c r="BO26" s="0"/>
      <c r="BP26" s="0"/>
      <c r="BQ26" s="0"/>
      <c r="BR26" s="0"/>
      <c r="BS26" s="0"/>
      <c r="BT26" s="0"/>
      <c r="BU26" s="0"/>
      <c r="BV26" s="0"/>
      <c r="BW26" s="0"/>
      <c r="BX26" s="0"/>
      <c r="BY26" s="0"/>
      <c r="BZ26" s="0"/>
      <c r="CA26" s="0"/>
      <c r="CB26" s="0"/>
      <c r="CC26" s="0"/>
      <c r="CD26" s="0"/>
      <c r="CE26" s="0"/>
      <c r="CF26" s="0"/>
      <c r="CG26" s="0"/>
      <c r="CH26" s="0"/>
      <c r="CI26" s="0"/>
    </row>
    <row r="27" spans="1:50">
      <c r="A27" s="0" t="s">
        <v>149</v>
      </c>
      <c r="B27" s="0" t="s">
        <v>150</v>
      </c>
      <c r="C27" s="0" t="n">
        <v>31014.0</v>
      </c>
      <c r="D27" s="0" t="s">
        <v>151</v>
      </c>
      <c r="E27" s="0" t="s">
        <v>152</v>
      </c>
      <c r="F27" s="0" t="s">
        <v>153</v>
      </c>
      <c r="G27" s="28" t="s">
        <v>154</v>
      </c>
      <c r="H27" s="0" t="s">
        <v>155</v>
      </c>
      <c r="I27" s="28" t="s">
        <v>156</v>
      </c>
      <c r="J27" s="0" t="s">
        <v>157</v>
      </c>
      <c r="K27" s="0" t="s">
        <v>95</v>
      </c>
      <c r="L27" s="0" t="s">
        <v>158</v>
      </c>
      <c r="M27" s="0" t="s">
        <v>158</v>
      </c>
      <c r="N27" s="0" t="s">
        <v>158</v>
      </c>
      <c r="O27" s="0" t="s">
        <v>158</v>
      </c>
      <c r="P27" s="0" t="s">
        <v>183</v>
      </c>
      <c r="Q27" s="0" t="s">
        <v>190</v>
      </c>
      <c r="R27" s="0" t="s">
        <v>161</v>
      </c>
      <c r="S27" s="0" t="s">
        <v>161</v>
      </c>
      <c r="T27" s="0" t="s">
        <v>161</v>
      </c>
      <c r="U27" s="0" t="s">
        <v>160</v>
      </c>
      <c r="V27" s="0" t="s">
        <v>162</v>
      </c>
      <c r="W27" s="0" t="s">
        <v>161</v>
      </c>
      <c r="X27" s="0" t="s">
        <v>161</v>
      </c>
      <c r="Y27" s="0" t="s">
        <v>161</v>
      </c>
      <c r="Z27" s="0" t="s">
        <v>161</v>
      </c>
      <c r="AA27" s="0" t="s">
        <v>161</v>
      </c>
      <c r="AB27" s="0" t="s">
        <v>161</v>
      </c>
      <c r="AC27" s="0" t="s">
        <v>161</v>
      </c>
      <c r="AD27" s="0" t="s">
        <v>160</v>
      </c>
      <c r="AE27" s="0" t="s">
        <v>163</v>
      </c>
      <c r="AF27" s="0" t="s">
        <v>161</v>
      </c>
      <c r="AG27" s="0" t="s">
        <v>161</v>
      </c>
      <c r="AH27" s="0" t="s">
        <v>161</v>
      </c>
      <c r="AI27" s="0" t="s">
        <v>161</v>
      </c>
      <c r="AJ27" s="0" t="s">
        <v>161</v>
      </c>
      <c r="AK27" s="0" t="s">
        <v>160</v>
      </c>
      <c r="AL27" s="0" t="s">
        <v>161</v>
      </c>
      <c r="AM27" s="0" t="s">
        <v>161</v>
      </c>
      <c r="AN27" s="0" t="s">
        <v>161</v>
      </c>
      <c r="AO27" s="0" t="s">
        <v>161</v>
      </c>
      <c r="AP27" s="0" t="s">
        <v>160</v>
      </c>
      <c r="AQ27" s="0" t="s">
        <v>161</v>
      </c>
      <c r="AR27" s="0" t="s">
        <v>161</v>
      </c>
      <c r="AS27" s="0" t="s">
        <v>160</v>
      </c>
      <c r="AT27" s="0" t="s">
        <v>160</v>
      </c>
      <c r="AU27" s="0" t="s">
        <v>160</v>
      </c>
      <c r="AV27" s="0" t="s">
        <v>164</v>
      </c>
      <c r="AW27" s="0" t="s">
        <v>158</v>
      </c>
      <c r="AX27" s="0" t="s">
        <v>158</v>
      </c>
      <c r="AY27" s="0"/>
      <c r="AZ27" s="0"/>
      <c r="BA27" s="0"/>
      <c r="BB27" s="0"/>
      <c r="BC27" s="0"/>
      <c r="BD27" s="0"/>
      <c r="BE27" s="0"/>
      <c r="BF27" s="0"/>
      <c r="BG27" s="0"/>
      <c r="BH27" s="0"/>
      <c r="BI27" s="0"/>
      <c r="BJ27" s="0"/>
      <c r="BK27" s="0"/>
      <c r="BL27" s="0"/>
      <c r="BM27" s="0"/>
      <c r="BN27" s="0"/>
      <c r="BO27" s="0"/>
      <c r="BP27" s="0"/>
      <c r="BQ27" s="0"/>
      <c r="BR27" s="0"/>
      <c r="BS27" s="0"/>
      <c r="BT27" s="0"/>
      <c r="BU27" s="0"/>
      <c r="BV27" s="0"/>
      <c r="BW27" s="0"/>
      <c r="BX27" s="0"/>
      <c r="BY27" s="0"/>
      <c r="BZ27" s="0"/>
      <c r="CA27" s="0"/>
      <c r="CB27" s="0"/>
      <c r="CC27" s="0"/>
      <c r="CD27" s="0"/>
      <c r="CE27" s="0"/>
      <c r="CF27" s="0"/>
      <c r="CG27" s="0"/>
      <c r="CH27" s="0"/>
      <c r="CI27" s="0"/>
    </row>
    <row r="28" spans="1:50">
      <c r="A28" s="0" t="s">
        <v>149</v>
      </c>
      <c r="B28" s="0" t="s">
        <v>150</v>
      </c>
      <c r="C28" s="0" t="n">
        <v>31015.0</v>
      </c>
      <c r="D28" s="0" t="s">
        <v>151</v>
      </c>
      <c r="E28" s="0" t="s">
        <v>152</v>
      </c>
      <c r="F28" s="0" t="s">
        <v>153</v>
      </c>
      <c r="G28" s="28" t="s">
        <v>154</v>
      </c>
      <c r="H28" s="0" t="s">
        <v>155</v>
      </c>
      <c r="I28" s="28" t="s">
        <v>156</v>
      </c>
      <c r="J28" s="0" t="s">
        <v>157</v>
      </c>
      <c r="K28" s="0" t="s">
        <v>95</v>
      </c>
      <c r="L28" s="0" t="s">
        <v>158</v>
      </c>
      <c r="M28" s="0" t="s">
        <v>158</v>
      </c>
      <c r="N28" s="0" t="s">
        <v>158</v>
      </c>
      <c r="O28" s="0" t="s">
        <v>158</v>
      </c>
      <c r="P28" s="0" t="s">
        <v>183</v>
      </c>
      <c r="Q28" s="0" t="s">
        <v>191</v>
      </c>
      <c r="R28" s="0" t="s">
        <v>161</v>
      </c>
      <c r="S28" s="0" t="s">
        <v>161</v>
      </c>
      <c r="T28" s="0" t="s">
        <v>161</v>
      </c>
      <c r="U28" s="0" t="s">
        <v>160</v>
      </c>
      <c r="V28" s="0" t="s">
        <v>161</v>
      </c>
      <c r="W28" s="0" t="s">
        <v>161</v>
      </c>
      <c r="X28" s="0" t="s">
        <v>161</v>
      </c>
      <c r="Y28" s="0" t="s">
        <v>161</v>
      </c>
      <c r="Z28" s="0" t="s">
        <v>161</v>
      </c>
      <c r="AA28" s="0" t="s">
        <v>161</v>
      </c>
      <c r="AB28" s="0" t="s">
        <v>161</v>
      </c>
      <c r="AC28" s="0" t="s">
        <v>161</v>
      </c>
      <c r="AD28" s="0" t="s">
        <v>167</v>
      </c>
      <c r="AE28" s="0" t="s">
        <v>163</v>
      </c>
      <c r="AF28" s="0" t="s">
        <v>161</v>
      </c>
      <c r="AG28" s="0" t="s">
        <v>161</v>
      </c>
      <c r="AH28" s="0" t="s">
        <v>161</v>
      </c>
      <c r="AI28" s="0" t="s">
        <v>161</v>
      </c>
      <c r="AJ28" s="0" t="s">
        <v>161</v>
      </c>
      <c r="AK28" s="0" t="s">
        <v>192</v>
      </c>
      <c r="AL28" s="0" t="s">
        <v>161</v>
      </c>
      <c r="AM28" s="0" t="s">
        <v>161</v>
      </c>
      <c r="AN28" s="0" t="s">
        <v>161</v>
      </c>
      <c r="AO28" s="0" t="s">
        <v>161</v>
      </c>
      <c r="AP28" s="0" t="s">
        <v>192</v>
      </c>
      <c r="AQ28" s="0" t="s">
        <v>161</v>
      </c>
      <c r="AR28" s="0" t="s">
        <v>161</v>
      </c>
      <c r="AS28" s="0" t="s">
        <v>160</v>
      </c>
      <c r="AT28" s="0" t="s">
        <v>160</v>
      </c>
      <c r="AU28" s="0" t="s">
        <v>160</v>
      </c>
      <c r="AV28" s="0" t="s">
        <v>164</v>
      </c>
      <c r="AW28" s="0" t="s">
        <v>158</v>
      </c>
      <c r="AX28" s="0" t="s">
        <v>158</v>
      </c>
      <c r="AY28" s="0"/>
      <c r="AZ28" s="0"/>
      <c r="BA28" s="0"/>
      <c r="BB28" s="0"/>
      <c r="BC28" s="0"/>
      <c r="BD28" s="0"/>
      <c r="BE28" s="0"/>
      <c r="BF28" s="0"/>
      <c r="BG28" s="0"/>
      <c r="BH28" s="0"/>
      <c r="BI28" s="0"/>
      <c r="BJ28" s="0"/>
      <c r="BK28" s="0"/>
      <c r="BL28" s="0"/>
      <c r="BM28" s="0"/>
      <c r="BN28" s="0"/>
      <c r="BO28" s="0"/>
      <c r="BP28" s="0"/>
      <c r="BQ28" s="0"/>
      <c r="BR28" s="0"/>
      <c r="BS28" s="0"/>
      <c r="BT28" s="0"/>
      <c r="BU28" s="0"/>
      <c r="BV28" s="0"/>
      <c r="BW28" s="0"/>
      <c r="BX28" s="0"/>
      <c r="BY28" s="0"/>
      <c r="BZ28" s="0"/>
      <c r="CA28" s="0"/>
      <c r="CB28" s="0"/>
      <c r="CC28" s="0"/>
      <c r="CD28" s="0"/>
      <c r="CE28" s="0"/>
      <c r="CF28" s="0"/>
      <c r="CG28" s="0"/>
      <c r="CH28" s="0"/>
      <c r="CI28" s="0"/>
    </row>
    <row r="29" spans="1:50">
      <c r="A29" s="0" t="s">
        <v>149</v>
      </c>
      <c r="B29" s="0" t="s">
        <v>150</v>
      </c>
      <c r="C29" s="0" t="n">
        <v>31016.0</v>
      </c>
      <c r="D29" s="0" t="s">
        <v>151</v>
      </c>
      <c r="E29" s="0" t="s">
        <v>152</v>
      </c>
      <c r="F29" s="0" t="s">
        <v>153</v>
      </c>
      <c r="G29" s="28" t="s">
        <v>154</v>
      </c>
      <c r="H29" s="0" t="s">
        <v>155</v>
      </c>
      <c r="I29" s="28" t="s">
        <v>156</v>
      </c>
      <c r="J29" s="0" t="s">
        <v>193</v>
      </c>
      <c r="K29" s="0" t="s">
        <v>95</v>
      </c>
      <c r="L29" s="0" t="s">
        <v>158</v>
      </c>
      <c r="M29" s="0" t="s">
        <v>158</v>
      </c>
      <c r="N29" s="0" t="s">
        <v>158</v>
      </c>
      <c r="O29" s="0" t="s">
        <v>158</v>
      </c>
      <c r="P29" s="0" t="s">
        <v>194</v>
      </c>
      <c r="Q29" s="0" t="s">
        <v>184</v>
      </c>
      <c r="R29" s="0" t="s">
        <v>161</v>
      </c>
      <c r="S29" s="0" t="s">
        <v>161</v>
      </c>
      <c r="T29" s="0" t="s">
        <v>161</v>
      </c>
      <c r="U29" s="0" t="s">
        <v>160</v>
      </c>
      <c r="V29" s="0" t="s">
        <v>162</v>
      </c>
      <c r="W29" s="0" t="s">
        <v>161</v>
      </c>
      <c r="X29" s="0" t="s">
        <v>161</v>
      </c>
      <c r="Y29" s="0" t="s">
        <v>161</v>
      </c>
      <c r="Z29" s="0" t="s">
        <v>161</v>
      </c>
      <c r="AA29" s="0" t="s">
        <v>161</v>
      </c>
      <c r="AB29" s="0" t="s">
        <v>161</v>
      </c>
      <c r="AC29" s="0" t="s">
        <v>161</v>
      </c>
      <c r="AD29" s="0" t="s">
        <v>195</v>
      </c>
      <c r="AE29" s="0" t="s">
        <v>163</v>
      </c>
      <c r="AF29" s="0" t="s">
        <v>161</v>
      </c>
      <c r="AG29" s="0" t="s">
        <v>161</v>
      </c>
      <c r="AH29" s="0" t="s">
        <v>161</v>
      </c>
      <c r="AI29" s="0" t="s">
        <v>161</v>
      </c>
      <c r="AJ29" s="0" t="s">
        <v>161</v>
      </c>
      <c r="AK29" s="0" t="s">
        <v>168</v>
      </c>
      <c r="AL29" s="0" t="s">
        <v>161</v>
      </c>
      <c r="AM29" s="0" t="s">
        <v>161</v>
      </c>
      <c r="AN29" s="0" t="s">
        <v>161</v>
      </c>
      <c r="AO29" s="0" t="s">
        <v>161</v>
      </c>
      <c r="AP29" s="0" t="s">
        <v>168</v>
      </c>
      <c r="AQ29" s="0" t="s">
        <v>161</v>
      </c>
      <c r="AR29" s="0" t="s">
        <v>161</v>
      </c>
      <c r="AS29" s="0" t="s">
        <v>196</v>
      </c>
      <c r="AT29" s="0" t="s">
        <v>197</v>
      </c>
      <c r="AU29" s="0" t="s">
        <v>198</v>
      </c>
      <c r="AV29" s="0" t="s">
        <v>164</v>
      </c>
      <c r="AW29" s="0" t="s">
        <v>158</v>
      </c>
      <c r="AX29" s="0" t="s">
        <v>158</v>
      </c>
      <c r="AY29" s="0"/>
      <c r="AZ29" s="0"/>
      <c r="BA29" s="0"/>
      <c r="BB29" s="0"/>
      <c r="BC29" s="0"/>
      <c r="BD29" s="0"/>
      <c r="BE29" s="0"/>
      <c r="BF29" s="0"/>
      <c r="BG29" s="0"/>
      <c r="BH29" s="0"/>
      <c r="BI29" s="0"/>
      <c r="BJ29" s="0"/>
      <c r="BK29" s="0"/>
      <c r="BL29" s="0"/>
      <c r="BM29" s="0"/>
      <c r="BN29" s="0"/>
      <c r="BO29" s="0"/>
      <c r="BP29" s="0"/>
      <c r="BQ29" s="0"/>
      <c r="BR29" s="0"/>
      <c r="BS29" s="0"/>
      <c r="BT29" s="0"/>
      <c r="BU29" s="0"/>
      <c r="BV29" s="0"/>
      <c r="BW29" s="0"/>
      <c r="BX29" s="0"/>
      <c r="BY29" s="0"/>
      <c r="BZ29" s="0"/>
      <c r="CA29" s="0"/>
      <c r="CB29" s="0"/>
      <c r="CC29" s="0"/>
      <c r="CD29" s="0"/>
      <c r="CE29" s="0"/>
      <c r="CF29" s="0"/>
      <c r="CG29" s="0"/>
      <c r="CH29" s="0"/>
      <c r="CI29" s="0"/>
    </row>
    <row r="30" spans="1:50">
      <c r="G30" s="28"/>
      <c r="I30" s="28"/>
    </row>
    <row r="31" spans="1:50">
      <c r="G31" s="28"/>
      <c r="I31" s="28"/>
    </row>
    <row r="32" spans="1:50">
      <c r="G32" s="28"/>
      <c r="I32" s="28"/>
    </row>
    <row r="33" spans="7:9">
      <c r="G33" s="28"/>
      <c r="I33" s="28"/>
    </row>
    <row r="34" spans="7:9">
      <c r="G34" s="28"/>
      <c r="I34" s="28"/>
    </row>
    <row r="35" spans="7:9">
      <c r="G35" s="28"/>
      <c r="I35" s="28"/>
    </row>
  </sheetData>
  <autoFilter ref="A20:AX20" xr:uid="{1FD5C1E2-CBA8-4D1A-9B7F-54B3B776C63B}"/>
  <mergeCells count="9">
    <mergeCell ref="AL19:AP19"/>
    <mergeCell ref="AQ19:AU19"/>
    <mergeCell ref="AV19:AX19"/>
    <mergeCell ref="P19:Q19"/>
    <mergeCell ref="L19:O19"/>
    <mergeCell ref="R19:V19"/>
    <mergeCell ref="W19:Y19"/>
    <mergeCell ref="Z19:AD19"/>
    <mergeCell ref="AE19:AK19"/>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E68C1-5AC4-48BE-BE10-CBDAE5F9EF63}">
  <sheetPr codeName="Hoja5"/>
  <dimension ref="A1:AH504"/>
  <sheetViews>
    <sheetView workbookViewId="0" tabSelected="false">
      <selection activeCell="A2" sqref="A2"/>
    </sheetView>
  </sheetViews>
  <sheetFormatPr baseColWidth="10" defaultRowHeight="12.75"/>
  <sheetData>
    <row r="1" spans="1:34" ht="147.75" customHeight="1">
      <c r="A1" s="12" t="s">
        <v>37</v>
      </c>
      <c r="B1" s="12" t="s">
        <v>38</v>
      </c>
      <c r="C1" s="12" t="s">
        <v>39</v>
      </c>
      <c r="D1" s="12" t="s">
        <v>40</v>
      </c>
      <c r="E1" s="12" t="s">
        <v>41</v>
      </c>
      <c r="F1" s="12" t="s">
        <v>42</v>
      </c>
      <c r="G1" s="12" t="s">
        <v>94</v>
      </c>
      <c r="H1" s="12" t="s">
        <v>43</v>
      </c>
      <c r="I1" s="12" t="s">
        <v>44</v>
      </c>
      <c r="J1" s="12" t="s">
        <v>128</v>
      </c>
      <c r="K1" s="18" t="s">
        <v>49</v>
      </c>
      <c r="L1" s="12" t="s">
        <v>50</v>
      </c>
      <c r="M1" s="12" t="s">
        <v>51</v>
      </c>
      <c r="N1" s="12" t="s">
        <v>52</v>
      </c>
      <c r="O1" s="12" t="s">
        <v>54</v>
      </c>
      <c r="P1" s="12" t="s">
        <v>55</v>
      </c>
      <c r="Q1" s="12" t="s">
        <v>56</v>
      </c>
      <c r="R1" s="12" t="s">
        <v>57</v>
      </c>
      <c r="S1" s="12" t="s">
        <v>58</v>
      </c>
      <c r="T1" s="12" t="s">
        <v>59</v>
      </c>
      <c r="U1" s="12" t="s">
        <v>60</v>
      </c>
      <c r="V1" s="12" t="s">
        <v>61</v>
      </c>
      <c r="W1" s="12" t="s">
        <v>63</v>
      </c>
      <c r="X1" s="12" t="s">
        <v>64</v>
      </c>
      <c r="Y1" s="12" t="s">
        <v>65</v>
      </c>
      <c r="Z1" s="12" t="s">
        <v>66</v>
      </c>
      <c r="AA1" s="12" t="s">
        <v>67</v>
      </c>
      <c r="AB1" s="12" t="s">
        <v>68</v>
      </c>
      <c r="AC1" s="12" t="s">
        <v>70</v>
      </c>
      <c r="AD1" s="12" t="s">
        <v>71</v>
      </c>
      <c r="AE1" s="12" t="s">
        <v>72</v>
      </c>
      <c r="AF1" s="12" t="s">
        <v>73</v>
      </c>
      <c r="AG1" s="12" t="s">
        <v>75</v>
      </c>
      <c r="AH1" s="12" t="s">
        <v>76</v>
      </c>
    </row>
    <row r="2" spans="1:34">
      <c r="A2" t="e">
        <f>IF('Base Encuesta'!#REF!="","",'Base Encuesta'!#REF!)</f>
        <v>#REF!</v>
      </c>
      <c r="B2" t="e">
        <f>IF('Base Encuesta'!#REF!="","",'Base Encuesta'!#REF!)</f>
        <v>#REF!</v>
      </c>
      <c r="C2" t="e">
        <f>IF('Base Encuesta'!#REF!="","",'Base Encuesta'!#REF!)</f>
        <v>#REF!</v>
      </c>
      <c r="D2" t="e">
        <f>IF('Base Encuesta'!#REF!="","",'Base Encuesta'!#REF!)</f>
        <v>#REF!</v>
      </c>
      <c r="E2" t="e">
        <f>IF('Base Encuesta'!#REF!="","",'Base Encuesta'!#REF!)</f>
        <v>#REF!</v>
      </c>
      <c r="F2" t="e">
        <f>IF('Base Encuesta'!#REF!="","",'Base Encuesta'!#REF!)</f>
        <v>#REF!</v>
      </c>
      <c r="G2" t="e">
        <f>IF('Base Encuesta'!#REF!="","",'Base Encuesta'!#REF!)</f>
        <v>#REF!</v>
      </c>
      <c r="H2" t="e">
        <f>IF('Base Encuesta'!#REF!="","",'Base Encuesta'!#REF!)</f>
        <v>#REF!</v>
      </c>
      <c r="I2" t="e">
        <f>IF('Base Encuesta'!#REF!="","",'Base Encuesta'!#REF!)</f>
        <v>#REF!</v>
      </c>
      <c r="J2" t="e">
        <f>IF(OR('Base Encuesta'!#REF!="",IFERROR(VALUE(LEFT('Base Encuesta'!#REF!,1)),"")&gt;=3),"",PROPER(TRIM('Base Encuesta'!#REF!)))</f>
        <v>#REF!</v>
      </c>
      <c r="K2" t="e">
        <f>IF(OR('Base Encuesta'!#REF!="",IFERROR(VALUE(LEFT('Base Encuesta'!#REF!,1)),"")&gt;=3),"",'Base Encuesta'!#REF!)</f>
        <v>#REF!</v>
      </c>
      <c r="L2" t="e">
        <f>IF(OR('Base Encuesta'!#REF!="",IFERROR(VALUE(LEFT('Base Encuesta'!#REF!,1)),"")&gt;=3),"",VALUE(LEFT('Base Encuesta'!#REF!,1)))</f>
        <v>#REF!</v>
      </c>
      <c r="M2" t="e">
        <f>IF(OR('Base Encuesta'!#REF!="",IFERROR(VALUE(LEFT('Base Encuesta'!#REF!,1)),"")&gt;=3),"",VALUE(LEFT('Base Encuesta'!#REF!,1)))</f>
        <v>#REF!</v>
      </c>
      <c r="N2" t="e">
        <f>IF(OR('Base Encuesta'!#REF!="",IFERROR(VALUE(LEFT('Base Encuesta'!#REF!,1)),"")&gt;=3),"",VALUE(LEFT('Base Encuesta'!#REF!,1)))</f>
        <v>#REF!</v>
      </c>
      <c r="O2" t="e">
        <f>IF(OR('Base Encuesta'!#REF!="",IFERROR(VALUE(LEFT('Base Encuesta'!#REF!,1)),"")&gt;=3),"",VALUE(LEFT('Base Encuesta'!#REF!,1)))</f>
        <v>#REF!</v>
      </c>
      <c r="P2" t="e">
        <f>IF(OR('Base Encuesta'!#REF!="",IFERROR(VALUE(LEFT('Base Encuesta'!#REF!,1)),"")&gt;=3),"",VALUE(LEFT('Base Encuesta'!#REF!,1)))</f>
        <v>#REF!</v>
      </c>
      <c r="Q2" t="e">
        <f>IF(OR('Base Encuesta'!#REF!="",IFERROR(VALUE(LEFT('Base Encuesta'!#REF!,1)),"")&gt;=3),"",VALUE(LEFT('Base Encuesta'!#REF!,1)))</f>
        <v>#REF!</v>
      </c>
      <c r="R2" t="e">
        <f>IF(OR('Base Encuesta'!#REF!="",IFERROR(VALUE(LEFT('Base Encuesta'!#REF!,1)),"")&gt;=3),"",VALUE(LEFT('Base Encuesta'!#REF!,1)))</f>
        <v>#REF!</v>
      </c>
      <c r="S2" t="e">
        <f>IF(OR('Base Encuesta'!#REF!="",IFERROR(VALUE(LEFT('Base Encuesta'!#REF!,1)),"")&gt;=3),"",VALUE(LEFT('Base Encuesta'!#REF!,1)))</f>
        <v>#REF!</v>
      </c>
      <c r="T2" t="e">
        <f>IF(OR('Base Encuesta'!#REF!="",IFERROR(VALUE(LEFT('Base Encuesta'!#REF!,1)),"")&gt;=3),"",VALUE(LEFT('Base Encuesta'!#REF!,1)))</f>
        <v>#REF!</v>
      </c>
      <c r="U2" t="e">
        <f>IF(OR('Base Encuesta'!#REF!="",IFERROR(VALUE(LEFT('Base Encuesta'!#REF!,1)),"")&gt;=3),"",VALUE(LEFT('Base Encuesta'!#REF!,1)))</f>
        <v>#REF!</v>
      </c>
      <c r="V2" t="e">
        <f>IF(OR('Base Encuesta'!#REF!="",IFERROR(VALUE(LEFT('Base Encuesta'!#REF!,1)),"")&gt;=3),"",VALUE(LEFT('Base Encuesta'!#REF!,1)))</f>
        <v>#REF!</v>
      </c>
      <c r="W2" t="e">
        <f>IF(OR('Base Encuesta'!#REF!="",IFERROR(VALUE(LEFT('Base Encuesta'!#REF!,1)),"")&gt;=3),"",VALUE(LEFT('Base Encuesta'!#REF!,1)))</f>
        <v>#REF!</v>
      </c>
      <c r="X2" t="e">
        <f>IF(OR('Base Encuesta'!#REF!="",IFERROR(VALUE(LEFT('Base Encuesta'!#REF!,1)),"")&gt;=3),"",IF(W2=1,VALUE(LEFT('Base Encuesta'!#REF!,1)),""))</f>
        <v>#REF!</v>
      </c>
      <c r="Y2" t="e">
        <f>IF(OR('Base Encuesta'!#REF!="",IFERROR(VALUE(LEFT('Base Encuesta'!#REF!,1)),"")&gt;=3),"",IF(W2=1,VALUE(LEFT('Base Encuesta'!#REF!,1)),""))</f>
        <v>#REF!</v>
      </c>
      <c r="Z2" t="e">
        <f>IF(OR('Base Encuesta'!#REF!="",IFERROR(VALUE(LEFT('Base Encuesta'!#REF!,1)),"")&gt;=3),"",IF(W2=1,VALUE(LEFT('Base Encuesta'!#REF!,1)),""))</f>
        <v>#REF!</v>
      </c>
      <c r="AA2" t="e">
        <f>IF(OR('Base Encuesta'!#REF!="",IFERROR(VALUE(LEFT('Base Encuesta'!#REF!,1)),"")&gt;=3),"",IF(W2=1,VALUE(LEFT('Base Encuesta'!#REF!,1)),""))</f>
        <v>#REF!</v>
      </c>
      <c r="AB2" t="e">
        <f>IF(OR('Base Encuesta'!#REF!="",IFERROR(VALUE(LEFT('Base Encuesta'!#REF!,1)),"")&gt;=3),"",IF(W2=1,VALUE(LEFT('Base Encuesta'!#REF!,1)),""))</f>
        <v>#REF!</v>
      </c>
      <c r="AC2" t="e">
        <f>IF(OR('Base Encuesta'!#REF!="",IFERROR(VALUE(LEFT('Base Encuesta'!#REF!,1)),"")&gt;=3),"",VALUE(LEFT('Base Encuesta'!#REF!,1)))</f>
        <v>#REF!</v>
      </c>
      <c r="AD2" t="e">
        <f>IF(OR('Base Encuesta'!#REF!="",IFERROR(VALUE(LEFT('Base Encuesta'!#REF!,1)),"")&gt;=3),"",VALUE(LEFT('Base Encuesta'!#REF!,1)))</f>
        <v>#REF!</v>
      </c>
      <c r="AE2" t="e">
        <f>IF(OR('Base Encuesta'!#REF!="",IFERROR(VALUE(LEFT('Base Encuesta'!#REF!,1)),"")&gt;=3),"",VALUE(LEFT('Base Encuesta'!#REF!,1)))</f>
        <v>#REF!</v>
      </c>
      <c r="AF2" t="e">
        <f>IF(OR('Base Encuesta'!#REF!="",IFERROR(VALUE(LEFT('Base Encuesta'!#REF!,1)),"")&gt;=3),"",VALUE(LEFT('Base Encuesta'!#REF!,1)))</f>
        <v>#REF!</v>
      </c>
      <c r="AG2" t="e">
        <f>IF(OR('Base Encuesta'!#REF!="",IFERROR(VALUE(LEFT('Base Encuesta'!#REF!,1)),"")&gt;=3),"",VALUE(LEFT('Base Encuesta'!#REF!,1)))</f>
        <v>#REF!</v>
      </c>
      <c r="AH2" t="e">
        <f>IF(OR('Base Encuesta'!#REF!="",IFERROR(VALUE(LEFT('Base Encuesta'!#REF!,1)),"")&gt;=3),"",VALUE(LEFT('Base Encuesta'!#REF!,1)))</f>
        <v>#REF!</v>
      </c>
    </row>
    <row r="3" spans="1:34">
      <c r="A3" t="e">
        <f>IF('Base Encuesta'!#REF!="","",'Base Encuesta'!#REF!)</f>
        <v>#REF!</v>
      </c>
      <c r="B3" t="e">
        <f>IF('Base Encuesta'!#REF!="","",'Base Encuesta'!#REF!)</f>
        <v>#REF!</v>
      </c>
      <c r="C3" t="e">
        <f>IF('Base Encuesta'!#REF!="","",'Base Encuesta'!#REF!)</f>
        <v>#REF!</v>
      </c>
      <c r="D3" t="e">
        <f>IF('Base Encuesta'!#REF!="","",'Base Encuesta'!#REF!)</f>
        <v>#REF!</v>
      </c>
      <c r="E3" t="e">
        <f>IF('Base Encuesta'!#REF!="","",'Base Encuesta'!#REF!)</f>
        <v>#REF!</v>
      </c>
      <c r="F3" t="e">
        <f>IF('Base Encuesta'!#REF!="","",'Base Encuesta'!#REF!)</f>
        <v>#REF!</v>
      </c>
      <c r="G3" t="e">
        <f>IF('Base Encuesta'!#REF!="","",'Base Encuesta'!#REF!)</f>
        <v>#REF!</v>
      </c>
      <c r="H3" t="e">
        <f>IF('Base Encuesta'!#REF!="","",'Base Encuesta'!#REF!)</f>
        <v>#REF!</v>
      </c>
      <c r="I3" t="e">
        <f>IF('Base Encuesta'!#REF!="","",'Base Encuesta'!#REF!)</f>
        <v>#REF!</v>
      </c>
      <c r="J3" t="e">
        <f>IF(OR('Base Encuesta'!#REF!="",IFERROR(VALUE(LEFT('Base Encuesta'!#REF!,1)),"")&gt;=3),"",PROPER(TRIM('Base Encuesta'!#REF!)))</f>
        <v>#REF!</v>
      </c>
      <c r="K3" t="e">
        <f>IF(OR('Base Encuesta'!#REF!="",IFERROR(VALUE(LEFT('Base Encuesta'!#REF!,1)),"")&gt;=3),"",'Base Encuesta'!#REF!)</f>
        <v>#REF!</v>
      </c>
      <c r="L3" t="e">
        <f>IF(OR('Base Encuesta'!#REF!="",IFERROR(VALUE(LEFT('Base Encuesta'!#REF!,1)),"")&gt;=3),"",VALUE(LEFT('Base Encuesta'!#REF!,1)))</f>
        <v>#REF!</v>
      </c>
      <c r="M3" t="e">
        <f>IF(OR('Base Encuesta'!#REF!="",IFERROR(VALUE(LEFT('Base Encuesta'!#REF!,1)),"")&gt;=3),"",VALUE(LEFT('Base Encuesta'!#REF!,1)))</f>
        <v>#REF!</v>
      </c>
      <c r="N3" t="e">
        <f>IF(OR('Base Encuesta'!#REF!="",IFERROR(VALUE(LEFT('Base Encuesta'!#REF!,1)),"")&gt;=3),"",VALUE(LEFT('Base Encuesta'!#REF!,1)))</f>
        <v>#REF!</v>
      </c>
      <c r="O3" t="e">
        <f>IF(OR('Base Encuesta'!#REF!="",IFERROR(VALUE(LEFT('Base Encuesta'!#REF!,1)),"")&gt;=3),"",VALUE(LEFT('Base Encuesta'!#REF!,1)))</f>
        <v>#REF!</v>
      </c>
      <c r="P3" t="e">
        <f>IF(OR('Base Encuesta'!#REF!="",IFERROR(VALUE(LEFT('Base Encuesta'!#REF!,1)),"")&gt;=3),"",VALUE(LEFT('Base Encuesta'!#REF!,1)))</f>
        <v>#REF!</v>
      </c>
      <c r="Q3" t="e">
        <f>IF(OR('Base Encuesta'!#REF!="",IFERROR(VALUE(LEFT('Base Encuesta'!#REF!,1)),"")&gt;=3),"",VALUE(LEFT('Base Encuesta'!#REF!,1)))</f>
        <v>#REF!</v>
      </c>
      <c r="R3" t="e">
        <f>IF(OR('Base Encuesta'!#REF!="",IFERROR(VALUE(LEFT('Base Encuesta'!#REF!,1)),"")&gt;=3),"",VALUE(LEFT('Base Encuesta'!#REF!,1)))</f>
        <v>#REF!</v>
      </c>
      <c r="S3" t="e">
        <f>IF(OR('Base Encuesta'!#REF!="",IFERROR(VALUE(LEFT('Base Encuesta'!#REF!,1)),"")&gt;=3),"",VALUE(LEFT('Base Encuesta'!#REF!,1)))</f>
        <v>#REF!</v>
      </c>
      <c r="T3" t="e">
        <f>IF(OR('Base Encuesta'!#REF!="",IFERROR(VALUE(LEFT('Base Encuesta'!#REF!,1)),"")&gt;=3),"",VALUE(LEFT('Base Encuesta'!#REF!,1)))</f>
        <v>#REF!</v>
      </c>
      <c r="U3" t="e">
        <f>IF(OR('Base Encuesta'!#REF!="",IFERROR(VALUE(LEFT('Base Encuesta'!#REF!,1)),"")&gt;=3),"",VALUE(LEFT('Base Encuesta'!#REF!,1)))</f>
        <v>#REF!</v>
      </c>
      <c r="V3" t="e">
        <f>IF(OR('Base Encuesta'!#REF!="",IFERROR(VALUE(LEFT('Base Encuesta'!#REF!,1)),"")&gt;=3),"",VALUE(LEFT('Base Encuesta'!#REF!,1)))</f>
        <v>#REF!</v>
      </c>
      <c r="W3" t="e">
        <f>IF(OR('Base Encuesta'!#REF!="",IFERROR(VALUE(LEFT('Base Encuesta'!#REF!,1)),"")&gt;=3),"",VALUE(LEFT('Base Encuesta'!#REF!,1)))</f>
        <v>#REF!</v>
      </c>
      <c r="X3" t="e">
        <f>IF(OR('Base Encuesta'!#REF!="",IFERROR(VALUE(LEFT('Base Encuesta'!#REF!,1)),"")&gt;=3),"",IF(W3=1,VALUE(LEFT('Base Encuesta'!#REF!,1)),""))</f>
        <v>#REF!</v>
      </c>
      <c r="Y3" t="e">
        <f>IF(OR('Base Encuesta'!#REF!="",IFERROR(VALUE(LEFT('Base Encuesta'!#REF!,1)),"")&gt;=3),"",IF(W3=1,VALUE(LEFT('Base Encuesta'!#REF!,1)),""))</f>
        <v>#REF!</v>
      </c>
      <c r="Z3" t="e">
        <f>IF(OR('Base Encuesta'!#REF!="",IFERROR(VALUE(LEFT('Base Encuesta'!#REF!,1)),"")&gt;=3),"",IF(W3=1,VALUE(LEFT('Base Encuesta'!#REF!,1)),""))</f>
        <v>#REF!</v>
      </c>
      <c r="AA3" t="e">
        <f>IF(OR('Base Encuesta'!#REF!="",IFERROR(VALUE(LEFT('Base Encuesta'!#REF!,1)),"")&gt;=3),"",IF(W3=1,VALUE(LEFT('Base Encuesta'!#REF!,1)),""))</f>
        <v>#REF!</v>
      </c>
      <c r="AB3" t="e">
        <f>IF(OR('Base Encuesta'!#REF!="",IFERROR(VALUE(LEFT('Base Encuesta'!#REF!,1)),"")&gt;=3),"",IF(W3=1,VALUE(LEFT('Base Encuesta'!#REF!,1)),""))</f>
        <v>#REF!</v>
      </c>
      <c r="AC3" t="e">
        <f>IF(OR('Base Encuesta'!#REF!="",IFERROR(VALUE(LEFT('Base Encuesta'!#REF!,1)),"")&gt;=3),"",VALUE(LEFT('Base Encuesta'!#REF!,1)))</f>
        <v>#REF!</v>
      </c>
      <c r="AD3" t="e">
        <f>IF(OR('Base Encuesta'!#REF!="",IFERROR(VALUE(LEFT('Base Encuesta'!#REF!,1)),"")&gt;=3),"",VALUE(LEFT('Base Encuesta'!#REF!,1)))</f>
        <v>#REF!</v>
      </c>
      <c r="AE3" t="e">
        <f>IF(OR('Base Encuesta'!#REF!="",IFERROR(VALUE(LEFT('Base Encuesta'!#REF!,1)),"")&gt;=3),"",VALUE(LEFT('Base Encuesta'!#REF!,1)))</f>
        <v>#REF!</v>
      </c>
      <c r="AF3" t="e">
        <f>IF(OR('Base Encuesta'!#REF!="",IFERROR(VALUE(LEFT('Base Encuesta'!#REF!,1)),"")&gt;=3),"",VALUE(LEFT('Base Encuesta'!#REF!,1)))</f>
        <v>#REF!</v>
      </c>
      <c r="AG3" t="e">
        <f>IF(OR('Base Encuesta'!#REF!="",IFERROR(VALUE(LEFT('Base Encuesta'!#REF!,1)),"")&gt;=3),"",VALUE(LEFT('Base Encuesta'!#REF!,1)))</f>
        <v>#REF!</v>
      </c>
      <c r="AH3" t="e">
        <f>IF(OR('Base Encuesta'!#REF!="",IFERROR(VALUE(LEFT('Base Encuesta'!#REF!,1)),"")&gt;=3),"",VALUE(LEFT('Base Encuesta'!#REF!,1)))</f>
        <v>#REF!</v>
      </c>
    </row>
    <row r="4" spans="1:34">
      <c r="A4" t="e">
        <f>IF('Base Encuesta'!#REF!="","",'Base Encuesta'!#REF!)</f>
        <v>#REF!</v>
      </c>
      <c r="B4" t="e">
        <f>IF('Base Encuesta'!#REF!="","",'Base Encuesta'!#REF!)</f>
        <v>#REF!</v>
      </c>
      <c r="C4" t="e">
        <f>IF('Base Encuesta'!#REF!="","",'Base Encuesta'!#REF!)</f>
        <v>#REF!</v>
      </c>
      <c r="D4" t="e">
        <f>IF('Base Encuesta'!#REF!="","",'Base Encuesta'!#REF!)</f>
        <v>#REF!</v>
      </c>
      <c r="E4" t="e">
        <f>IF('Base Encuesta'!#REF!="","",'Base Encuesta'!#REF!)</f>
        <v>#REF!</v>
      </c>
      <c r="F4" t="e">
        <f>IF('Base Encuesta'!#REF!="","",'Base Encuesta'!#REF!)</f>
        <v>#REF!</v>
      </c>
      <c r="G4" t="e">
        <f>IF('Base Encuesta'!#REF!="","",'Base Encuesta'!#REF!)</f>
        <v>#REF!</v>
      </c>
      <c r="H4" t="e">
        <f>IF('Base Encuesta'!#REF!="","",'Base Encuesta'!#REF!)</f>
        <v>#REF!</v>
      </c>
      <c r="I4" t="e">
        <f>IF('Base Encuesta'!#REF!="","",'Base Encuesta'!#REF!)</f>
        <v>#REF!</v>
      </c>
      <c r="J4" t="e">
        <f>IF(OR('Base Encuesta'!#REF!="",IFERROR(VALUE(LEFT('Base Encuesta'!#REF!,1)),"")&gt;=3),"",PROPER(TRIM('Base Encuesta'!#REF!)))</f>
        <v>#REF!</v>
      </c>
      <c r="K4" t="e">
        <f>IF(OR('Base Encuesta'!#REF!="",IFERROR(VALUE(LEFT('Base Encuesta'!#REF!,1)),"")&gt;=3),"",'Base Encuesta'!#REF!)</f>
        <v>#REF!</v>
      </c>
      <c r="L4" t="e">
        <f>IF(OR('Base Encuesta'!#REF!="",IFERROR(VALUE(LEFT('Base Encuesta'!#REF!,1)),"")&gt;=3),"",VALUE(LEFT('Base Encuesta'!#REF!,1)))</f>
        <v>#REF!</v>
      </c>
      <c r="M4" t="e">
        <f>IF(OR('Base Encuesta'!#REF!="",IFERROR(VALUE(LEFT('Base Encuesta'!#REF!,1)),"")&gt;=3),"",VALUE(LEFT('Base Encuesta'!#REF!,1)))</f>
        <v>#REF!</v>
      </c>
      <c r="N4" t="e">
        <f>IF(OR('Base Encuesta'!#REF!="",IFERROR(VALUE(LEFT('Base Encuesta'!#REF!,1)),"")&gt;=3),"",VALUE(LEFT('Base Encuesta'!#REF!,1)))</f>
        <v>#REF!</v>
      </c>
      <c r="O4" t="e">
        <f>IF(OR('Base Encuesta'!#REF!="",IFERROR(VALUE(LEFT('Base Encuesta'!#REF!,1)),"")&gt;=3),"",VALUE(LEFT('Base Encuesta'!#REF!,1)))</f>
        <v>#REF!</v>
      </c>
      <c r="P4" t="e">
        <f>IF(OR('Base Encuesta'!#REF!="",IFERROR(VALUE(LEFT('Base Encuesta'!#REF!,1)),"")&gt;=3),"",VALUE(LEFT('Base Encuesta'!#REF!,1)))</f>
        <v>#REF!</v>
      </c>
      <c r="Q4" t="e">
        <f>IF(OR('Base Encuesta'!#REF!="",IFERROR(VALUE(LEFT('Base Encuesta'!#REF!,1)),"")&gt;=3),"",VALUE(LEFT('Base Encuesta'!#REF!,1)))</f>
        <v>#REF!</v>
      </c>
      <c r="R4" t="e">
        <f>IF(OR('Base Encuesta'!#REF!="",IFERROR(VALUE(LEFT('Base Encuesta'!#REF!,1)),"")&gt;=3),"",VALUE(LEFT('Base Encuesta'!#REF!,1)))</f>
        <v>#REF!</v>
      </c>
      <c r="S4" t="e">
        <f>IF(OR('Base Encuesta'!#REF!="",IFERROR(VALUE(LEFT('Base Encuesta'!#REF!,1)),"")&gt;=3),"",VALUE(LEFT('Base Encuesta'!#REF!,1)))</f>
        <v>#REF!</v>
      </c>
      <c r="T4" t="e">
        <f>IF(OR('Base Encuesta'!#REF!="",IFERROR(VALUE(LEFT('Base Encuesta'!#REF!,1)),"")&gt;=3),"",VALUE(LEFT('Base Encuesta'!#REF!,1)))</f>
        <v>#REF!</v>
      </c>
      <c r="U4" t="e">
        <f>IF(OR('Base Encuesta'!#REF!="",IFERROR(VALUE(LEFT('Base Encuesta'!#REF!,1)),"")&gt;=3),"",VALUE(LEFT('Base Encuesta'!#REF!,1)))</f>
        <v>#REF!</v>
      </c>
      <c r="V4" t="e">
        <f>IF(OR('Base Encuesta'!#REF!="",IFERROR(VALUE(LEFT('Base Encuesta'!#REF!,1)),"")&gt;=3),"",VALUE(LEFT('Base Encuesta'!#REF!,1)))</f>
        <v>#REF!</v>
      </c>
      <c r="W4" t="e">
        <f>IF(OR('Base Encuesta'!#REF!="",IFERROR(VALUE(LEFT('Base Encuesta'!#REF!,1)),"")&gt;=3),"",VALUE(LEFT('Base Encuesta'!#REF!,1)))</f>
        <v>#REF!</v>
      </c>
      <c r="X4" t="e">
        <f>IF(OR('Base Encuesta'!#REF!="",IFERROR(VALUE(LEFT('Base Encuesta'!#REF!,1)),"")&gt;=3),"",IF(W4=1,VALUE(LEFT('Base Encuesta'!#REF!,1)),""))</f>
        <v>#REF!</v>
      </c>
      <c r="Y4" t="e">
        <f>IF(OR('Base Encuesta'!#REF!="",IFERROR(VALUE(LEFT('Base Encuesta'!#REF!,1)),"")&gt;=3),"",IF(W4=1,VALUE(LEFT('Base Encuesta'!#REF!,1)),""))</f>
        <v>#REF!</v>
      </c>
      <c r="Z4" t="e">
        <f>IF(OR('Base Encuesta'!#REF!="",IFERROR(VALUE(LEFT('Base Encuesta'!#REF!,1)),"")&gt;=3),"",IF(W4=1,VALUE(LEFT('Base Encuesta'!#REF!,1)),""))</f>
        <v>#REF!</v>
      </c>
      <c r="AA4" t="e">
        <f>IF(OR('Base Encuesta'!#REF!="",IFERROR(VALUE(LEFT('Base Encuesta'!#REF!,1)),"")&gt;=3),"",IF(W4=1,VALUE(LEFT('Base Encuesta'!#REF!,1)),""))</f>
        <v>#REF!</v>
      </c>
      <c r="AB4" t="e">
        <f>IF(OR('Base Encuesta'!#REF!="",IFERROR(VALUE(LEFT('Base Encuesta'!#REF!,1)),"")&gt;=3),"",IF(W4=1,VALUE(LEFT('Base Encuesta'!#REF!,1)),""))</f>
        <v>#REF!</v>
      </c>
      <c r="AC4" t="e">
        <f>IF(OR('Base Encuesta'!#REF!="",IFERROR(VALUE(LEFT('Base Encuesta'!#REF!,1)),"")&gt;=3),"",VALUE(LEFT('Base Encuesta'!#REF!,1)))</f>
        <v>#REF!</v>
      </c>
      <c r="AD4" t="e">
        <f>IF(OR('Base Encuesta'!#REF!="",IFERROR(VALUE(LEFT('Base Encuesta'!#REF!,1)),"")&gt;=3),"",VALUE(LEFT('Base Encuesta'!#REF!,1)))</f>
        <v>#REF!</v>
      </c>
      <c r="AE4" t="e">
        <f>IF(OR('Base Encuesta'!#REF!="",IFERROR(VALUE(LEFT('Base Encuesta'!#REF!,1)),"")&gt;=3),"",VALUE(LEFT('Base Encuesta'!#REF!,1)))</f>
        <v>#REF!</v>
      </c>
      <c r="AF4" t="e">
        <f>IF(OR('Base Encuesta'!#REF!="",IFERROR(VALUE(LEFT('Base Encuesta'!#REF!,1)),"")&gt;=3),"",VALUE(LEFT('Base Encuesta'!#REF!,1)))</f>
        <v>#REF!</v>
      </c>
      <c r="AG4" t="e">
        <f>IF(OR('Base Encuesta'!#REF!="",IFERROR(VALUE(LEFT('Base Encuesta'!#REF!,1)),"")&gt;=3),"",VALUE(LEFT('Base Encuesta'!#REF!,1)))</f>
        <v>#REF!</v>
      </c>
      <c r="AH4" t="e">
        <f>IF(OR('Base Encuesta'!#REF!="",IFERROR(VALUE(LEFT('Base Encuesta'!#REF!,1)),"")&gt;=3),"",VALUE(LEFT('Base Encuesta'!#REF!,1)))</f>
        <v>#REF!</v>
      </c>
    </row>
    <row r="5" spans="1:34">
      <c r="A5" t="e">
        <f>IF('Base Encuesta'!#REF!="","",'Base Encuesta'!#REF!)</f>
        <v>#REF!</v>
      </c>
      <c r="B5" t="e">
        <f>IF('Base Encuesta'!#REF!="","",'Base Encuesta'!#REF!)</f>
        <v>#REF!</v>
      </c>
      <c r="C5" t="e">
        <f>IF('Base Encuesta'!#REF!="","",'Base Encuesta'!#REF!)</f>
        <v>#REF!</v>
      </c>
      <c r="D5" t="e">
        <f>IF('Base Encuesta'!#REF!="","",'Base Encuesta'!#REF!)</f>
        <v>#REF!</v>
      </c>
      <c r="E5" t="e">
        <f>IF('Base Encuesta'!#REF!="","",'Base Encuesta'!#REF!)</f>
        <v>#REF!</v>
      </c>
      <c r="F5" t="e">
        <f>IF('Base Encuesta'!#REF!="","",'Base Encuesta'!#REF!)</f>
        <v>#REF!</v>
      </c>
      <c r="G5" t="e">
        <f>IF('Base Encuesta'!#REF!="","",'Base Encuesta'!#REF!)</f>
        <v>#REF!</v>
      </c>
      <c r="H5" t="e">
        <f>IF('Base Encuesta'!#REF!="","",'Base Encuesta'!#REF!)</f>
        <v>#REF!</v>
      </c>
      <c r="I5" t="e">
        <f>IF('Base Encuesta'!#REF!="","",'Base Encuesta'!#REF!)</f>
        <v>#REF!</v>
      </c>
      <c r="J5" t="e">
        <f>IF(OR('Base Encuesta'!#REF!="",IFERROR(VALUE(LEFT('Base Encuesta'!#REF!,1)),"")&gt;=3),"",PROPER(TRIM('Base Encuesta'!#REF!)))</f>
        <v>#REF!</v>
      </c>
      <c r="K5" t="e">
        <f>IF(OR('Base Encuesta'!#REF!="",IFERROR(VALUE(LEFT('Base Encuesta'!#REF!,1)),"")&gt;=3),"",'Base Encuesta'!#REF!)</f>
        <v>#REF!</v>
      </c>
      <c r="L5" t="e">
        <f>IF(OR('Base Encuesta'!#REF!="",IFERROR(VALUE(LEFT('Base Encuesta'!#REF!,1)),"")&gt;=3),"",VALUE(LEFT('Base Encuesta'!#REF!,1)))</f>
        <v>#REF!</v>
      </c>
      <c r="M5" t="e">
        <f>IF(OR('Base Encuesta'!#REF!="",IFERROR(VALUE(LEFT('Base Encuesta'!#REF!,1)),"")&gt;=3),"",VALUE(LEFT('Base Encuesta'!#REF!,1)))</f>
        <v>#REF!</v>
      </c>
      <c r="N5" t="e">
        <f>IF(OR('Base Encuesta'!#REF!="",IFERROR(VALUE(LEFT('Base Encuesta'!#REF!,1)),"")&gt;=3),"",VALUE(LEFT('Base Encuesta'!#REF!,1)))</f>
        <v>#REF!</v>
      </c>
      <c r="O5" t="e">
        <f>IF(OR('Base Encuesta'!#REF!="",IFERROR(VALUE(LEFT('Base Encuesta'!#REF!,1)),"")&gt;=3),"",VALUE(LEFT('Base Encuesta'!#REF!,1)))</f>
        <v>#REF!</v>
      </c>
      <c r="P5" t="e">
        <f>IF(OR('Base Encuesta'!#REF!="",IFERROR(VALUE(LEFT('Base Encuesta'!#REF!,1)),"")&gt;=3),"",VALUE(LEFT('Base Encuesta'!#REF!,1)))</f>
        <v>#REF!</v>
      </c>
      <c r="Q5" t="e">
        <f>IF(OR('Base Encuesta'!#REF!="",IFERROR(VALUE(LEFT('Base Encuesta'!#REF!,1)),"")&gt;=3),"",VALUE(LEFT('Base Encuesta'!#REF!,1)))</f>
        <v>#REF!</v>
      </c>
      <c r="R5" t="e">
        <f>IF(OR('Base Encuesta'!#REF!="",IFERROR(VALUE(LEFT('Base Encuesta'!#REF!,1)),"")&gt;=3),"",VALUE(LEFT('Base Encuesta'!#REF!,1)))</f>
        <v>#REF!</v>
      </c>
      <c r="S5" t="e">
        <f>IF(OR('Base Encuesta'!#REF!="",IFERROR(VALUE(LEFT('Base Encuesta'!#REF!,1)),"")&gt;=3),"",VALUE(LEFT('Base Encuesta'!#REF!,1)))</f>
        <v>#REF!</v>
      </c>
      <c r="T5" t="e">
        <f>IF(OR('Base Encuesta'!#REF!="",IFERROR(VALUE(LEFT('Base Encuesta'!#REF!,1)),"")&gt;=3),"",VALUE(LEFT('Base Encuesta'!#REF!,1)))</f>
        <v>#REF!</v>
      </c>
      <c r="U5" t="e">
        <f>IF(OR('Base Encuesta'!#REF!="",IFERROR(VALUE(LEFT('Base Encuesta'!#REF!,1)),"")&gt;=3),"",VALUE(LEFT('Base Encuesta'!#REF!,1)))</f>
        <v>#REF!</v>
      </c>
      <c r="V5" t="e">
        <f>IF(OR('Base Encuesta'!#REF!="",IFERROR(VALUE(LEFT('Base Encuesta'!#REF!,1)),"")&gt;=3),"",VALUE(LEFT('Base Encuesta'!#REF!,1)))</f>
        <v>#REF!</v>
      </c>
      <c r="W5" t="e">
        <f>IF(OR('Base Encuesta'!#REF!="",IFERROR(VALUE(LEFT('Base Encuesta'!#REF!,1)),"")&gt;=3),"",VALUE(LEFT('Base Encuesta'!#REF!,1)))</f>
        <v>#REF!</v>
      </c>
      <c r="X5" t="e">
        <f>IF(OR('Base Encuesta'!#REF!="",IFERROR(VALUE(LEFT('Base Encuesta'!#REF!,1)),"")&gt;=3),"",IF(W5=1,VALUE(LEFT('Base Encuesta'!#REF!,1)),""))</f>
        <v>#REF!</v>
      </c>
      <c r="Y5" t="e">
        <f>IF(OR('Base Encuesta'!#REF!="",IFERROR(VALUE(LEFT('Base Encuesta'!#REF!,1)),"")&gt;=3),"",IF(W5=1,VALUE(LEFT('Base Encuesta'!#REF!,1)),""))</f>
        <v>#REF!</v>
      </c>
      <c r="Z5" t="e">
        <f>IF(OR('Base Encuesta'!#REF!="",IFERROR(VALUE(LEFT('Base Encuesta'!#REF!,1)),"")&gt;=3),"",IF(W5=1,VALUE(LEFT('Base Encuesta'!#REF!,1)),""))</f>
        <v>#REF!</v>
      </c>
      <c r="AA5" t="e">
        <f>IF(OR('Base Encuesta'!#REF!="",IFERROR(VALUE(LEFT('Base Encuesta'!#REF!,1)),"")&gt;=3),"",IF(W5=1,VALUE(LEFT('Base Encuesta'!#REF!,1)),""))</f>
        <v>#REF!</v>
      </c>
      <c r="AB5" t="e">
        <f>IF(OR('Base Encuesta'!#REF!="",IFERROR(VALUE(LEFT('Base Encuesta'!#REF!,1)),"")&gt;=3),"",IF(W5=1,VALUE(LEFT('Base Encuesta'!#REF!,1)),""))</f>
        <v>#REF!</v>
      </c>
      <c r="AC5" t="e">
        <f>IF(OR('Base Encuesta'!#REF!="",IFERROR(VALUE(LEFT('Base Encuesta'!#REF!,1)),"")&gt;=3),"",VALUE(LEFT('Base Encuesta'!#REF!,1)))</f>
        <v>#REF!</v>
      </c>
      <c r="AD5" t="e">
        <f>IF(OR('Base Encuesta'!#REF!="",IFERROR(VALUE(LEFT('Base Encuesta'!#REF!,1)),"")&gt;=3),"",VALUE(LEFT('Base Encuesta'!#REF!,1)))</f>
        <v>#REF!</v>
      </c>
      <c r="AE5" t="e">
        <f>IF(OR('Base Encuesta'!#REF!="",IFERROR(VALUE(LEFT('Base Encuesta'!#REF!,1)),"")&gt;=3),"",VALUE(LEFT('Base Encuesta'!#REF!,1)))</f>
        <v>#REF!</v>
      </c>
      <c r="AF5" t="e">
        <f>IF(OR('Base Encuesta'!#REF!="",IFERROR(VALUE(LEFT('Base Encuesta'!#REF!,1)),"")&gt;=3),"",VALUE(LEFT('Base Encuesta'!#REF!,1)))</f>
        <v>#REF!</v>
      </c>
      <c r="AG5" t="e">
        <f>IF(OR('Base Encuesta'!#REF!="",IFERROR(VALUE(LEFT('Base Encuesta'!#REF!,1)),"")&gt;=3),"",VALUE(LEFT('Base Encuesta'!#REF!,1)))</f>
        <v>#REF!</v>
      </c>
      <c r="AH5" t="e">
        <f>IF(OR('Base Encuesta'!#REF!="",IFERROR(VALUE(LEFT('Base Encuesta'!#REF!,1)),"")&gt;=3),"",VALUE(LEFT('Base Encuesta'!#REF!,1)))</f>
        <v>#REF!</v>
      </c>
    </row>
    <row r="6" spans="1:34">
      <c r="A6" t="e">
        <f>IF('Base Encuesta'!#REF!="","",'Base Encuesta'!#REF!)</f>
        <v>#REF!</v>
      </c>
      <c r="B6" t="e">
        <f>IF('Base Encuesta'!#REF!="","",'Base Encuesta'!#REF!)</f>
        <v>#REF!</v>
      </c>
      <c r="C6" t="e">
        <f>IF('Base Encuesta'!#REF!="","",'Base Encuesta'!#REF!)</f>
        <v>#REF!</v>
      </c>
      <c r="D6" t="e">
        <f>IF('Base Encuesta'!#REF!="","",'Base Encuesta'!#REF!)</f>
        <v>#REF!</v>
      </c>
      <c r="E6" t="e">
        <f>IF('Base Encuesta'!#REF!="","",'Base Encuesta'!#REF!)</f>
        <v>#REF!</v>
      </c>
      <c r="F6" t="e">
        <f>IF('Base Encuesta'!#REF!="","",'Base Encuesta'!#REF!)</f>
        <v>#REF!</v>
      </c>
      <c r="G6" t="e">
        <f>IF('Base Encuesta'!#REF!="","",'Base Encuesta'!#REF!)</f>
        <v>#REF!</v>
      </c>
      <c r="H6" t="e">
        <f>IF('Base Encuesta'!#REF!="","",'Base Encuesta'!#REF!)</f>
        <v>#REF!</v>
      </c>
      <c r="I6" t="e">
        <f>IF('Base Encuesta'!#REF!="","",'Base Encuesta'!#REF!)</f>
        <v>#REF!</v>
      </c>
      <c r="J6" t="e">
        <f>IF(OR('Base Encuesta'!#REF!="",IFERROR(VALUE(LEFT('Base Encuesta'!#REF!,1)),"")&gt;=3),"",PROPER(TRIM('Base Encuesta'!#REF!)))</f>
        <v>#REF!</v>
      </c>
      <c r="K6" t="e">
        <f>IF(OR('Base Encuesta'!#REF!="",IFERROR(VALUE(LEFT('Base Encuesta'!#REF!,1)),"")&gt;=3),"",'Base Encuesta'!#REF!)</f>
        <v>#REF!</v>
      </c>
      <c r="L6" t="e">
        <f>IF(OR('Base Encuesta'!#REF!="",IFERROR(VALUE(LEFT('Base Encuesta'!#REF!,1)),"")&gt;=3),"",VALUE(LEFT('Base Encuesta'!#REF!,1)))</f>
        <v>#REF!</v>
      </c>
      <c r="M6" t="e">
        <f>IF(OR('Base Encuesta'!#REF!="",IFERROR(VALUE(LEFT('Base Encuesta'!#REF!,1)),"")&gt;=3),"",VALUE(LEFT('Base Encuesta'!#REF!,1)))</f>
        <v>#REF!</v>
      </c>
      <c r="N6" t="e">
        <f>IF(OR('Base Encuesta'!#REF!="",IFERROR(VALUE(LEFT('Base Encuesta'!#REF!,1)),"")&gt;=3),"",VALUE(LEFT('Base Encuesta'!#REF!,1)))</f>
        <v>#REF!</v>
      </c>
      <c r="O6" t="e">
        <f>IF(OR('Base Encuesta'!#REF!="",IFERROR(VALUE(LEFT('Base Encuesta'!#REF!,1)),"")&gt;=3),"",VALUE(LEFT('Base Encuesta'!#REF!,1)))</f>
        <v>#REF!</v>
      </c>
      <c r="P6" t="e">
        <f>IF(OR('Base Encuesta'!#REF!="",IFERROR(VALUE(LEFT('Base Encuesta'!#REF!,1)),"")&gt;=3),"",VALUE(LEFT('Base Encuesta'!#REF!,1)))</f>
        <v>#REF!</v>
      </c>
      <c r="Q6" t="e">
        <f>IF(OR('Base Encuesta'!#REF!="",IFERROR(VALUE(LEFT('Base Encuesta'!#REF!,1)),"")&gt;=3),"",VALUE(LEFT('Base Encuesta'!#REF!,1)))</f>
        <v>#REF!</v>
      </c>
      <c r="R6" t="e">
        <f>IF(OR('Base Encuesta'!#REF!="",IFERROR(VALUE(LEFT('Base Encuesta'!#REF!,1)),"")&gt;=3),"",VALUE(LEFT('Base Encuesta'!#REF!,1)))</f>
        <v>#REF!</v>
      </c>
      <c r="S6" t="e">
        <f>IF(OR('Base Encuesta'!#REF!="",IFERROR(VALUE(LEFT('Base Encuesta'!#REF!,1)),"")&gt;=3),"",VALUE(LEFT('Base Encuesta'!#REF!,1)))</f>
        <v>#REF!</v>
      </c>
      <c r="T6" t="e">
        <f>IF(OR('Base Encuesta'!#REF!="",IFERROR(VALUE(LEFT('Base Encuesta'!#REF!,1)),"")&gt;=3),"",VALUE(LEFT('Base Encuesta'!#REF!,1)))</f>
        <v>#REF!</v>
      </c>
      <c r="U6" t="e">
        <f>IF(OR('Base Encuesta'!#REF!="",IFERROR(VALUE(LEFT('Base Encuesta'!#REF!,1)),"")&gt;=3),"",VALUE(LEFT('Base Encuesta'!#REF!,1)))</f>
        <v>#REF!</v>
      </c>
      <c r="V6" t="e">
        <f>IF(OR('Base Encuesta'!#REF!="",IFERROR(VALUE(LEFT('Base Encuesta'!#REF!,1)),"")&gt;=3),"",VALUE(LEFT('Base Encuesta'!#REF!,1)))</f>
        <v>#REF!</v>
      </c>
      <c r="W6" t="e">
        <f>IF(OR('Base Encuesta'!#REF!="",IFERROR(VALUE(LEFT('Base Encuesta'!#REF!,1)),"")&gt;=3),"",VALUE(LEFT('Base Encuesta'!#REF!,1)))</f>
        <v>#REF!</v>
      </c>
      <c r="X6" t="e">
        <f>IF(OR('Base Encuesta'!#REF!="",IFERROR(VALUE(LEFT('Base Encuesta'!#REF!,1)),"")&gt;=3),"",IF(W6=1,VALUE(LEFT('Base Encuesta'!#REF!,1)),""))</f>
        <v>#REF!</v>
      </c>
      <c r="Y6" t="e">
        <f>IF(OR('Base Encuesta'!#REF!="",IFERROR(VALUE(LEFT('Base Encuesta'!#REF!,1)),"")&gt;=3),"",IF(W6=1,VALUE(LEFT('Base Encuesta'!#REF!,1)),""))</f>
        <v>#REF!</v>
      </c>
      <c r="Z6" t="e">
        <f>IF(OR('Base Encuesta'!#REF!="",IFERROR(VALUE(LEFT('Base Encuesta'!#REF!,1)),"")&gt;=3),"",IF(W6=1,VALUE(LEFT('Base Encuesta'!#REF!,1)),""))</f>
        <v>#REF!</v>
      </c>
      <c r="AA6" t="e">
        <f>IF(OR('Base Encuesta'!#REF!="",IFERROR(VALUE(LEFT('Base Encuesta'!#REF!,1)),"")&gt;=3),"",IF(W6=1,VALUE(LEFT('Base Encuesta'!#REF!,1)),""))</f>
        <v>#REF!</v>
      </c>
      <c r="AB6" t="e">
        <f>IF(OR('Base Encuesta'!#REF!="",IFERROR(VALUE(LEFT('Base Encuesta'!#REF!,1)),"")&gt;=3),"",IF(W6=1,VALUE(LEFT('Base Encuesta'!#REF!,1)),""))</f>
        <v>#REF!</v>
      </c>
      <c r="AC6" t="e">
        <f>IF(OR('Base Encuesta'!#REF!="",IFERROR(VALUE(LEFT('Base Encuesta'!#REF!,1)),"")&gt;=3),"",VALUE(LEFT('Base Encuesta'!#REF!,1)))</f>
        <v>#REF!</v>
      </c>
      <c r="AD6" t="e">
        <f>IF(OR('Base Encuesta'!#REF!="",IFERROR(VALUE(LEFT('Base Encuesta'!#REF!,1)),"")&gt;=3),"",VALUE(LEFT('Base Encuesta'!#REF!,1)))</f>
        <v>#REF!</v>
      </c>
      <c r="AE6" t="e">
        <f>IF(OR('Base Encuesta'!#REF!="",IFERROR(VALUE(LEFT('Base Encuesta'!#REF!,1)),"")&gt;=3),"",VALUE(LEFT('Base Encuesta'!#REF!,1)))</f>
        <v>#REF!</v>
      </c>
      <c r="AF6" t="e">
        <f>IF(OR('Base Encuesta'!#REF!="",IFERROR(VALUE(LEFT('Base Encuesta'!#REF!,1)),"")&gt;=3),"",VALUE(LEFT('Base Encuesta'!#REF!,1)))</f>
        <v>#REF!</v>
      </c>
      <c r="AG6" t="e">
        <f>IF(OR('Base Encuesta'!#REF!="",IFERROR(VALUE(LEFT('Base Encuesta'!#REF!,1)),"")&gt;=3),"",VALUE(LEFT('Base Encuesta'!#REF!,1)))</f>
        <v>#REF!</v>
      </c>
      <c r="AH6" t="e">
        <f>IF(OR('Base Encuesta'!#REF!="",IFERROR(VALUE(LEFT('Base Encuesta'!#REF!,1)),"")&gt;=3),"",VALUE(LEFT('Base Encuesta'!#REF!,1)))</f>
        <v>#REF!</v>
      </c>
    </row>
    <row r="7" spans="1:34">
      <c r="A7" t="e">
        <f>IF('Base Encuesta'!#REF!="","",'Base Encuesta'!#REF!)</f>
        <v>#REF!</v>
      </c>
      <c r="B7" t="e">
        <f>IF('Base Encuesta'!#REF!="","",'Base Encuesta'!#REF!)</f>
        <v>#REF!</v>
      </c>
      <c r="C7" t="e">
        <f>IF('Base Encuesta'!#REF!="","",'Base Encuesta'!#REF!)</f>
        <v>#REF!</v>
      </c>
      <c r="D7" t="e">
        <f>IF('Base Encuesta'!#REF!="","",'Base Encuesta'!#REF!)</f>
        <v>#REF!</v>
      </c>
      <c r="E7" t="e">
        <f>IF('Base Encuesta'!#REF!="","",'Base Encuesta'!#REF!)</f>
        <v>#REF!</v>
      </c>
      <c r="F7" t="e">
        <f>IF('Base Encuesta'!#REF!="","",'Base Encuesta'!#REF!)</f>
        <v>#REF!</v>
      </c>
      <c r="G7" t="e">
        <f>IF('Base Encuesta'!#REF!="","",'Base Encuesta'!#REF!)</f>
        <v>#REF!</v>
      </c>
      <c r="H7" t="e">
        <f>IF('Base Encuesta'!#REF!="","",'Base Encuesta'!#REF!)</f>
        <v>#REF!</v>
      </c>
      <c r="I7" t="e">
        <f>IF('Base Encuesta'!#REF!="","",'Base Encuesta'!#REF!)</f>
        <v>#REF!</v>
      </c>
      <c r="J7" t="e">
        <f>IF(OR('Base Encuesta'!#REF!="",IFERROR(VALUE(LEFT('Base Encuesta'!#REF!,1)),"")&gt;=3),"",PROPER(TRIM('Base Encuesta'!#REF!)))</f>
        <v>#REF!</v>
      </c>
      <c r="K7" t="e">
        <f>IF(OR('Base Encuesta'!#REF!="",IFERROR(VALUE(LEFT('Base Encuesta'!#REF!,1)),"")&gt;=3),"",'Base Encuesta'!#REF!)</f>
        <v>#REF!</v>
      </c>
      <c r="L7" t="e">
        <f>IF(OR('Base Encuesta'!#REF!="",IFERROR(VALUE(LEFT('Base Encuesta'!#REF!,1)),"")&gt;=3),"",VALUE(LEFT('Base Encuesta'!#REF!,1)))</f>
        <v>#REF!</v>
      </c>
      <c r="M7" t="e">
        <f>IF(OR('Base Encuesta'!#REF!="",IFERROR(VALUE(LEFT('Base Encuesta'!#REF!,1)),"")&gt;=3),"",VALUE(LEFT('Base Encuesta'!#REF!,1)))</f>
        <v>#REF!</v>
      </c>
      <c r="N7" t="e">
        <f>IF(OR('Base Encuesta'!#REF!="",IFERROR(VALUE(LEFT('Base Encuesta'!#REF!,1)),"")&gt;=3),"",VALUE(LEFT('Base Encuesta'!#REF!,1)))</f>
        <v>#REF!</v>
      </c>
      <c r="O7" t="e">
        <f>IF(OR('Base Encuesta'!#REF!="",IFERROR(VALUE(LEFT('Base Encuesta'!#REF!,1)),"")&gt;=3),"",VALUE(LEFT('Base Encuesta'!#REF!,1)))</f>
        <v>#REF!</v>
      </c>
      <c r="P7" t="e">
        <f>IF(OR('Base Encuesta'!#REF!="",IFERROR(VALUE(LEFT('Base Encuesta'!#REF!,1)),"")&gt;=3),"",VALUE(LEFT('Base Encuesta'!#REF!,1)))</f>
        <v>#REF!</v>
      </c>
      <c r="Q7" t="e">
        <f>IF(OR('Base Encuesta'!#REF!="",IFERROR(VALUE(LEFT('Base Encuesta'!#REF!,1)),"")&gt;=3),"",VALUE(LEFT('Base Encuesta'!#REF!,1)))</f>
        <v>#REF!</v>
      </c>
      <c r="R7" t="e">
        <f>IF(OR('Base Encuesta'!#REF!="",IFERROR(VALUE(LEFT('Base Encuesta'!#REF!,1)),"")&gt;=3),"",VALUE(LEFT('Base Encuesta'!#REF!,1)))</f>
        <v>#REF!</v>
      </c>
      <c r="S7" t="e">
        <f>IF(OR('Base Encuesta'!#REF!="",IFERROR(VALUE(LEFT('Base Encuesta'!#REF!,1)),"")&gt;=3),"",VALUE(LEFT('Base Encuesta'!#REF!,1)))</f>
        <v>#REF!</v>
      </c>
      <c r="T7" t="e">
        <f>IF(OR('Base Encuesta'!#REF!="",IFERROR(VALUE(LEFT('Base Encuesta'!#REF!,1)),"")&gt;=3),"",VALUE(LEFT('Base Encuesta'!#REF!,1)))</f>
        <v>#REF!</v>
      </c>
      <c r="U7" t="e">
        <f>IF(OR('Base Encuesta'!#REF!="",IFERROR(VALUE(LEFT('Base Encuesta'!#REF!,1)),"")&gt;=3),"",VALUE(LEFT('Base Encuesta'!#REF!,1)))</f>
        <v>#REF!</v>
      </c>
      <c r="V7" t="e">
        <f>IF(OR('Base Encuesta'!#REF!="",IFERROR(VALUE(LEFT('Base Encuesta'!#REF!,1)),"")&gt;=3),"",VALUE(LEFT('Base Encuesta'!#REF!,1)))</f>
        <v>#REF!</v>
      </c>
      <c r="W7" t="e">
        <f>IF(OR('Base Encuesta'!#REF!="",IFERROR(VALUE(LEFT('Base Encuesta'!#REF!,1)),"")&gt;=3),"",VALUE(LEFT('Base Encuesta'!#REF!,1)))</f>
        <v>#REF!</v>
      </c>
      <c r="X7" t="e">
        <f>IF(OR('Base Encuesta'!#REF!="",IFERROR(VALUE(LEFT('Base Encuesta'!#REF!,1)),"")&gt;=3),"",IF(W7=1,VALUE(LEFT('Base Encuesta'!#REF!,1)),""))</f>
        <v>#REF!</v>
      </c>
      <c r="Y7" t="e">
        <f>IF(OR('Base Encuesta'!#REF!="",IFERROR(VALUE(LEFT('Base Encuesta'!#REF!,1)),"")&gt;=3),"",IF(W7=1,VALUE(LEFT('Base Encuesta'!#REF!,1)),""))</f>
        <v>#REF!</v>
      </c>
      <c r="Z7" t="e">
        <f>IF(OR('Base Encuesta'!#REF!="",IFERROR(VALUE(LEFT('Base Encuesta'!#REF!,1)),"")&gt;=3),"",IF(W7=1,VALUE(LEFT('Base Encuesta'!#REF!,1)),""))</f>
        <v>#REF!</v>
      </c>
      <c r="AA7" t="e">
        <f>IF(OR('Base Encuesta'!#REF!="",IFERROR(VALUE(LEFT('Base Encuesta'!#REF!,1)),"")&gt;=3),"",IF(W7=1,VALUE(LEFT('Base Encuesta'!#REF!,1)),""))</f>
        <v>#REF!</v>
      </c>
      <c r="AB7" t="e">
        <f>IF(OR('Base Encuesta'!#REF!="",IFERROR(VALUE(LEFT('Base Encuesta'!#REF!,1)),"")&gt;=3),"",IF(W7=1,VALUE(LEFT('Base Encuesta'!#REF!,1)),""))</f>
        <v>#REF!</v>
      </c>
      <c r="AC7" t="e">
        <f>IF(OR('Base Encuesta'!#REF!="",IFERROR(VALUE(LEFT('Base Encuesta'!#REF!,1)),"")&gt;=3),"",VALUE(LEFT('Base Encuesta'!#REF!,1)))</f>
        <v>#REF!</v>
      </c>
      <c r="AD7" t="e">
        <f>IF(OR('Base Encuesta'!#REF!="",IFERROR(VALUE(LEFT('Base Encuesta'!#REF!,1)),"")&gt;=3),"",VALUE(LEFT('Base Encuesta'!#REF!,1)))</f>
        <v>#REF!</v>
      </c>
      <c r="AE7" t="e">
        <f>IF(OR('Base Encuesta'!#REF!="",IFERROR(VALUE(LEFT('Base Encuesta'!#REF!,1)),"")&gt;=3),"",VALUE(LEFT('Base Encuesta'!#REF!,1)))</f>
        <v>#REF!</v>
      </c>
      <c r="AF7" t="e">
        <f>IF(OR('Base Encuesta'!#REF!="",IFERROR(VALUE(LEFT('Base Encuesta'!#REF!,1)),"")&gt;=3),"",VALUE(LEFT('Base Encuesta'!#REF!,1)))</f>
        <v>#REF!</v>
      </c>
      <c r="AG7" t="e">
        <f>IF(OR('Base Encuesta'!#REF!="",IFERROR(VALUE(LEFT('Base Encuesta'!#REF!,1)),"")&gt;=3),"",VALUE(LEFT('Base Encuesta'!#REF!,1)))</f>
        <v>#REF!</v>
      </c>
      <c r="AH7" t="e">
        <f>IF(OR('Base Encuesta'!#REF!="",IFERROR(VALUE(LEFT('Base Encuesta'!#REF!,1)),"")&gt;=3),"",VALUE(LEFT('Base Encuesta'!#REF!,1)))</f>
        <v>#REF!</v>
      </c>
    </row>
    <row r="8" spans="1:34">
      <c r="A8" t="e">
        <f>IF('Base Encuesta'!#REF!="","",'Base Encuesta'!#REF!)</f>
        <v>#REF!</v>
      </c>
      <c r="B8" t="e">
        <f>IF('Base Encuesta'!#REF!="","",'Base Encuesta'!#REF!)</f>
        <v>#REF!</v>
      </c>
      <c r="C8" t="e">
        <f>IF('Base Encuesta'!#REF!="","",'Base Encuesta'!#REF!)</f>
        <v>#REF!</v>
      </c>
      <c r="D8" t="e">
        <f>IF('Base Encuesta'!#REF!="","",'Base Encuesta'!#REF!)</f>
        <v>#REF!</v>
      </c>
      <c r="E8" t="e">
        <f>IF('Base Encuesta'!#REF!="","",'Base Encuesta'!#REF!)</f>
        <v>#REF!</v>
      </c>
      <c r="F8" t="e">
        <f>IF('Base Encuesta'!#REF!="","",'Base Encuesta'!#REF!)</f>
        <v>#REF!</v>
      </c>
      <c r="G8" t="e">
        <f>IF('Base Encuesta'!#REF!="","",'Base Encuesta'!#REF!)</f>
        <v>#REF!</v>
      </c>
      <c r="H8" t="e">
        <f>IF('Base Encuesta'!#REF!="","",'Base Encuesta'!#REF!)</f>
        <v>#REF!</v>
      </c>
      <c r="I8" t="e">
        <f>IF('Base Encuesta'!#REF!="","",'Base Encuesta'!#REF!)</f>
        <v>#REF!</v>
      </c>
      <c r="J8" t="e">
        <f>IF(OR('Base Encuesta'!#REF!="",IFERROR(VALUE(LEFT('Base Encuesta'!#REF!,1)),"")&gt;=3),"",PROPER(TRIM('Base Encuesta'!#REF!)))</f>
        <v>#REF!</v>
      </c>
      <c r="K8" t="e">
        <f>IF(OR('Base Encuesta'!#REF!="",IFERROR(VALUE(LEFT('Base Encuesta'!#REF!,1)),"")&gt;=3),"",'Base Encuesta'!#REF!)</f>
        <v>#REF!</v>
      </c>
      <c r="L8" t="e">
        <f>IF(OR('Base Encuesta'!#REF!="",IFERROR(VALUE(LEFT('Base Encuesta'!#REF!,1)),"")&gt;=3),"",VALUE(LEFT('Base Encuesta'!#REF!,1)))</f>
        <v>#REF!</v>
      </c>
      <c r="M8" t="e">
        <f>IF(OR('Base Encuesta'!#REF!="",IFERROR(VALUE(LEFT('Base Encuesta'!#REF!,1)),"")&gt;=3),"",VALUE(LEFT('Base Encuesta'!#REF!,1)))</f>
        <v>#REF!</v>
      </c>
      <c r="N8" t="e">
        <f>IF(OR('Base Encuesta'!#REF!="",IFERROR(VALUE(LEFT('Base Encuesta'!#REF!,1)),"")&gt;=3),"",VALUE(LEFT('Base Encuesta'!#REF!,1)))</f>
        <v>#REF!</v>
      </c>
      <c r="O8" t="e">
        <f>IF(OR('Base Encuesta'!#REF!="",IFERROR(VALUE(LEFT('Base Encuesta'!#REF!,1)),"")&gt;=3),"",VALUE(LEFT('Base Encuesta'!#REF!,1)))</f>
        <v>#REF!</v>
      </c>
      <c r="P8" t="e">
        <f>IF(OR('Base Encuesta'!#REF!="",IFERROR(VALUE(LEFT('Base Encuesta'!#REF!,1)),"")&gt;=3),"",VALUE(LEFT('Base Encuesta'!#REF!,1)))</f>
        <v>#REF!</v>
      </c>
      <c r="Q8" t="e">
        <f>IF(OR('Base Encuesta'!#REF!="",IFERROR(VALUE(LEFT('Base Encuesta'!#REF!,1)),"")&gt;=3),"",VALUE(LEFT('Base Encuesta'!#REF!,1)))</f>
        <v>#REF!</v>
      </c>
      <c r="R8" t="e">
        <f>IF(OR('Base Encuesta'!#REF!="",IFERROR(VALUE(LEFT('Base Encuesta'!#REF!,1)),"")&gt;=3),"",VALUE(LEFT('Base Encuesta'!#REF!,1)))</f>
        <v>#REF!</v>
      </c>
      <c r="S8" t="e">
        <f>IF(OR('Base Encuesta'!#REF!="",IFERROR(VALUE(LEFT('Base Encuesta'!#REF!,1)),"")&gt;=3),"",VALUE(LEFT('Base Encuesta'!#REF!,1)))</f>
        <v>#REF!</v>
      </c>
      <c r="T8" t="e">
        <f>IF(OR('Base Encuesta'!#REF!="",IFERROR(VALUE(LEFT('Base Encuesta'!#REF!,1)),"")&gt;=3),"",VALUE(LEFT('Base Encuesta'!#REF!,1)))</f>
        <v>#REF!</v>
      </c>
      <c r="U8" t="e">
        <f>IF(OR('Base Encuesta'!#REF!="",IFERROR(VALUE(LEFT('Base Encuesta'!#REF!,1)),"")&gt;=3),"",VALUE(LEFT('Base Encuesta'!#REF!,1)))</f>
        <v>#REF!</v>
      </c>
      <c r="V8" t="e">
        <f>IF(OR('Base Encuesta'!#REF!="",IFERROR(VALUE(LEFT('Base Encuesta'!#REF!,1)),"")&gt;=3),"",VALUE(LEFT('Base Encuesta'!#REF!,1)))</f>
        <v>#REF!</v>
      </c>
      <c r="W8" t="e">
        <f>IF(OR('Base Encuesta'!#REF!="",IFERROR(VALUE(LEFT('Base Encuesta'!#REF!,1)),"")&gt;=3),"",VALUE(LEFT('Base Encuesta'!#REF!,1)))</f>
        <v>#REF!</v>
      </c>
      <c r="X8" t="e">
        <f>IF(OR('Base Encuesta'!#REF!="",IFERROR(VALUE(LEFT('Base Encuesta'!#REF!,1)),"")&gt;=3),"",IF(W8=1,VALUE(LEFT('Base Encuesta'!#REF!,1)),""))</f>
        <v>#REF!</v>
      </c>
      <c r="Y8" t="e">
        <f>IF(OR('Base Encuesta'!#REF!="",IFERROR(VALUE(LEFT('Base Encuesta'!#REF!,1)),"")&gt;=3),"",IF(W8=1,VALUE(LEFT('Base Encuesta'!#REF!,1)),""))</f>
        <v>#REF!</v>
      </c>
      <c r="Z8" t="e">
        <f>IF(OR('Base Encuesta'!#REF!="",IFERROR(VALUE(LEFT('Base Encuesta'!#REF!,1)),"")&gt;=3),"",IF(W8=1,VALUE(LEFT('Base Encuesta'!#REF!,1)),""))</f>
        <v>#REF!</v>
      </c>
      <c r="AA8" t="e">
        <f>IF(OR('Base Encuesta'!#REF!="",IFERROR(VALUE(LEFT('Base Encuesta'!#REF!,1)),"")&gt;=3),"",IF(W8=1,VALUE(LEFT('Base Encuesta'!#REF!,1)),""))</f>
        <v>#REF!</v>
      </c>
      <c r="AB8" t="e">
        <f>IF(OR('Base Encuesta'!#REF!="",IFERROR(VALUE(LEFT('Base Encuesta'!#REF!,1)),"")&gt;=3),"",IF(W8=1,VALUE(LEFT('Base Encuesta'!#REF!,1)),""))</f>
        <v>#REF!</v>
      </c>
      <c r="AC8" t="e">
        <f>IF(OR('Base Encuesta'!#REF!="",IFERROR(VALUE(LEFT('Base Encuesta'!#REF!,1)),"")&gt;=3),"",VALUE(LEFT('Base Encuesta'!#REF!,1)))</f>
        <v>#REF!</v>
      </c>
      <c r="AD8" t="e">
        <f>IF(OR('Base Encuesta'!#REF!="",IFERROR(VALUE(LEFT('Base Encuesta'!#REF!,1)),"")&gt;=3),"",VALUE(LEFT('Base Encuesta'!#REF!,1)))</f>
        <v>#REF!</v>
      </c>
      <c r="AE8" t="e">
        <f>IF(OR('Base Encuesta'!#REF!="",IFERROR(VALUE(LEFT('Base Encuesta'!#REF!,1)),"")&gt;=3),"",VALUE(LEFT('Base Encuesta'!#REF!,1)))</f>
        <v>#REF!</v>
      </c>
      <c r="AF8" t="e">
        <f>IF(OR('Base Encuesta'!#REF!="",IFERROR(VALUE(LEFT('Base Encuesta'!#REF!,1)),"")&gt;=3),"",VALUE(LEFT('Base Encuesta'!#REF!,1)))</f>
        <v>#REF!</v>
      </c>
      <c r="AG8" t="e">
        <f>IF(OR('Base Encuesta'!#REF!="",IFERROR(VALUE(LEFT('Base Encuesta'!#REF!,1)),"")&gt;=3),"",VALUE(LEFT('Base Encuesta'!#REF!,1)))</f>
        <v>#REF!</v>
      </c>
      <c r="AH8" t="e">
        <f>IF(OR('Base Encuesta'!#REF!="",IFERROR(VALUE(LEFT('Base Encuesta'!#REF!,1)),"")&gt;=3),"",VALUE(LEFT('Base Encuesta'!#REF!,1)))</f>
        <v>#REF!</v>
      </c>
    </row>
    <row r="9" spans="1:34">
      <c r="A9" t="e">
        <f>IF('Base Encuesta'!#REF!="","",'Base Encuesta'!#REF!)</f>
        <v>#REF!</v>
      </c>
      <c r="B9" t="e">
        <f>IF('Base Encuesta'!#REF!="","",'Base Encuesta'!#REF!)</f>
        <v>#REF!</v>
      </c>
      <c r="C9" t="e">
        <f>IF('Base Encuesta'!#REF!="","",'Base Encuesta'!#REF!)</f>
        <v>#REF!</v>
      </c>
      <c r="D9" t="e">
        <f>IF('Base Encuesta'!#REF!="","",'Base Encuesta'!#REF!)</f>
        <v>#REF!</v>
      </c>
      <c r="E9" t="e">
        <f>IF('Base Encuesta'!#REF!="","",'Base Encuesta'!#REF!)</f>
        <v>#REF!</v>
      </c>
      <c r="F9" t="e">
        <f>IF('Base Encuesta'!#REF!="","",'Base Encuesta'!#REF!)</f>
        <v>#REF!</v>
      </c>
      <c r="G9" t="e">
        <f>IF('Base Encuesta'!#REF!="","",'Base Encuesta'!#REF!)</f>
        <v>#REF!</v>
      </c>
      <c r="H9" t="e">
        <f>IF('Base Encuesta'!#REF!="","",'Base Encuesta'!#REF!)</f>
        <v>#REF!</v>
      </c>
      <c r="I9" t="e">
        <f>IF('Base Encuesta'!#REF!="","",'Base Encuesta'!#REF!)</f>
        <v>#REF!</v>
      </c>
      <c r="J9" t="e">
        <f>IF(OR('Base Encuesta'!#REF!="",IFERROR(VALUE(LEFT('Base Encuesta'!#REF!,1)),"")&gt;=3),"",PROPER(TRIM('Base Encuesta'!#REF!)))</f>
        <v>#REF!</v>
      </c>
      <c r="K9" t="e">
        <f>IF(OR('Base Encuesta'!#REF!="",IFERROR(VALUE(LEFT('Base Encuesta'!#REF!,1)),"")&gt;=3),"",'Base Encuesta'!#REF!)</f>
        <v>#REF!</v>
      </c>
      <c r="L9" t="e">
        <f>IF(OR('Base Encuesta'!#REF!="",IFERROR(VALUE(LEFT('Base Encuesta'!#REF!,1)),"")&gt;=3),"",VALUE(LEFT('Base Encuesta'!#REF!,1)))</f>
        <v>#REF!</v>
      </c>
      <c r="M9" t="e">
        <f>IF(OR('Base Encuesta'!#REF!="",IFERROR(VALUE(LEFT('Base Encuesta'!#REF!,1)),"")&gt;=3),"",VALUE(LEFT('Base Encuesta'!#REF!,1)))</f>
        <v>#REF!</v>
      </c>
      <c r="N9" t="e">
        <f>IF(OR('Base Encuesta'!#REF!="",IFERROR(VALUE(LEFT('Base Encuesta'!#REF!,1)),"")&gt;=3),"",VALUE(LEFT('Base Encuesta'!#REF!,1)))</f>
        <v>#REF!</v>
      </c>
      <c r="O9" t="e">
        <f>IF(OR('Base Encuesta'!#REF!="",IFERROR(VALUE(LEFT('Base Encuesta'!#REF!,1)),"")&gt;=3),"",VALUE(LEFT('Base Encuesta'!#REF!,1)))</f>
        <v>#REF!</v>
      </c>
      <c r="P9" t="e">
        <f>IF(OR('Base Encuesta'!#REF!="",IFERROR(VALUE(LEFT('Base Encuesta'!#REF!,1)),"")&gt;=3),"",VALUE(LEFT('Base Encuesta'!#REF!,1)))</f>
        <v>#REF!</v>
      </c>
      <c r="Q9" t="e">
        <f>IF(OR('Base Encuesta'!#REF!="",IFERROR(VALUE(LEFT('Base Encuesta'!#REF!,1)),"")&gt;=3),"",VALUE(LEFT('Base Encuesta'!#REF!,1)))</f>
        <v>#REF!</v>
      </c>
      <c r="R9" t="e">
        <f>IF(OR('Base Encuesta'!#REF!="",IFERROR(VALUE(LEFT('Base Encuesta'!#REF!,1)),"")&gt;=3),"",VALUE(LEFT('Base Encuesta'!#REF!,1)))</f>
        <v>#REF!</v>
      </c>
      <c r="S9" t="e">
        <f>IF(OR('Base Encuesta'!#REF!="",IFERROR(VALUE(LEFT('Base Encuesta'!#REF!,1)),"")&gt;=3),"",VALUE(LEFT('Base Encuesta'!#REF!,1)))</f>
        <v>#REF!</v>
      </c>
      <c r="T9" t="e">
        <f>IF(OR('Base Encuesta'!#REF!="",IFERROR(VALUE(LEFT('Base Encuesta'!#REF!,1)),"")&gt;=3),"",VALUE(LEFT('Base Encuesta'!#REF!,1)))</f>
        <v>#REF!</v>
      </c>
      <c r="U9" t="e">
        <f>IF(OR('Base Encuesta'!#REF!="",IFERROR(VALUE(LEFT('Base Encuesta'!#REF!,1)),"")&gt;=3),"",VALUE(LEFT('Base Encuesta'!#REF!,1)))</f>
        <v>#REF!</v>
      </c>
      <c r="V9" t="e">
        <f>IF(OR('Base Encuesta'!#REF!="",IFERROR(VALUE(LEFT('Base Encuesta'!#REF!,1)),"")&gt;=3),"",VALUE(LEFT('Base Encuesta'!#REF!,1)))</f>
        <v>#REF!</v>
      </c>
      <c r="W9" t="e">
        <f>IF(OR('Base Encuesta'!#REF!="",IFERROR(VALUE(LEFT('Base Encuesta'!#REF!,1)),"")&gt;=3),"",VALUE(LEFT('Base Encuesta'!#REF!,1)))</f>
        <v>#REF!</v>
      </c>
      <c r="X9" t="e">
        <f>IF(OR('Base Encuesta'!#REF!="",IFERROR(VALUE(LEFT('Base Encuesta'!#REF!,1)),"")&gt;=3),"",IF(W9=1,VALUE(LEFT('Base Encuesta'!#REF!,1)),""))</f>
        <v>#REF!</v>
      </c>
      <c r="Y9" t="e">
        <f>IF(OR('Base Encuesta'!#REF!="",IFERROR(VALUE(LEFT('Base Encuesta'!#REF!,1)),"")&gt;=3),"",IF(W9=1,VALUE(LEFT('Base Encuesta'!#REF!,1)),""))</f>
        <v>#REF!</v>
      </c>
      <c r="Z9" t="e">
        <f>IF(OR('Base Encuesta'!#REF!="",IFERROR(VALUE(LEFT('Base Encuesta'!#REF!,1)),"")&gt;=3),"",IF(W9=1,VALUE(LEFT('Base Encuesta'!#REF!,1)),""))</f>
        <v>#REF!</v>
      </c>
      <c r="AA9" t="e">
        <f>IF(OR('Base Encuesta'!#REF!="",IFERROR(VALUE(LEFT('Base Encuesta'!#REF!,1)),"")&gt;=3),"",IF(W9=1,VALUE(LEFT('Base Encuesta'!#REF!,1)),""))</f>
        <v>#REF!</v>
      </c>
      <c r="AB9" t="e">
        <f>IF(OR('Base Encuesta'!#REF!="",IFERROR(VALUE(LEFT('Base Encuesta'!#REF!,1)),"")&gt;=3),"",IF(W9=1,VALUE(LEFT('Base Encuesta'!#REF!,1)),""))</f>
        <v>#REF!</v>
      </c>
      <c r="AC9" t="e">
        <f>IF(OR('Base Encuesta'!#REF!="",IFERROR(VALUE(LEFT('Base Encuesta'!#REF!,1)),"")&gt;=3),"",VALUE(LEFT('Base Encuesta'!#REF!,1)))</f>
        <v>#REF!</v>
      </c>
      <c r="AD9" t="e">
        <f>IF(OR('Base Encuesta'!#REF!="",IFERROR(VALUE(LEFT('Base Encuesta'!#REF!,1)),"")&gt;=3),"",VALUE(LEFT('Base Encuesta'!#REF!,1)))</f>
        <v>#REF!</v>
      </c>
      <c r="AE9" t="e">
        <f>IF(OR('Base Encuesta'!#REF!="",IFERROR(VALUE(LEFT('Base Encuesta'!#REF!,1)),"")&gt;=3),"",VALUE(LEFT('Base Encuesta'!#REF!,1)))</f>
        <v>#REF!</v>
      </c>
      <c r="AF9" t="e">
        <f>IF(OR('Base Encuesta'!#REF!="",IFERROR(VALUE(LEFT('Base Encuesta'!#REF!,1)),"")&gt;=3),"",VALUE(LEFT('Base Encuesta'!#REF!,1)))</f>
        <v>#REF!</v>
      </c>
      <c r="AG9" t="e">
        <f>IF(OR('Base Encuesta'!#REF!="",IFERROR(VALUE(LEFT('Base Encuesta'!#REF!,1)),"")&gt;=3),"",VALUE(LEFT('Base Encuesta'!#REF!,1)))</f>
        <v>#REF!</v>
      </c>
      <c r="AH9" t="e">
        <f>IF(OR('Base Encuesta'!#REF!="",IFERROR(VALUE(LEFT('Base Encuesta'!#REF!,1)),"")&gt;=3),"",VALUE(LEFT('Base Encuesta'!#REF!,1)))</f>
        <v>#REF!</v>
      </c>
    </row>
    <row r="10" spans="1:34">
      <c r="A10" t="e">
        <f>IF('Base Encuesta'!#REF!="","",'Base Encuesta'!#REF!)</f>
        <v>#REF!</v>
      </c>
      <c r="B10" t="e">
        <f>IF('Base Encuesta'!#REF!="","",'Base Encuesta'!#REF!)</f>
        <v>#REF!</v>
      </c>
      <c r="C10" t="e">
        <f>IF('Base Encuesta'!#REF!="","",'Base Encuesta'!#REF!)</f>
        <v>#REF!</v>
      </c>
      <c r="D10" t="e">
        <f>IF('Base Encuesta'!#REF!="","",'Base Encuesta'!#REF!)</f>
        <v>#REF!</v>
      </c>
      <c r="E10" t="e">
        <f>IF('Base Encuesta'!#REF!="","",'Base Encuesta'!#REF!)</f>
        <v>#REF!</v>
      </c>
      <c r="F10" t="e">
        <f>IF('Base Encuesta'!#REF!="","",'Base Encuesta'!#REF!)</f>
        <v>#REF!</v>
      </c>
      <c r="G10" t="e">
        <f>IF('Base Encuesta'!#REF!="","",'Base Encuesta'!#REF!)</f>
        <v>#REF!</v>
      </c>
      <c r="H10" t="e">
        <f>IF('Base Encuesta'!#REF!="","",'Base Encuesta'!#REF!)</f>
        <v>#REF!</v>
      </c>
      <c r="I10" t="e">
        <f>IF('Base Encuesta'!#REF!="","",'Base Encuesta'!#REF!)</f>
        <v>#REF!</v>
      </c>
      <c r="J10" t="e">
        <f>IF(OR('Base Encuesta'!#REF!="",IFERROR(VALUE(LEFT('Base Encuesta'!#REF!,1)),"")&gt;=3),"",PROPER(TRIM('Base Encuesta'!#REF!)))</f>
        <v>#REF!</v>
      </c>
      <c r="K10" t="e">
        <f>IF(OR('Base Encuesta'!#REF!="",IFERROR(VALUE(LEFT('Base Encuesta'!#REF!,1)),"")&gt;=3),"",'Base Encuesta'!#REF!)</f>
        <v>#REF!</v>
      </c>
      <c r="L10" t="e">
        <f>IF(OR('Base Encuesta'!#REF!="",IFERROR(VALUE(LEFT('Base Encuesta'!#REF!,1)),"")&gt;=3),"",VALUE(LEFT('Base Encuesta'!#REF!,1)))</f>
        <v>#REF!</v>
      </c>
      <c r="M10" t="e">
        <f>IF(OR('Base Encuesta'!#REF!="",IFERROR(VALUE(LEFT('Base Encuesta'!#REF!,1)),"")&gt;=3),"",VALUE(LEFT('Base Encuesta'!#REF!,1)))</f>
        <v>#REF!</v>
      </c>
      <c r="N10" t="e">
        <f>IF(OR('Base Encuesta'!#REF!="",IFERROR(VALUE(LEFT('Base Encuesta'!#REF!,1)),"")&gt;=3),"",VALUE(LEFT('Base Encuesta'!#REF!,1)))</f>
        <v>#REF!</v>
      </c>
      <c r="O10" t="e">
        <f>IF(OR('Base Encuesta'!#REF!="",IFERROR(VALUE(LEFT('Base Encuesta'!#REF!,1)),"")&gt;=3),"",VALUE(LEFT('Base Encuesta'!#REF!,1)))</f>
        <v>#REF!</v>
      </c>
      <c r="P10" t="e">
        <f>IF(OR('Base Encuesta'!#REF!="",IFERROR(VALUE(LEFT('Base Encuesta'!#REF!,1)),"")&gt;=3),"",VALUE(LEFT('Base Encuesta'!#REF!,1)))</f>
        <v>#REF!</v>
      </c>
      <c r="Q10" t="e">
        <f>IF(OR('Base Encuesta'!#REF!="",IFERROR(VALUE(LEFT('Base Encuesta'!#REF!,1)),"")&gt;=3),"",VALUE(LEFT('Base Encuesta'!#REF!,1)))</f>
        <v>#REF!</v>
      </c>
      <c r="R10" t="e">
        <f>IF(OR('Base Encuesta'!#REF!="",IFERROR(VALUE(LEFT('Base Encuesta'!#REF!,1)),"")&gt;=3),"",VALUE(LEFT('Base Encuesta'!#REF!,1)))</f>
        <v>#REF!</v>
      </c>
      <c r="S10" t="e">
        <f>IF(OR('Base Encuesta'!#REF!="",IFERROR(VALUE(LEFT('Base Encuesta'!#REF!,1)),"")&gt;=3),"",VALUE(LEFT('Base Encuesta'!#REF!,1)))</f>
        <v>#REF!</v>
      </c>
      <c r="T10" t="e">
        <f>IF(OR('Base Encuesta'!#REF!="",IFERROR(VALUE(LEFT('Base Encuesta'!#REF!,1)),"")&gt;=3),"",VALUE(LEFT('Base Encuesta'!#REF!,1)))</f>
        <v>#REF!</v>
      </c>
      <c r="U10" t="e">
        <f>IF(OR('Base Encuesta'!#REF!="",IFERROR(VALUE(LEFT('Base Encuesta'!#REF!,1)),"")&gt;=3),"",VALUE(LEFT('Base Encuesta'!#REF!,1)))</f>
        <v>#REF!</v>
      </c>
      <c r="V10" t="e">
        <f>IF(OR('Base Encuesta'!#REF!="",IFERROR(VALUE(LEFT('Base Encuesta'!#REF!,1)),"")&gt;=3),"",VALUE(LEFT('Base Encuesta'!#REF!,1)))</f>
        <v>#REF!</v>
      </c>
      <c r="W10" t="e">
        <f>IF(OR('Base Encuesta'!#REF!="",IFERROR(VALUE(LEFT('Base Encuesta'!#REF!,1)),"")&gt;=3),"",VALUE(LEFT('Base Encuesta'!#REF!,1)))</f>
        <v>#REF!</v>
      </c>
      <c r="X10" t="e">
        <f>IF(OR('Base Encuesta'!#REF!="",IFERROR(VALUE(LEFT('Base Encuesta'!#REF!,1)),"")&gt;=3),"",IF(W10=1,VALUE(LEFT('Base Encuesta'!#REF!,1)),""))</f>
        <v>#REF!</v>
      </c>
      <c r="Y10" t="e">
        <f>IF(OR('Base Encuesta'!#REF!="",IFERROR(VALUE(LEFT('Base Encuesta'!#REF!,1)),"")&gt;=3),"",IF(W10=1,VALUE(LEFT('Base Encuesta'!#REF!,1)),""))</f>
        <v>#REF!</v>
      </c>
      <c r="Z10" t="e">
        <f>IF(OR('Base Encuesta'!#REF!="",IFERROR(VALUE(LEFT('Base Encuesta'!#REF!,1)),"")&gt;=3),"",IF(W10=1,VALUE(LEFT('Base Encuesta'!#REF!,1)),""))</f>
        <v>#REF!</v>
      </c>
      <c r="AA10" t="e">
        <f>IF(OR('Base Encuesta'!#REF!="",IFERROR(VALUE(LEFT('Base Encuesta'!#REF!,1)),"")&gt;=3),"",IF(W10=1,VALUE(LEFT('Base Encuesta'!#REF!,1)),""))</f>
        <v>#REF!</v>
      </c>
      <c r="AB10" t="e">
        <f>IF(OR('Base Encuesta'!#REF!="",IFERROR(VALUE(LEFT('Base Encuesta'!#REF!,1)),"")&gt;=3),"",IF(W10=1,VALUE(LEFT('Base Encuesta'!#REF!,1)),""))</f>
        <v>#REF!</v>
      </c>
      <c r="AC10" t="e">
        <f>IF(OR('Base Encuesta'!#REF!="",IFERROR(VALUE(LEFT('Base Encuesta'!#REF!,1)),"")&gt;=3),"",VALUE(LEFT('Base Encuesta'!#REF!,1)))</f>
        <v>#REF!</v>
      </c>
      <c r="AD10" t="e">
        <f>IF(OR('Base Encuesta'!#REF!="",IFERROR(VALUE(LEFT('Base Encuesta'!#REF!,1)),"")&gt;=3),"",VALUE(LEFT('Base Encuesta'!#REF!,1)))</f>
        <v>#REF!</v>
      </c>
      <c r="AE10" t="e">
        <f>IF(OR('Base Encuesta'!#REF!="",IFERROR(VALUE(LEFT('Base Encuesta'!#REF!,1)),"")&gt;=3),"",VALUE(LEFT('Base Encuesta'!#REF!,1)))</f>
        <v>#REF!</v>
      </c>
      <c r="AF10" t="e">
        <f>IF(OR('Base Encuesta'!#REF!="",IFERROR(VALUE(LEFT('Base Encuesta'!#REF!,1)),"")&gt;=3),"",VALUE(LEFT('Base Encuesta'!#REF!,1)))</f>
        <v>#REF!</v>
      </c>
      <c r="AG10" t="e">
        <f>IF(OR('Base Encuesta'!#REF!="",IFERROR(VALUE(LEFT('Base Encuesta'!#REF!,1)),"")&gt;=3),"",VALUE(LEFT('Base Encuesta'!#REF!,1)))</f>
        <v>#REF!</v>
      </c>
      <c r="AH10" t="e">
        <f>IF(OR('Base Encuesta'!#REF!="",IFERROR(VALUE(LEFT('Base Encuesta'!#REF!,1)),"")&gt;=3),"",VALUE(LEFT('Base Encuesta'!#REF!,1)))</f>
        <v>#REF!</v>
      </c>
    </row>
    <row r="11" spans="1:34" ht="12" customHeight="1">
      <c r="A11" t="e">
        <f>IF('Base Encuesta'!#REF!="","",'Base Encuesta'!#REF!)</f>
        <v>#REF!</v>
      </c>
      <c r="B11" t="e">
        <f>IF('Base Encuesta'!#REF!="","",'Base Encuesta'!#REF!)</f>
        <v>#REF!</v>
      </c>
      <c r="C11" t="e">
        <f>IF('Base Encuesta'!#REF!="","",'Base Encuesta'!#REF!)</f>
        <v>#REF!</v>
      </c>
      <c r="D11" t="e">
        <f>IF('Base Encuesta'!#REF!="","",'Base Encuesta'!#REF!)</f>
        <v>#REF!</v>
      </c>
      <c r="E11" t="e">
        <f>IF('Base Encuesta'!#REF!="","",'Base Encuesta'!#REF!)</f>
        <v>#REF!</v>
      </c>
      <c r="F11" t="e">
        <f>IF('Base Encuesta'!#REF!="","",'Base Encuesta'!#REF!)</f>
        <v>#REF!</v>
      </c>
      <c r="G11" t="e">
        <f>IF('Base Encuesta'!#REF!="","",'Base Encuesta'!#REF!)</f>
        <v>#REF!</v>
      </c>
      <c r="H11" t="e">
        <f>IF('Base Encuesta'!#REF!="","",'Base Encuesta'!#REF!)</f>
        <v>#REF!</v>
      </c>
      <c r="I11" t="e">
        <f>IF('Base Encuesta'!#REF!="","",'Base Encuesta'!#REF!)</f>
        <v>#REF!</v>
      </c>
      <c r="J11" t="e">
        <f>IF(OR('Base Encuesta'!#REF!="",IFERROR(VALUE(LEFT('Base Encuesta'!#REF!,1)),"")&gt;=3),"",PROPER(TRIM('Base Encuesta'!#REF!)))</f>
        <v>#REF!</v>
      </c>
      <c r="K11" t="e">
        <f>IF(OR('Base Encuesta'!#REF!="",IFERROR(VALUE(LEFT('Base Encuesta'!#REF!,1)),"")&gt;=3),"",'Base Encuesta'!#REF!)</f>
        <v>#REF!</v>
      </c>
      <c r="L11" t="e">
        <f>IF(OR('Base Encuesta'!#REF!="",IFERROR(VALUE(LEFT('Base Encuesta'!#REF!,1)),"")&gt;=3),"",VALUE(LEFT('Base Encuesta'!#REF!,1)))</f>
        <v>#REF!</v>
      </c>
      <c r="M11" t="e">
        <f>IF(OR('Base Encuesta'!#REF!="",IFERROR(VALUE(LEFT('Base Encuesta'!#REF!,1)),"")&gt;=3),"",VALUE(LEFT('Base Encuesta'!#REF!,1)))</f>
        <v>#REF!</v>
      </c>
      <c r="N11" t="e">
        <f>IF(OR('Base Encuesta'!#REF!="",IFERROR(VALUE(LEFT('Base Encuesta'!#REF!,1)),"")&gt;=3),"",VALUE(LEFT('Base Encuesta'!#REF!,1)))</f>
        <v>#REF!</v>
      </c>
      <c r="O11" t="e">
        <f>IF(OR('Base Encuesta'!#REF!="",IFERROR(VALUE(LEFT('Base Encuesta'!#REF!,1)),"")&gt;=3),"",VALUE(LEFT('Base Encuesta'!#REF!,1)))</f>
        <v>#REF!</v>
      </c>
      <c r="P11" t="e">
        <f>IF(OR('Base Encuesta'!#REF!="",IFERROR(VALUE(LEFT('Base Encuesta'!#REF!,1)),"")&gt;=3),"",VALUE(LEFT('Base Encuesta'!#REF!,1)))</f>
        <v>#REF!</v>
      </c>
      <c r="Q11" t="e">
        <f>IF(OR('Base Encuesta'!#REF!="",IFERROR(VALUE(LEFT('Base Encuesta'!#REF!,1)),"")&gt;=3),"",VALUE(LEFT('Base Encuesta'!#REF!,1)))</f>
        <v>#REF!</v>
      </c>
      <c r="R11" t="e">
        <f>IF(OR('Base Encuesta'!#REF!="",IFERROR(VALUE(LEFT('Base Encuesta'!#REF!,1)),"")&gt;=3),"",VALUE(LEFT('Base Encuesta'!#REF!,1)))</f>
        <v>#REF!</v>
      </c>
      <c r="S11" t="e">
        <f>IF(OR('Base Encuesta'!#REF!="",IFERROR(VALUE(LEFT('Base Encuesta'!#REF!,1)),"")&gt;=3),"",VALUE(LEFT('Base Encuesta'!#REF!,1)))</f>
        <v>#REF!</v>
      </c>
      <c r="T11" t="e">
        <f>IF(OR('Base Encuesta'!#REF!="",IFERROR(VALUE(LEFT('Base Encuesta'!#REF!,1)),"")&gt;=3),"",VALUE(LEFT('Base Encuesta'!#REF!,1)))</f>
        <v>#REF!</v>
      </c>
      <c r="U11" t="e">
        <f>IF(OR('Base Encuesta'!#REF!="",IFERROR(VALUE(LEFT('Base Encuesta'!#REF!,1)),"")&gt;=3),"",VALUE(LEFT('Base Encuesta'!#REF!,1)))</f>
        <v>#REF!</v>
      </c>
      <c r="V11" t="e">
        <f>IF(OR('Base Encuesta'!#REF!="",IFERROR(VALUE(LEFT('Base Encuesta'!#REF!,1)),"")&gt;=3),"",VALUE(LEFT('Base Encuesta'!#REF!,1)))</f>
        <v>#REF!</v>
      </c>
      <c r="W11" t="e">
        <f>IF(OR('Base Encuesta'!#REF!="",IFERROR(VALUE(LEFT('Base Encuesta'!#REF!,1)),"")&gt;=3),"",VALUE(LEFT('Base Encuesta'!#REF!,1)))</f>
        <v>#REF!</v>
      </c>
      <c r="X11" t="e">
        <f>IF(OR('Base Encuesta'!#REF!="",IFERROR(VALUE(LEFT('Base Encuesta'!#REF!,1)),"")&gt;=3),"",IF(W11=1,VALUE(LEFT('Base Encuesta'!#REF!,1)),""))</f>
        <v>#REF!</v>
      </c>
      <c r="Y11" t="e">
        <f>IF(OR('Base Encuesta'!#REF!="",IFERROR(VALUE(LEFT('Base Encuesta'!#REF!,1)),"")&gt;=3),"",IF(W11=1,VALUE(LEFT('Base Encuesta'!#REF!,1)),""))</f>
        <v>#REF!</v>
      </c>
      <c r="Z11" t="e">
        <f>IF(OR('Base Encuesta'!#REF!="",IFERROR(VALUE(LEFT('Base Encuesta'!#REF!,1)),"")&gt;=3),"",IF(W11=1,VALUE(LEFT('Base Encuesta'!#REF!,1)),""))</f>
        <v>#REF!</v>
      </c>
      <c r="AA11" t="e">
        <f>IF(OR('Base Encuesta'!#REF!="",IFERROR(VALUE(LEFT('Base Encuesta'!#REF!,1)),"")&gt;=3),"",IF(W11=1,VALUE(LEFT('Base Encuesta'!#REF!,1)),""))</f>
        <v>#REF!</v>
      </c>
      <c r="AB11" t="e">
        <f>IF(OR('Base Encuesta'!#REF!="",IFERROR(VALUE(LEFT('Base Encuesta'!#REF!,1)),"")&gt;=3),"",IF(W11=1,VALUE(LEFT('Base Encuesta'!#REF!,1)),""))</f>
        <v>#REF!</v>
      </c>
      <c r="AC11" t="e">
        <f>IF(OR('Base Encuesta'!#REF!="",IFERROR(VALUE(LEFT('Base Encuesta'!#REF!,1)),"")&gt;=3),"",VALUE(LEFT('Base Encuesta'!#REF!,1)))</f>
        <v>#REF!</v>
      </c>
      <c r="AD11" t="e">
        <f>IF(OR('Base Encuesta'!#REF!="",IFERROR(VALUE(LEFT('Base Encuesta'!#REF!,1)),"")&gt;=3),"",VALUE(LEFT('Base Encuesta'!#REF!,1)))</f>
        <v>#REF!</v>
      </c>
      <c r="AE11" t="e">
        <f>IF(OR('Base Encuesta'!#REF!="",IFERROR(VALUE(LEFT('Base Encuesta'!#REF!,1)),"")&gt;=3),"",VALUE(LEFT('Base Encuesta'!#REF!,1)))</f>
        <v>#REF!</v>
      </c>
      <c r="AF11" t="e">
        <f>IF(OR('Base Encuesta'!#REF!="",IFERROR(VALUE(LEFT('Base Encuesta'!#REF!,1)),"")&gt;=3),"",VALUE(LEFT('Base Encuesta'!#REF!,1)))</f>
        <v>#REF!</v>
      </c>
      <c r="AG11" t="e">
        <f>IF(OR('Base Encuesta'!#REF!="",IFERROR(VALUE(LEFT('Base Encuesta'!#REF!,1)),"")&gt;=3),"",VALUE(LEFT('Base Encuesta'!#REF!,1)))</f>
        <v>#REF!</v>
      </c>
      <c r="AH11" t="e">
        <f>IF(OR('Base Encuesta'!#REF!="",IFERROR(VALUE(LEFT('Base Encuesta'!#REF!,1)),"")&gt;=3),"",VALUE(LEFT('Base Encuesta'!#REF!,1)))</f>
        <v>#REF!</v>
      </c>
    </row>
    <row r="12" spans="1:34">
      <c r="A12" t="e">
        <f>IF('Base Encuesta'!#REF!="","",'Base Encuesta'!#REF!)</f>
        <v>#REF!</v>
      </c>
      <c r="B12" t="e">
        <f>IF('Base Encuesta'!#REF!="","",'Base Encuesta'!#REF!)</f>
        <v>#REF!</v>
      </c>
      <c r="C12" t="e">
        <f>IF('Base Encuesta'!#REF!="","",'Base Encuesta'!#REF!)</f>
        <v>#REF!</v>
      </c>
      <c r="D12" t="e">
        <f>IF('Base Encuesta'!#REF!="","",'Base Encuesta'!#REF!)</f>
        <v>#REF!</v>
      </c>
      <c r="E12" t="e">
        <f>IF('Base Encuesta'!#REF!="","",'Base Encuesta'!#REF!)</f>
        <v>#REF!</v>
      </c>
      <c r="F12" t="e">
        <f>IF('Base Encuesta'!#REF!="","",'Base Encuesta'!#REF!)</f>
        <v>#REF!</v>
      </c>
      <c r="G12" t="e">
        <f>IF('Base Encuesta'!#REF!="","",'Base Encuesta'!#REF!)</f>
        <v>#REF!</v>
      </c>
      <c r="H12" t="e">
        <f>IF('Base Encuesta'!#REF!="","",'Base Encuesta'!#REF!)</f>
        <v>#REF!</v>
      </c>
      <c r="I12" t="e">
        <f>IF('Base Encuesta'!#REF!="","",'Base Encuesta'!#REF!)</f>
        <v>#REF!</v>
      </c>
      <c r="J12" t="e">
        <f>IF(OR('Base Encuesta'!#REF!="",IFERROR(VALUE(LEFT('Base Encuesta'!#REF!,1)),"")&gt;=3),"",PROPER(TRIM('Base Encuesta'!#REF!)))</f>
        <v>#REF!</v>
      </c>
      <c r="K12" t="e">
        <f>IF(OR('Base Encuesta'!#REF!="",IFERROR(VALUE(LEFT('Base Encuesta'!#REF!,1)),"")&gt;=3),"",'Base Encuesta'!#REF!)</f>
        <v>#REF!</v>
      </c>
      <c r="L12" t="e">
        <f>IF(OR('Base Encuesta'!#REF!="",IFERROR(VALUE(LEFT('Base Encuesta'!#REF!,1)),"")&gt;=3),"",VALUE(LEFT('Base Encuesta'!#REF!,1)))</f>
        <v>#REF!</v>
      </c>
      <c r="M12" t="e">
        <f>IF(OR('Base Encuesta'!#REF!="",IFERROR(VALUE(LEFT('Base Encuesta'!#REF!,1)),"")&gt;=3),"",VALUE(LEFT('Base Encuesta'!#REF!,1)))</f>
        <v>#REF!</v>
      </c>
      <c r="N12" t="e">
        <f>IF(OR('Base Encuesta'!#REF!="",IFERROR(VALUE(LEFT('Base Encuesta'!#REF!,1)),"")&gt;=3),"",VALUE(LEFT('Base Encuesta'!#REF!,1)))</f>
        <v>#REF!</v>
      </c>
      <c r="O12" t="e">
        <f>IF(OR('Base Encuesta'!#REF!="",IFERROR(VALUE(LEFT('Base Encuesta'!#REF!,1)),"")&gt;=3),"",VALUE(LEFT('Base Encuesta'!#REF!,1)))</f>
        <v>#REF!</v>
      </c>
      <c r="P12" t="e">
        <f>IF(OR('Base Encuesta'!#REF!="",IFERROR(VALUE(LEFT('Base Encuesta'!#REF!,1)),"")&gt;=3),"",VALUE(LEFT('Base Encuesta'!#REF!,1)))</f>
        <v>#REF!</v>
      </c>
      <c r="Q12" t="e">
        <f>IF(OR('Base Encuesta'!#REF!="",IFERROR(VALUE(LEFT('Base Encuesta'!#REF!,1)),"")&gt;=3),"",VALUE(LEFT('Base Encuesta'!#REF!,1)))</f>
        <v>#REF!</v>
      </c>
      <c r="R12" t="e">
        <f>IF(OR('Base Encuesta'!#REF!="",IFERROR(VALUE(LEFT('Base Encuesta'!#REF!,1)),"")&gt;=3),"",VALUE(LEFT('Base Encuesta'!#REF!,1)))</f>
        <v>#REF!</v>
      </c>
      <c r="S12" t="e">
        <f>IF(OR('Base Encuesta'!#REF!="",IFERROR(VALUE(LEFT('Base Encuesta'!#REF!,1)),"")&gt;=3),"",VALUE(LEFT('Base Encuesta'!#REF!,1)))</f>
        <v>#REF!</v>
      </c>
      <c r="T12" t="e">
        <f>IF(OR('Base Encuesta'!#REF!="",IFERROR(VALUE(LEFT('Base Encuesta'!#REF!,1)),"")&gt;=3),"",VALUE(LEFT('Base Encuesta'!#REF!,1)))</f>
        <v>#REF!</v>
      </c>
      <c r="U12" t="e">
        <f>IF(OR('Base Encuesta'!#REF!="",IFERROR(VALUE(LEFT('Base Encuesta'!#REF!,1)),"")&gt;=3),"",VALUE(LEFT('Base Encuesta'!#REF!,1)))</f>
        <v>#REF!</v>
      </c>
      <c r="V12" t="e">
        <f>IF(OR('Base Encuesta'!#REF!="",IFERROR(VALUE(LEFT('Base Encuesta'!#REF!,1)),"")&gt;=3),"",VALUE(LEFT('Base Encuesta'!#REF!,1)))</f>
        <v>#REF!</v>
      </c>
      <c r="W12" t="e">
        <f>IF(OR('Base Encuesta'!#REF!="",IFERROR(VALUE(LEFT('Base Encuesta'!#REF!,1)),"")&gt;=3),"",VALUE(LEFT('Base Encuesta'!#REF!,1)))</f>
        <v>#REF!</v>
      </c>
      <c r="X12" t="e">
        <f>IF(OR('Base Encuesta'!#REF!="",IFERROR(VALUE(LEFT('Base Encuesta'!#REF!,1)),"")&gt;=3),"",IF(W12=1,VALUE(LEFT('Base Encuesta'!#REF!,1)),""))</f>
        <v>#REF!</v>
      </c>
      <c r="Y12" t="e">
        <f>IF(OR('Base Encuesta'!#REF!="",IFERROR(VALUE(LEFT('Base Encuesta'!#REF!,1)),"")&gt;=3),"",IF(W12=1,VALUE(LEFT('Base Encuesta'!#REF!,1)),""))</f>
        <v>#REF!</v>
      </c>
      <c r="Z12" t="e">
        <f>IF(OR('Base Encuesta'!#REF!="",IFERROR(VALUE(LEFT('Base Encuesta'!#REF!,1)),"")&gt;=3),"",IF(W12=1,VALUE(LEFT('Base Encuesta'!#REF!,1)),""))</f>
        <v>#REF!</v>
      </c>
      <c r="AA12" t="e">
        <f>IF(OR('Base Encuesta'!#REF!="",IFERROR(VALUE(LEFT('Base Encuesta'!#REF!,1)),"")&gt;=3),"",IF(W12=1,VALUE(LEFT('Base Encuesta'!#REF!,1)),""))</f>
        <v>#REF!</v>
      </c>
      <c r="AB12" t="e">
        <f>IF(OR('Base Encuesta'!#REF!="",IFERROR(VALUE(LEFT('Base Encuesta'!#REF!,1)),"")&gt;=3),"",IF(W12=1,VALUE(LEFT('Base Encuesta'!#REF!,1)),""))</f>
        <v>#REF!</v>
      </c>
      <c r="AC12" t="e">
        <f>IF(OR('Base Encuesta'!#REF!="",IFERROR(VALUE(LEFT('Base Encuesta'!#REF!,1)),"")&gt;=3),"",VALUE(LEFT('Base Encuesta'!#REF!,1)))</f>
        <v>#REF!</v>
      </c>
      <c r="AD12" t="e">
        <f>IF(OR('Base Encuesta'!#REF!="",IFERROR(VALUE(LEFT('Base Encuesta'!#REF!,1)),"")&gt;=3),"",VALUE(LEFT('Base Encuesta'!#REF!,1)))</f>
        <v>#REF!</v>
      </c>
      <c r="AE12" t="e">
        <f>IF(OR('Base Encuesta'!#REF!="",IFERROR(VALUE(LEFT('Base Encuesta'!#REF!,1)),"")&gt;=3),"",VALUE(LEFT('Base Encuesta'!#REF!,1)))</f>
        <v>#REF!</v>
      </c>
      <c r="AF12" t="e">
        <f>IF(OR('Base Encuesta'!#REF!="",IFERROR(VALUE(LEFT('Base Encuesta'!#REF!,1)),"")&gt;=3),"",VALUE(LEFT('Base Encuesta'!#REF!,1)))</f>
        <v>#REF!</v>
      </c>
      <c r="AG12" t="e">
        <f>IF(OR('Base Encuesta'!#REF!="",IFERROR(VALUE(LEFT('Base Encuesta'!#REF!,1)),"")&gt;=3),"",VALUE(LEFT('Base Encuesta'!#REF!,1)))</f>
        <v>#REF!</v>
      </c>
      <c r="AH12" t="e">
        <f>IF(OR('Base Encuesta'!#REF!="",IFERROR(VALUE(LEFT('Base Encuesta'!#REF!,1)),"")&gt;=3),"",VALUE(LEFT('Base Encuesta'!#REF!,1)))</f>
        <v>#REF!</v>
      </c>
    </row>
    <row r="13" spans="1:34">
      <c r="A13" t="e">
        <f>IF('Base Encuesta'!#REF!="","",'Base Encuesta'!#REF!)</f>
        <v>#REF!</v>
      </c>
      <c r="B13" t="e">
        <f>IF('Base Encuesta'!#REF!="","",'Base Encuesta'!#REF!)</f>
        <v>#REF!</v>
      </c>
      <c r="C13" t="e">
        <f>IF('Base Encuesta'!#REF!="","",'Base Encuesta'!#REF!)</f>
        <v>#REF!</v>
      </c>
      <c r="D13" t="e">
        <f>IF('Base Encuesta'!#REF!="","",'Base Encuesta'!#REF!)</f>
        <v>#REF!</v>
      </c>
      <c r="E13" t="e">
        <f>IF('Base Encuesta'!#REF!="","",'Base Encuesta'!#REF!)</f>
        <v>#REF!</v>
      </c>
      <c r="F13" t="e">
        <f>IF('Base Encuesta'!#REF!="","",'Base Encuesta'!#REF!)</f>
        <v>#REF!</v>
      </c>
      <c r="G13" t="e">
        <f>IF('Base Encuesta'!#REF!="","",'Base Encuesta'!#REF!)</f>
        <v>#REF!</v>
      </c>
      <c r="H13" t="e">
        <f>IF('Base Encuesta'!#REF!="","",'Base Encuesta'!#REF!)</f>
        <v>#REF!</v>
      </c>
      <c r="I13" t="e">
        <f>IF('Base Encuesta'!#REF!="","",'Base Encuesta'!#REF!)</f>
        <v>#REF!</v>
      </c>
      <c r="J13" t="e">
        <f>IF(OR('Base Encuesta'!#REF!="",IFERROR(VALUE(LEFT('Base Encuesta'!#REF!,1)),"")&gt;=3),"",PROPER(TRIM('Base Encuesta'!#REF!)))</f>
        <v>#REF!</v>
      </c>
      <c r="K13" t="e">
        <f>IF(OR('Base Encuesta'!#REF!="",IFERROR(VALUE(LEFT('Base Encuesta'!#REF!,1)),"")&gt;=3),"",'Base Encuesta'!#REF!)</f>
        <v>#REF!</v>
      </c>
      <c r="L13" t="e">
        <f>IF(OR('Base Encuesta'!#REF!="",IFERROR(VALUE(LEFT('Base Encuesta'!#REF!,1)),"")&gt;=3),"",VALUE(LEFT('Base Encuesta'!#REF!,1)))</f>
        <v>#REF!</v>
      </c>
      <c r="M13" t="e">
        <f>IF(OR('Base Encuesta'!#REF!="",IFERROR(VALUE(LEFT('Base Encuesta'!#REF!,1)),"")&gt;=3),"",VALUE(LEFT('Base Encuesta'!#REF!,1)))</f>
        <v>#REF!</v>
      </c>
      <c r="N13" t="e">
        <f>IF(OR('Base Encuesta'!#REF!="",IFERROR(VALUE(LEFT('Base Encuesta'!#REF!,1)),"")&gt;=3),"",VALUE(LEFT('Base Encuesta'!#REF!,1)))</f>
        <v>#REF!</v>
      </c>
      <c r="O13" t="e">
        <f>IF(OR('Base Encuesta'!#REF!="",IFERROR(VALUE(LEFT('Base Encuesta'!#REF!,1)),"")&gt;=3),"",VALUE(LEFT('Base Encuesta'!#REF!,1)))</f>
        <v>#REF!</v>
      </c>
      <c r="P13" t="e">
        <f>IF(OR('Base Encuesta'!#REF!="",IFERROR(VALUE(LEFT('Base Encuesta'!#REF!,1)),"")&gt;=3),"",VALUE(LEFT('Base Encuesta'!#REF!,1)))</f>
        <v>#REF!</v>
      </c>
      <c r="Q13" t="e">
        <f>IF(OR('Base Encuesta'!#REF!="",IFERROR(VALUE(LEFT('Base Encuesta'!#REF!,1)),"")&gt;=3),"",VALUE(LEFT('Base Encuesta'!#REF!,1)))</f>
        <v>#REF!</v>
      </c>
      <c r="R13" t="e">
        <f>IF(OR('Base Encuesta'!#REF!="",IFERROR(VALUE(LEFT('Base Encuesta'!#REF!,1)),"")&gt;=3),"",VALUE(LEFT('Base Encuesta'!#REF!,1)))</f>
        <v>#REF!</v>
      </c>
      <c r="S13" t="e">
        <f>IF(OR('Base Encuesta'!#REF!="",IFERROR(VALUE(LEFT('Base Encuesta'!#REF!,1)),"")&gt;=3),"",VALUE(LEFT('Base Encuesta'!#REF!,1)))</f>
        <v>#REF!</v>
      </c>
      <c r="T13" t="e">
        <f>IF(OR('Base Encuesta'!#REF!="",IFERROR(VALUE(LEFT('Base Encuesta'!#REF!,1)),"")&gt;=3),"",VALUE(LEFT('Base Encuesta'!#REF!,1)))</f>
        <v>#REF!</v>
      </c>
      <c r="U13" t="e">
        <f>IF(OR('Base Encuesta'!#REF!="",IFERROR(VALUE(LEFT('Base Encuesta'!#REF!,1)),"")&gt;=3),"",VALUE(LEFT('Base Encuesta'!#REF!,1)))</f>
        <v>#REF!</v>
      </c>
      <c r="V13" t="e">
        <f>IF(OR('Base Encuesta'!#REF!="",IFERROR(VALUE(LEFT('Base Encuesta'!#REF!,1)),"")&gt;=3),"",VALUE(LEFT('Base Encuesta'!#REF!,1)))</f>
        <v>#REF!</v>
      </c>
      <c r="W13" t="e">
        <f>IF(OR('Base Encuesta'!#REF!="",IFERROR(VALUE(LEFT('Base Encuesta'!#REF!,1)),"")&gt;=3),"",VALUE(LEFT('Base Encuesta'!#REF!,1)))</f>
        <v>#REF!</v>
      </c>
      <c r="X13" t="e">
        <f>IF(OR('Base Encuesta'!#REF!="",IFERROR(VALUE(LEFT('Base Encuesta'!#REF!,1)),"")&gt;=3),"",IF(W13=1,VALUE(LEFT('Base Encuesta'!#REF!,1)),""))</f>
        <v>#REF!</v>
      </c>
      <c r="Y13" t="e">
        <f>IF(OR('Base Encuesta'!#REF!="",IFERROR(VALUE(LEFT('Base Encuesta'!#REF!,1)),"")&gt;=3),"",IF(W13=1,VALUE(LEFT('Base Encuesta'!#REF!,1)),""))</f>
        <v>#REF!</v>
      </c>
      <c r="Z13" t="e">
        <f>IF(OR('Base Encuesta'!#REF!="",IFERROR(VALUE(LEFT('Base Encuesta'!#REF!,1)),"")&gt;=3),"",IF(W13=1,VALUE(LEFT('Base Encuesta'!#REF!,1)),""))</f>
        <v>#REF!</v>
      </c>
      <c r="AA13" t="e">
        <f>IF(OR('Base Encuesta'!#REF!="",IFERROR(VALUE(LEFT('Base Encuesta'!#REF!,1)),"")&gt;=3),"",IF(W13=1,VALUE(LEFT('Base Encuesta'!#REF!,1)),""))</f>
        <v>#REF!</v>
      </c>
      <c r="AB13" t="e">
        <f>IF(OR('Base Encuesta'!#REF!="",IFERROR(VALUE(LEFT('Base Encuesta'!#REF!,1)),"")&gt;=3),"",IF(W13=1,VALUE(LEFT('Base Encuesta'!#REF!,1)),""))</f>
        <v>#REF!</v>
      </c>
      <c r="AC13" t="e">
        <f>IF(OR('Base Encuesta'!#REF!="",IFERROR(VALUE(LEFT('Base Encuesta'!#REF!,1)),"")&gt;=3),"",VALUE(LEFT('Base Encuesta'!#REF!,1)))</f>
        <v>#REF!</v>
      </c>
      <c r="AD13" t="e">
        <f>IF(OR('Base Encuesta'!#REF!="",IFERROR(VALUE(LEFT('Base Encuesta'!#REF!,1)),"")&gt;=3),"",VALUE(LEFT('Base Encuesta'!#REF!,1)))</f>
        <v>#REF!</v>
      </c>
      <c r="AE13" t="e">
        <f>IF(OR('Base Encuesta'!#REF!="",IFERROR(VALUE(LEFT('Base Encuesta'!#REF!,1)),"")&gt;=3),"",VALUE(LEFT('Base Encuesta'!#REF!,1)))</f>
        <v>#REF!</v>
      </c>
      <c r="AF13" t="e">
        <f>IF(OR('Base Encuesta'!#REF!="",IFERROR(VALUE(LEFT('Base Encuesta'!#REF!,1)),"")&gt;=3),"",VALUE(LEFT('Base Encuesta'!#REF!,1)))</f>
        <v>#REF!</v>
      </c>
      <c r="AG13" t="e">
        <f>IF(OR('Base Encuesta'!#REF!="",IFERROR(VALUE(LEFT('Base Encuesta'!#REF!,1)),"")&gt;=3),"",VALUE(LEFT('Base Encuesta'!#REF!,1)))</f>
        <v>#REF!</v>
      </c>
      <c r="AH13" t="e">
        <f>IF(OR('Base Encuesta'!#REF!="",IFERROR(VALUE(LEFT('Base Encuesta'!#REF!,1)),"")&gt;=3),"",VALUE(LEFT('Base Encuesta'!#REF!,1)))</f>
        <v>#REF!</v>
      </c>
    </row>
    <row r="14" spans="1:34">
      <c r="A14" t="e">
        <f>IF('Base Encuesta'!#REF!="","",'Base Encuesta'!#REF!)</f>
        <v>#REF!</v>
      </c>
      <c r="B14" t="e">
        <f>IF('Base Encuesta'!#REF!="","",'Base Encuesta'!#REF!)</f>
        <v>#REF!</v>
      </c>
      <c r="C14" t="e">
        <f>IF('Base Encuesta'!#REF!="","",'Base Encuesta'!#REF!)</f>
        <v>#REF!</v>
      </c>
      <c r="D14" t="e">
        <f>IF('Base Encuesta'!#REF!="","",'Base Encuesta'!#REF!)</f>
        <v>#REF!</v>
      </c>
      <c r="E14" t="e">
        <f>IF('Base Encuesta'!#REF!="","",'Base Encuesta'!#REF!)</f>
        <v>#REF!</v>
      </c>
      <c r="F14" t="e">
        <f>IF('Base Encuesta'!#REF!="","",'Base Encuesta'!#REF!)</f>
        <v>#REF!</v>
      </c>
      <c r="G14" t="e">
        <f>IF('Base Encuesta'!#REF!="","",'Base Encuesta'!#REF!)</f>
        <v>#REF!</v>
      </c>
      <c r="H14" t="e">
        <f>IF('Base Encuesta'!#REF!="","",'Base Encuesta'!#REF!)</f>
        <v>#REF!</v>
      </c>
      <c r="I14" t="e">
        <f>IF('Base Encuesta'!#REF!="","",'Base Encuesta'!#REF!)</f>
        <v>#REF!</v>
      </c>
      <c r="J14" t="e">
        <f>IF(OR('Base Encuesta'!#REF!="",IFERROR(VALUE(LEFT('Base Encuesta'!#REF!,1)),"")&gt;=3),"",PROPER(TRIM('Base Encuesta'!#REF!)))</f>
        <v>#REF!</v>
      </c>
      <c r="K14" t="e">
        <f>IF(OR('Base Encuesta'!#REF!="",IFERROR(VALUE(LEFT('Base Encuesta'!#REF!,1)),"")&gt;=3),"",'Base Encuesta'!#REF!)</f>
        <v>#REF!</v>
      </c>
      <c r="L14" t="e">
        <f>IF(OR('Base Encuesta'!#REF!="",IFERROR(VALUE(LEFT('Base Encuesta'!#REF!,1)),"")&gt;=3),"",VALUE(LEFT('Base Encuesta'!#REF!,1)))</f>
        <v>#REF!</v>
      </c>
      <c r="M14" t="e">
        <f>IF(OR('Base Encuesta'!#REF!="",IFERROR(VALUE(LEFT('Base Encuesta'!#REF!,1)),"")&gt;=3),"",VALUE(LEFT('Base Encuesta'!#REF!,1)))</f>
        <v>#REF!</v>
      </c>
      <c r="N14" t="e">
        <f>IF(OR('Base Encuesta'!#REF!="",IFERROR(VALUE(LEFT('Base Encuesta'!#REF!,1)),"")&gt;=3),"",VALUE(LEFT('Base Encuesta'!#REF!,1)))</f>
        <v>#REF!</v>
      </c>
      <c r="O14" t="e">
        <f>IF(OR('Base Encuesta'!#REF!="",IFERROR(VALUE(LEFT('Base Encuesta'!#REF!,1)),"")&gt;=3),"",VALUE(LEFT('Base Encuesta'!#REF!,1)))</f>
        <v>#REF!</v>
      </c>
      <c r="P14" t="e">
        <f>IF(OR('Base Encuesta'!#REF!="",IFERROR(VALUE(LEFT('Base Encuesta'!#REF!,1)),"")&gt;=3),"",VALUE(LEFT('Base Encuesta'!#REF!,1)))</f>
        <v>#REF!</v>
      </c>
      <c r="Q14" t="e">
        <f>IF(OR('Base Encuesta'!#REF!="",IFERROR(VALUE(LEFT('Base Encuesta'!#REF!,1)),"")&gt;=3),"",VALUE(LEFT('Base Encuesta'!#REF!,1)))</f>
        <v>#REF!</v>
      </c>
      <c r="R14" t="e">
        <f>IF(OR('Base Encuesta'!#REF!="",IFERROR(VALUE(LEFT('Base Encuesta'!#REF!,1)),"")&gt;=3),"",VALUE(LEFT('Base Encuesta'!#REF!,1)))</f>
        <v>#REF!</v>
      </c>
      <c r="S14" t="e">
        <f>IF(OR('Base Encuesta'!#REF!="",IFERROR(VALUE(LEFT('Base Encuesta'!#REF!,1)),"")&gt;=3),"",VALUE(LEFT('Base Encuesta'!#REF!,1)))</f>
        <v>#REF!</v>
      </c>
      <c r="T14" t="e">
        <f>IF(OR('Base Encuesta'!#REF!="",IFERROR(VALUE(LEFT('Base Encuesta'!#REF!,1)),"")&gt;=3),"",VALUE(LEFT('Base Encuesta'!#REF!,1)))</f>
        <v>#REF!</v>
      </c>
      <c r="U14" t="e">
        <f>IF(OR('Base Encuesta'!#REF!="",IFERROR(VALUE(LEFT('Base Encuesta'!#REF!,1)),"")&gt;=3),"",VALUE(LEFT('Base Encuesta'!#REF!,1)))</f>
        <v>#REF!</v>
      </c>
      <c r="V14" t="e">
        <f>IF(OR('Base Encuesta'!#REF!="",IFERROR(VALUE(LEFT('Base Encuesta'!#REF!,1)),"")&gt;=3),"",VALUE(LEFT('Base Encuesta'!#REF!,1)))</f>
        <v>#REF!</v>
      </c>
      <c r="W14" t="e">
        <f>IF(OR('Base Encuesta'!#REF!="",IFERROR(VALUE(LEFT('Base Encuesta'!#REF!,1)),"")&gt;=3),"",VALUE(LEFT('Base Encuesta'!#REF!,1)))</f>
        <v>#REF!</v>
      </c>
      <c r="X14" t="e">
        <f>IF(OR('Base Encuesta'!#REF!="",IFERROR(VALUE(LEFT('Base Encuesta'!#REF!,1)),"")&gt;=3),"",IF(W14=1,VALUE(LEFT('Base Encuesta'!#REF!,1)),""))</f>
        <v>#REF!</v>
      </c>
      <c r="Y14" t="e">
        <f>IF(OR('Base Encuesta'!#REF!="",IFERROR(VALUE(LEFT('Base Encuesta'!#REF!,1)),"")&gt;=3),"",IF(W14=1,VALUE(LEFT('Base Encuesta'!#REF!,1)),""))</f>
        <v>#REF!</v>
      </c>
      <c r="Z14" t="e">
        <f>IF(OR('Base Encuesta'!#REF!="",IFERROR(VALUE(LEFT('Base Encuesta'!#REF!,1)),"")&gt;=3),"",IF(W14=1,VALUE(LEFT('Base Encuesta'!#REF!,1)),""))</f>
        <v>#REF!</v>
      </c>
      <c r="AA14" t="e">
        <f>IF(OR('Base Encuesta'!#REF!="",IFERROR(VALUE(LEFT('Base Encuesta'!#REF!,1)),"")&gt;=3),"",IF(W14=1,VALUE(LEFT('Base Encuesta'!#REF!,1)),""))</f>
        <v>#REF!</v>
      </c>
      <c r="AB14" t="e">
        <f>IF(OR('Base Encuesta'!#REF!="",IFERROR(VALUE(LEFT('Base Encuesta'!#REF!,1)),"")&gt;=3),"",IF(W14=1,VALUE(LEFT('Base Encuesta'!#REF!,1)),""))</f>
        <v>#REF!</v>
      </c>
      <c r="AC14" t="e">
        <f>IF(OR('Base Encuesta'!#REF!="",IFERROR(VALUE(LEFT('Base Encuesta'!#REF!,1)),"")&gt;=3),"",VALUE(LEFT('Base Encuesta'!#REF!,1)))</f>
        <v>#REF!</v>
      </c>
      <c r="AD14" t="e">
        <f>IF(OR('Base Encuesta'!#REF!="",IFERROR(VALUE(LEFT('Base Encuesta'!#REF!,1)),"")&gt;=3),"",VALUE(LEFT('Base Encuesta'!#REF!,1)))</f>
        <v>#REF!</v>
      </c>
      <c r="AE14" t="e">
        <f>IF(OR('Base Encuesta'!#REF!="",IFERROR(VALUE(LEFT('Base Encuesta'!#REF!,1)),"")&gt;=3),"",VALUE(LEFT('Base Encuesta'!#REF!,1)))</f>
        <v>#REF!</v>
      </c>
      <c r="AF14" t="e">
        <f>IF(OR('Base Encuesta'!#REF!="",IFERROR(VALUE(LEFT('Base Encuesta'!#REF!,1)),"")&gt;=3),"",VALUE(LEFT('Base Encuesta'!#REF!,1)))</f>
        <v>#REF!</v>
      </c>
      <c r="AG14" t="e">
        <f>IF(OR('Base Encuesta'!#REF!="",IFERROR(VALUE(LEFT('Base Encuesta'!#REF!,1)),"")&gt;=3),"",VALUE(LEFT('Base Encuesta'!#REF!,1)))</f>
        <v>#REF!</v>
      </c>
      <c r="AH14" t="e">
        <f>IF(OR('Base Encuesta'!#REF!="",IFERROR(VALUE(LEFT('Base Encuesta'!#REF!,1)),"")&gt;=3),"",VALUE(LEFT('Base Encuesta'!#REF!,1)))</f>
        <v>#REF!</v>
      </c>
    </row>
    <row r="15" spans="1:34">
      <c r="A15" t="e">
        <f>IF('Base Encuesta'!#REF!="","",'Base Encuesta'!#REF!)</f>
        <v>#REF!</v>
      </c>
      <c r="B15" t="e">
        <f>IF('Base Encuesta'!#REF!="","",'Base Encuesta'!#REF!)</f>
        <v>#REF!</v>
      </c>
      <c r="C15" t="e">
        <f>IF('Base Encuesta'!#REF!="","",'Base Encuesta'!#REF!)</f>
        <v>#REF!</v>
      </c>
      <c r="D15" t="e">
        <f>IF('Base Encuesta'!#REF!="","",'Base Encuesta'!#REF!)</f>
        <v>#REF!</v>
      </c>
      <c r="E15" t="e">
        <f>IF('Base Encuesta'!#REF!="","",'Base Encuesta'!#REF!)</f>
        <v>#REF!</v>
      </c>
      <c r="F15" t="e">
        <f>IF('Base Encuesta'!#REF!="","",'Base Encuesta'!#REF!)</f>
        <v>#REF!</v>
      </c>
      <c r="G15" t="e">
        <f>IF('Base Encuesta'!#REF!="","",'Base Encuesta'!#REF!)</f>
        <v>#REF!</v>
      </c>
      <c r="H15" t="e">
        <f>IF('Base Encuesta'!#REF!="","",'Base Encuesta'!#REF!)</f>
        <v>#REF!</v>
      </c>
      <c r="I15" t="e">
        <f>IF('Base Encuesta'!#REF!="","",'Base Encuesta'!#REF!)</f>
        <v>#REF!</v>
      </c>
      <c r="J15" t="e">
        <f>IF(OR('Base Encuesta'!#REF!="",IFERROR(VALUE(LEFT('Base Encuesta'!#REF!,1)),"")&gt;=3),"",PROPER(TRIM('Base Encuesta'!#REF!)))</f>
        <v>#REF!</v>
      </c>
      <c r="K15" t="e">
        <f>IF(OR('Base Encuesta'!#REF!="",IFERROR(VALUE(LEFT('Base Encuesta'!#REF!,1)),"")&gt;=3),"",'Base Encuesta'!#REF!)</f>
        <v>#REF!</v>
      </c>
      <c r="L15" t="e">
        <f>IF(OR('Base Encuesta'!#REF!="",IFERROR(VALUE(LEFT('Base Encuesta'!#REF!,1)),"")&gt;=3),"",VALUE(LEFT('Base Encuesta'!#REF!,1)))</f>
        <v>#REF!</v>
      </c>
      <c r="M15" t="e">
        <f>IF(OR('Base Encuesta'!#REF!="",IFERROR(VALUE(LEFT('Base Encuesta'!#REF!,1)),"")&gt;=3),"",VALUE(LEFT('Base Encuesta'!#REF!,1)))</f>
        <v>#REF!</v>
      </c>
      <c r="N15" t="e">
        <f>IF(OR('Base Encuesta'!#REF!="",IFERROR(VALUE(LEFT('Base Encuesta'!#REF!,1)),"")&gt;=3),"",VALUE(LEFT('Base Encuesta'!#REF!,1)))</f>
        <v>#REF!</v>
      </c>
      <c r="O15" t="e">
        <f>IF(OR('Base Encuesta'!#REF!="",IFERROR(VALUE(LEFT('Base Encuesta'!#REF!,1)),"")&gt;=3),"",VALUE(LEFT('Base Encuesta'!#REF!,1)))</f>
        <v>#REF!</v>
      </c>
      <c r="P15" t="e">
        <f>IF(OR('Base Encuesta'!#REF!="",IFERROR(VALUE(LEFT('Base Encuesta'!#REF!,1)),"")&gt;=3),"",VALUE(LEFT('Base Encuesta'!#REF!,1)))</f>
        <v>#REF!</v>
      </c>
      <c r="Q15" t="e">
        <f>IF(OR('Base Encuesta'!#REF!="",IFERROR(VALUE(LEFT('Base Encuesta'!#REF!,1)),"")&gt;=3),"",VALUE(LEFT('Base Encuesta'!#REF!,1)))</f>
        <v>#REF!</v>
      </c>
      <c r="R15" t="e">
        <f>IF(OR('Base Encuesta'!#REF!="",IFERROR(VALUE(LEFT('Base Encuesta'!#REF!,1)),"")&gt;=3),"",VALUE(LEFT('Base Encuesta'!#REF!,1)))</f>
        <v>#REF!</v>
      </c>
      <c r="S15" t="e">
        <f>IF(OR('Base Encuesta'!#REF!="",IFERROR(VALUE(LEFT('Base Encuesta'!#REF!,1)),"")&gt;=3),"",VALUE(LEFT('Base Encuesta'!#REF!,1)))</f>
        <v>#REF!</v>
      </c>
      <c r="T15" t="e">
        <f>IF(OR('Base Encuesta'!#REF!="",IFERROR(VALUE(LEFT('Base Encuesta'!#REF!,1)),"")&gt;=3),"",VALUE(LEFT('Base Encuesta'!#REF!,1)))</f>
        <v>#REF!</v>
      </c>
      <c r="U15" t="e">
        <f>IF(OR('Base Encuesta'!#REF!="",IFERROR(VALUE(LEFT('Base Encuesta'!#REF!,1)),"")&gt;=3),"",VALUE(LEFT('Base Encuesta'!#REF!,1)))</f>
        <v>#REF!</v>
      </c>
      <c r="V15" t="e">
        <f>IF(OR('Base Encuesta'!#REF!="",IFERROR(VALUE(LEFT('Base Encuesta'!#REF!,1)),"")&gt;=3),"",VALUE(LEFT('Base Encuesta'!#REF!,1)))</f>
        <v>#REF!</v>
      </c>
      <c r="W15" t="e">
        <f>IF(OR('Base Encuesta'!#REF!="",IFERROR(VALUE(LEFT('Base Encuesta'!#REF!,1)),"")&gt;=3),"",VALUE(LEFT('Base Encuesta'!#REF!,1)))</f>
        <v>#REF!</v>
      </c>
      <c r="X15" t="e">
        <f>IF(OR('Base Encuesta'!#REF!="",IFERROR(VALUE(LEFT('Base Encuesta'!#REF!,1)),"")&gt;=3),"",IF(W15=1,VALUE(LEFT('Base Encuesta'!#REF!,1)),""))</f>
        <v>#REF!</v>
      </c>
      <c r="Y15" t="e">
        <f>IF(OR('Base Encuesta'!#REF!="",IFERROR(VALUE(LEFT('Base Encuesta'!#REF!,1)),"")&gt;=3),"",IF(W15=1,VALUE(LEFT('Base Encuesta'!#REF!,1)),""))</f>
        <v>#REF!</v>
      </c>
      <c r="Z15" t="e">
        <f>IF(OR('Base Encuesta'!#REF!="",IFERROR(VALUE(LEFT('Base Encuesta'!#REF!,1)),"")&gt;=3),"",IF(W15=1,VALUE(LEFT('Base Encuesta'!#REF!,1)),""))</f>
        <v>#REF!</v>
      </c>
      <c r="AA15" t="e">
        <f>IF(OR('Base Encuesta'!#REF!="",IFERROR(VALUE(LEFT('Base Encuesta'!#REF!,1)),"")&gt;=3),"",IF(W15=1,VALUE(LEFT('Base Encuesta'!#REF!,1)),""))</f>
        <v>#REF!</v>
      </c>
      <c r="AB15" t="e">
        <f>IF(OR('Base Encuesta'!#REF!="",IFERROR(VALUE(LEFT('Base Encuesta'!#REF!,1)),"")&gt;=3),"",IF(W15=1,VALUE(LEFT('Base Encuesta'!#REF!,1)),""))</f>
        <v>#REF!</v>
      </c>
      <c r="AC15" t="e">
        <f>IF(OR('Base Encuesta'!#REF!="",IFERROR(VALUE(LEFT('Base Encuesta'!#REF!,1)),"")&gt;=3),"",VALUE(LEFT('Base Encuesta'!#REF!,1)))</f>
        <v>#REF!</v>
      </c>
      <c r="AD15" t="e">
        <f>IF(OR('Base Encuesta'!#REF!="",IFERROR(VALUE(LEFT('Base Encuesta'!#REF!,1)),"")&gt;=3),"",VALUE(LEFT('Base Encuesta'!#REF!,1)))</f>
        <v>#REF!</v>
      </c>
      <c r="AE15" t="e">
        <f>IF(OR('Base Encuesta'!#REF!="",IFERROR(VALUE(LEFT('Base Encuesta'!#REF!,1)),"")&gt;=3),"",VALUE(LEFT('Base Encuesta'!#REF!,1)))</f>
        <v>#REF!</v>
      </c>
      <c r="AF15" t="e">
        <f>IF(OR('Base Encuesta'!#REF!="",IFERROR(VALUE(LEFT('Base Encuesta'!#REF!,1)),"")&gt;=3),"",VALUE(LEFT('Base Encuesta'!#REF!,1)))</f>
        <v>#REF!</v>
      </c>
      <c r="AG15" t="e">
        <f>IF(OR('Base Encuesta'!#REF!="",IFERROR(VALUE(LEFT('Base Encuesta'!#REF!,1)),"")&gt;=3),"",VALUE(LEFT('Base Encuesta'!#REF!,1)))</f>
        <v>#REF!</v>
      </c>
      <c r="AH15" t="e">
        <f>IF(OR('Base Encuesta'!#REF!="",IFERROR(VALUE(LEFT('Base Encuesta'!#REF!,1)),"")&gt;=3),"",VALUE(LEFT('Base Encuesta'!#REF!,1)))</f>
        <v>#REF!</v>
      </c>
    </row>
    <row r="16" spans="1:34">
      <c r="A16" t="e">
        <f>IF('Base Encuesta'!#REF!="","",'Base Encuesta'!#REF!)</f>
        <v>#REF!</v>
      </c>
      <c r="B16" t="e">
        <f>IF('Base Encuesta'!#REF!="","",'Base Encuesta'!#REF!)</f>
        <v>#REF!</v>
      </c>
      <c r="C16" t="e">
        <f>IF('Base Encuesta'!#REF!="","",'Base Encuesta'!#REF!)</f>
        <v>#REF!</v>
      </c>
      <c r="D16" t="e">
        <f>IF('Base Encuesta'!#REF!="","",'Base Encuesta'!#REF!)</f>
        <v>#REF!</v>
      </c>
      <c r="E16" t="e">
        <f>IF('Base Encuesta'!#REF!="","",'Base Encuesta'!#REF!)</f>
        <v>#REF!</v>
      </c>
      <c r="F16" t="e">
        <f>IF('Base Encuesta'!#REF!="","",'Base Encuesta'!#REF!)</f>
        <v>#REF!</v>
      </c>
      <c r="G16" t="e">
        <f>IF('Base Encuesta'!#REF!="","",'Base Encuesta'!#REF!)</f>
        <v>#REF!</v>
      </c>
      <c r="H16" t="e">
        <f>IF('Base Encuesta'!#REF!="","",'Base Encuesta'!#REF!)</f>
        <v>#REF!</v>
      </c>
      <c r="I16" t="e">
        <f>IF('Base Encuesta'!#REF!="","",'Base Encuesta'!#REF!)</f>
        <v>#REF!</v>
      </c>
      <c r="J16" t="e">
        <f>IF(OR('Base Encuesta'!#REF!="",IFERROR(VALUE(LEFT('Base Encuesta'!#REF!,1)),"")&gt;=3),"",PROPER(TRIM('Base Encuesta'!#REF!)))</f>
        <v>#REF!</v>
      </c>
      <c r="K16" t="e">
        <f>IF(OR('Base Encuesta'!#REF!="",IFERROR(VALUE(LEFT('Base Encuesta'!#REF!,1)),"")&gt;=3),"",'Base Encuesta'!#REF!)</f>
        <v>#REF!</v>
      </c>
      <c r="L16" t="e">
        <f>IF(OR('Base Encuesta'!#REF!="",IFERROR(VALUE(LEFT('Base Encuesta'!#REF!,1)),"")&gt;=3),"",VALUE(LEFT('Base Encuesta'!#REF!,1)))</f>
        <v>#REF!</v>
      </c>
      <c r="M16" t="e">
        <f>IF(OR('Base Encuesta'!#REF!="",IFERROR(VALUE(LEFT('Base Encuesta'!#REF!,1)),"")&gt;=3),"",VALUE(LEFT('Base Encuesta'!#REF!,1)))</f>
        <v>#REF!</v>
      </c>
      <c r="N16" t="e">
        <f>IF(OR('Base Encuesta'!#REF!="",IFERROR(VALUE(LEFT('Base Encuesta'!#REF!,1)),"")&gt;=3),"",VALUE(LEFT('Base Encuesta'!#REF!,1)))</f>
        <v>#REF!</v>
      </c>
      <c r="O16" t="e">
        <f>IF(OR('Base Encuesta'!#REF!="",IFERROR(VALUE(LEFT('Base Encuesta'!#REF!,1)),"")&gt;=3),"",VALUE(LEFT('Base Encuesta'!#REF!,1)))</f>
        <v>#REF!</v>
      </c>
      <c r="P16" t="e">
        <f>IF(OR('Base Encuesta'!#REF!="",IFERROR(VALUE(LEFT('Base Encuesta'!#REF!,1)),"")&gt;=3),"",VALUE(LEFT('Base Encuesta'!#REF!,1)))</f>
        <v>#REF!</v>
      </c>
      <c r="Q16" t="e">
        <f>IF(OR('Base Encuesta'!#REF!="",IFERROR(VALUE(LEFT('Base Encuesta'!#REF!,1)),"")&gt;=3),"",VALUE(LEFT('Base Encuesta'!#REF!,1)))</f>
        <v>#REF!</v>
      </c>
      <c r="R16" t="e">
        <f>IF(OR('Base Encuesta'!#REF!="",IFERROR(VALUE(LEFT('Base Encuesta'!#REF!,1)),"")&gt;=3),"",VALUE(LEFT('Base Encuesta'!#REF!,1)))</f>
        <v>#REF!</v>
      </c>
      <c r="S16" t="e">
        <f>IF(OR('Base Encuesta'!#REF!="",IFERROR(VALUE(LEFT('Base Encuesta'!#REF!,1)),"")&gt;=3),"",VALUE(LEFT('Base Encuesta'!#REF!,1)))</f>
        <v>#REF!</v>
      </c>
      <c r="T16" t="e">
        <f>IF(OR('Base Encuesta'!#REF!="",IFERROR(VALUE(LEFT('Base Encuesta'!#REF!,1)),"")&gt;=3),"",VALUE(LEFT('Base Encuesta'!#REF!,1)))</f>
        <v>#REF!</v>
      </c>
      <c r="U16" t="e">
        <f>IF(OR('Base Encuesta'!#REF!="",IFERROR(VALUE(LEFT('Base Encuesta'!#REF!,1)),"")&gt;=3),"",VALUE(LEFT('Base Encuesta'!#REF!,1)))</f>
        <v>#REF!</v>
      </c>
      <c r="V16" t="e">
        <f>IF(OR('Base Encuesta'!#REF!="",IFERROR(VALUE(LEFT('Base Encuesta'!#REF!,1)),"")&gt;=3),"",VALUE(LEFT('Base Encuesta'!#REF!,1)))</f>
        <v>#REF!</v>
      </c>
      <c r="W16" t="e">
        <f>IF(OR('Base Encuesta'!#REF!="",IFERROR(VALUE(LEFT('Base Encuesta'!#REF!,1)),"")&gt;=3),"",VALUE(LEFT('Base Encuesta'!#REF!,1)))</f>
        <v>#REF!</v>
      </c>
      <c r="X16" t="e">
        <f>IF(OR('Base Encuesta'!#REF!="",IFERROR(VALUE(LEFT('Base Encuesta'!#REF!,1)),"")&gt;=3),"",IF(W16=1,VALUE(LEFT('Base Encuesta'!#REF!,1)),""))</f>
        <v>#REF!</v>
      </c>
      <c r="Y16" t="e">
        <f>IF(OR('Base Encuesta'!#REF!="",IFERROR(VALUE(LEFT('Base Encuesta'!#REF!,1)),"")&gt;=3),"",IF(W16=1,VALUE(LEFT('Base Encuesta'!#REF!,1)),""))</f>
        <v>#REF!</v>
      </c>
      <c r="Z16" t="e">
        <f>IF(OR('Base Encuesta'!#REF!="",IFERROR(VALUE(LEFT('Base Encuesta'!#REF!,1)),"")&gt;=3),"",IF(W16=1,VALUE(LEFT('Base Encuesta'!#REF!,1)),""))</f>
        <v>#REF!</v>
      </c>
      <c r="AA16" t="e">
        <f>IF(OR('Base Encuesta'!#REF!="",IFERROR(VALUE(LEFT('Base Encuesta'!#REF!,1)),"")&gt;=3),"",IF(W16=1,VALUE(LEFT('Base Encuesta'!#REF!,1)),""))</f>
        <v>#REF!</v>
      </c>
      <c r="AB16" t="e">
        <f>IF(OR('Base Encuesta'!#REF!="",IFERROR(VALUE(LEFT('Base Encuesta'!#REF!,1)),"")&gt;=3),"",IF(W16=1,VALUE(LEFT('Base Encuesta'!#REF!,1)),""))</f>
        <v>#REF!</v>
      </c>
      <c r="AC16" t="e">
        <f>IF(OR('Base Encuesta'!#REF!="",IFERROR(VALUE(LEFT('Base Encuesta'!#REF!,1)),"")&gt;=3),"",VALUE(LEFT('Base Encuesta'!#REF!,1)))</f>
        <v>#REF!</v>
      </c>
      <c r="AD16" t="e">
        <f>IF(OR('Base Encuesta'!#REF!="",IFERROR(VALUE(LEFT('Base Encuesta'!#REF!,1)),"")&gt;=3),"",VALUE(LEFT('Base Encuesta'!#REF!,1)))</f>
        <v>#REF!</v>
      </c>
      <c r="AE16" t="e">
        <f>IF(OR('Base Encuesta'!#REF!="",IFERROR(VALUE(LEFT('Base Encuesta'!#REF!,1)),"")&gt;=3),"",VALUE(LEFT('Base Encuesta'!#REF!,1)))</f>
        <v>#REF!</v>
      </c>
      <c r="AF16" t="e">
        <f>IF(OR('Base Encuesta'!#REF!="",IFERROR(VALUE(LEFT('Base Encuesta'!#REF!,1)),"")&gt;=3),"",VALUE(LEFT('Base Encuesta'!#REF!,1)))</f>
        <v>#REF!</v>
      </c>
      <c r="AG16" t="e">
        <f>IF(OR('Base Encuesta'!#REF!="",IFERROR(VALUE(LEFT('Base Encuesta'!#REF!,1)),"")&gt;=3),"",VALUE(LEFT('Base Encuesta'!#REF!,1)))</f>
        <v>#REF!</v>
      </c>
      <c r="AH16" t="e">
        <f>IF(OR('Base Encuesta'!#REF!="",IFERROR(VALUE(LEFT('Base Encuesta'!#REF!,1)),"")&gt;=3),"",VALUE(LEFT('Base Encuesta'!#REF!,1)))</f>
        <v>#REF!</v>
      </c>
    </row>
    <row r="17" spans="1:34">
      <c r="A17" t="e">
        <f>IF('Base Encuesta'!#REF!="","",'Base Encuesta'!#REF!)</f>
        <v>#REF!</v>
      </c>
      <c r="B17" t="e">
        <f>IF('Base Encuesta'!#REF!="","",'Base Encuesta'!#REF!)</f>
        <v>#REF!</v>
      </c>
      <c r="C17" t="e">
        <f>IF('Base Encuesta'!#REF!="","",'Base Encuesta'!#REF!)</f>
        <v>#REF!</v>
      </c>
      <c r="D17" t="e">
        <f>IF('Base Encuesta'!#REF!="","",'Base Encuesta'!#REF!)</f>
        <v>#REF!</v>
      </c>
      <c r="E17" t="e">
        <f>IF('Base Encuesta'!#REF!="","",'Base Encuesta'!#REF!)</f>
        <v>#REF!</v>
      </c>
      <c r="F17" t="e">
        <f>IF('Base Encuesta'!#REF!="","",'Base Encuesta'!#REF!)</f>
        <v>#REF!</v>
      </c>
      <c r="G17" t="e">
        <f>IF('Base Encuesta'!#REF!="","",'Base Encuesta'!#REF!)</f>
        <v>#REF!</v>
      </c>
      <c r="H17" t="e">
        <f>IF('Base Encuesta'!#REF!="","",'Base Encuesta'!#REF!)</f>
        <v>#REF!</v>
      </c>
      <c r="I17" t="e">
        <f>IF('Base Encuesta'!#REF!="","",'Base Encuesta'!#REF!)</f>
        <v>#REF!</v>
      </c>
      <c r="J17" t="e">
        <f>IF(OR('Base Encuesta'!#REF!="",IFERROR(VALUE(LEFT('Base Encuesta'!#REF!,1)),"")&gt;=3),"",PROPER(TRIM('Base Encuesta'!#REF!)))</f>
        <v>#REF!</v>
      </c>
      <c r="K17" t="e">
        <f>IF(OR('Base Encuesta'!#REF!="",IFERROR(VALUE(LEFT('Base Encuesta'!#REF!,1)),"")&gt;=3),"",'Base Encuesta'!#REF!)</f>
        <v>#REF!</v>
      </c>
      <c r="L17" t="e">
        <f>IF(OR('Base Encuesta'!#REF!="",IFERROR(VALUE(LEFT('Base Encuesta'!#REF!,1)),"")&gt;=3),"",VALUE(LEFT('Base Encuesta'!#REF!,1)))</f>
        <v>#REF!</v>
      </c>
      <c r="M17" t="e">
        <f>IF(OR('Base Encuesta'!#REF!="",IFERROR(VALUE(LEFT('Base Encuesta'!#REF!,1)),"")&gt;=3),"",VALUE(LEFT('Base Encuesta'!#REF!,1)))</f>
        <v>#REF!</v>
      </c>
      <c r="N17" t="e">
        <f>IF(OR('Base Encuesta'!#REF!="",IFERROR(VALUE(LEFT('Base Encuesta'!#REF!,1)),"")&gt;=3),"",VALUE(LEFT('Base Encuesta'!#REF!,1)))</f>
        <v>#REF!</v>
      </c>
      <c r="O17" t="e">
        <f>IF(OR('Base Encuesta'!#REF!="",IFERROR(VALUE(LEFT('Base Encuesta'!#REF!,1)),"")&gt;=3),"",VALUE(LEFT('Base Encuesta'!#REF!,1)))</f>
        <v>#REF!</v>
      </c>
      <c r="P17" t="e">
        <f>IF(OR('Base Encuesta'!#REF!="",IFERROR(VALUE(LEFT('Base Encuesta'!#REF!,1)),"")&gt;=3),"",VALUE(LEFT('Base Encuesta'!#REF!,1)))</f>
        <v>#REF!</v>
      </c>
      <c r="Q17" t="e">
        <f>IF(OR('Base Encuesta'!#REF!="",IFERROR(VALUE(LEFT('Base Encuesta'!#REF!,1)),"")&gt;=3),"",VALUE(LEFT('Base Encuesta'!#REF!,1)))</f>
        <v>#REF!</v>
      </c>
      <c r="R17" t="e">
        <f>IF(OR('Base Encuesta'!#REF!="",IFERROR(VALUE(LEFT('Base Encuesta'!#REF!,1)),"")&gt;=3),"",VALUE(LEFT('Base Encuesta'!#REF!,1)))</f>
        <v>#REF!</v>
      </c>
      <c r="S17" t="e">
        <f>IF(OR('Base Encuesta'!#REF!="",IFERROR(VALUE(LEFT('Base Encuesta'!#REF!,1)),"")&gt;=3),"",VALUE(LEFT('Base Encuesta'!#REF!,1)))</f>
        <v>#REF!</v>
      </c>
      <c r="T17" t="e">
        <f>IF(OR('Base Encuesta'!#REF!="",IFERROR(VALUE(LEFT('Base Encuesta'!#REF!,1)),"")&gt;=3),"",VALUE(LEFT('Base Encuesta'!#REF!,1)))</f>
        <v>#REF!</v>
      </c>
      <c r="U17" t="e">
        <f>IF(OR('Base Encuesta'!#REF!="",IFERROR(VALUE(LEFT('Base Encuesta'!#REF!,1)),"")&gt;=3),"",VALUE(LEFT('Base Encuesta'!#REF!,1)))</f>
        <v>#REF!</v>
      </c>
      <c r="V17" t="e">
        <f>IF(OR('Base Encuesta'!#REF!="",IFERROR(VALUE(LEFT('Base Encuesta'!#REF!,1)),"")&gt;=3),"",VALUE(LEFT('Base Encuesta'!#REF!,1)))</f>
        <v>#REF!</v>
      </c>
      <c r="W17" t="e">
        <f>IF(OR('Base Encuesta'!#REF!="",IFERROR(VALUE(LEFT('Base Encuesta'!#REF!,1)),"")&gt;=3),"",VALUE(LEFT('Base Encuesta'!#REF!,1)))</f>
        <v>#REF!</v>
      </c>
      <c r="X17" t="e">
        <f>IF(OR('Base Encuesta'!#REF!="",IFERROR(VALUE(LEFT('Base Encuesta'!#REF!,1)),"")&gt;=3),"",IF(W17=1,VALUE(LEFT('Base Encuesta'!#REF!,1)),""))</f>
        <v>#REF!</v>
      </c>
      <c r="Y17" t="e">
        <f>IF(OR('Base Encuesta'!#REF!="",IFERROR(VALUE(LEFT('Base Encuesta'!#REF!,1)),"")&gt;=3),"",IF(W17=1,VALUE(LEFT('Base Encuesta'!#REF!,1)),""))</f>
        <v>#REF!</v>
      </c>
      <c r="Z17" t="e">
        <f>IF(OR('Base Encuesta'!#REF!="",IFERROR(VALUE(LEFT('Base Encuesta'!#REF!,1)),"")&gt;=3),"",IF(W17=1,VALUE(LEFT('Base Encuesta'!#REF!,1)),""))</f>
        <v>#REF!</v>
      </c>
      <c r="AA17" t="e">
        <f>IF(OR('Base Encuesta'!#REF!="",IFERROR(VALUE(LEFT('Base Encuesta'!#REF!,1)),"")&gt;=3),"",IF(W17=1,VALUE(LEFT('Base Encuesta'!#REF!,1)),""))</f>
        <v>#REF!</v>
      </c>
      <c r="AB17" t="e">
        <f>IF(OR('Base Encuesta'!#REF!="",IFERROR(VALUE(LEFT('Base Encuesta'!#REF!,1)),"")&gt;=3),"",IF(W17=1,VALUE(LEFT('Base Encuesta'!#REF!,1)),""))</f>
        <v>#REF!</v>
      </c>
      <c r="AC17" t="e">
        <f>IF(OR('Base Encuesta'!#REF!="",IFERROR(VALUE(LEFT('Base Encuesta'!#REF!,1)),"")&gt;=3),"",VALUE(LEFT('Base Encuesta'!#REF!,1)))</f>
        <v>#REF!</v>
      </c>
      <c r="AD17" t="e">
        <f>IF(OR('Base Encuesta'!#REF!="",IFERROR(VALUE(LEFT('Base Encuesta'!#REF!,1)),"")&gt;=3),"",VALUE(LEFT('Base Encuesta'!#REF!,1)))</f>
        <v>#REF!</v>
      </c>
      <c r="AE17" t="e">
        <f>IF(OR('Base Encuesta'!#REF!="",IFERROR(VALUE(LEFT('Base Encuesta'!#REF!,1)),"")&gt;=3),"",VALUE(LEFT('Base Encuesta'!#REF!,1)))</f>
        <v>#REF!</v>
      </c>
      <c r="AF17" t="e">
        <f>IF(OR('Base Encuesta'!#REF!="",IFERROR(VALUE(LEFT('Base Encuesta'!#REF!,1)),"")&gt;=3),"",VALUE(LEFT('Base Encuesta'!#REF!,1)))</f>
        <v>#REF!</v>
      </c>
      <c r="AG17" t="e">
        <f>IF(OR('Base Encuesta'!#REF!="",IFERROR(VALUE(LEFT('Base Encuesta'!#REF!,1)),"")&gt;=3),"",VALUE(LEFT('Base Encuesta'!#REF!,1)))</f>
        <v>#REF!</v>
      </c>
      <c r="AH17" t="e">
        <f>IF(OR('Base Encuesta'!#REF!="",IFERROR(VALUE(LEFT('Base Encuesta'!#REF!,1)),"")&gt;=3),"",VALUE(LEFT('Base Encuesta'!#REF!,1)))</f>
        <v>#REF!</v>
      </c>
    </row>
    <row r="18" spans="1:34">
      <c r="A18" t="e">
        <f>IF('Base Encuesta'!#REF!="","",'Base Encuesta'!#REF!)</f>
        <v>#REF!</v>
      </c>
      <c r="B18" t="e">
        <f>IF('Base Encuesta'!#REF!="","",'Base Encuesta'!#REF!)</f>
        <v>#REF!</v>
      </c>
      <c r="C18" t="e">
        <f>IF('Base Encuesta'!#REF!="","",'Base Encuesta'!#REF!)</f>
        <v>#REF!</v>
      </c>
      <c r="D18" t="e">
        <f>IF('Base Encuesta'!#REF!="","",'Base Encuesta'!#REF!)</f>
        <v>#REF!</v>
      </c>
      <c r="E18" t="e">
        <f>IF('Base Encuesta'!#REF!="","",'Base Encuesta'!#REF!)</f>
        <v>#REF!</v>
      </c>
      <c r="F18" t="e">
        <f>IF('Base Encuesta'!#REF!="","",'Base Encuesta'!#REF!)</f>
        <v>#REF!</v>
      </c>
      <c r="G18" t="e">
        <f>IF('Base Encuesta'!#REF!="","",'Base Encuesta'!#REF!)</f>
        <v>#REF!</v>
      </c>
      <c r="H18" t="e">
        <f>IF('Base Encuesta'!#REF!="","",'Base Encuesta'!#REF!)</f>
        <v>#REF!</v>
      </c>
      <c r="I18" t="e">
        <f>IF('Base Encuesta'!#REF!="","",'Base Encuesta'!#REF!)</f>
        <v>#REF!</v>
      </c>
      <c r="J18" t="e">
        <f>IF(OR('Base Encuesta'!#REF!="",IFERROR(VALUE(LEFT('Base Encuesta'!#REF!,1)),"")&gt;=3),"",PROPER(TRIM('Base Encuesta'!#REF!)))</f>
        <v>#REF!</v>
      </c>
      <c r="K18" t="e">
        <f>IF(OR('Base Encuesta'!#REF!="",IFERROR(VALUE(LEFT('Base Encuesta'!#REF!,1)),"")&gt;=3),"",'Base Encuesta'!#REF!)</f>
        <v>#REF!</v>
      </c>
      <c r="L18" t="e">
        <f>IF(OR('Base Encuesta'!#REF!="",IFERROR(VALUE(LEFT('Base Encuesta'!#REF!,1)),"")&gt;=3),"",VALUE(LEFT('Base Encuesta'!#REF!,1)))</f>
        <v>#REF!</v>
      </c>
      <c r="M18" t="e">
        <f>IF(OR('Base Encuesta'!#REF!="",IFERROR(VALUE(LEFT('Base Encuesta'!#REF!,1)),"")&gt;=3),"",VALUE(LEFT('Base Encuesta'!#REF!,1)))</f>
        <v>#REF!</v>
      </c>
      <c r="N18" t="e">
        <f>IF(OR('Base Encuesta'!#REF!="",IFERROR(VALUE(LEFT('Base Encuesta'!#REF!,1)),"")&gt;=3),"",VALUE(LEFT('Base Encuesta'!#REF!,1)))</f>
        <v>#REF!</v>
      </c>
      <c r="O18" t="e">
        <f>IF(OR('Base Encuesta'!#REF!="",IFERROR(VALUE(LEFT('Base Encuesta'!#REF!,1)),"")&gt;=3),"",VALUE(LEFT('Base Encuesta'!#REF!,1)))</f>
        <v>#REF!</v>
      </c>
      <c r="P18" t="e">
        <f>IF(OR('Base Encuesta'!#REF!="",IFERROR(VALUE(LEFT('Base Encuesta'!#REF!,1)),"")&gt;=3),"",VALUE(LEFT('Base Encuesta'!#REF!,1)))</f>
        <v>#REF!</v>
      </c>
      <c r="Q18" t="e">
        <f>IF(OR('Base Encuesta'!#REF!="",IFERROR(VALUE(LEFT('Base Encuesta'!#REF!,1)),"")&gt;=3),"",VALUE(LEFT('Base Encuesta'!#REF!,1)))</f>
        <v>#REF!</v>
      </c>
      <c r="R18" t="e">
        <f>IF(OR('Base Encuesta'!#REF!="",IFERROR(VALUE(LEFT('Base Encuesta'!#REF!,1)),"")&gt;=3),"",VALUE(LEFT('Base Encuesta'!#REF!,1)))</f>
        <v>#REF!</v>
      </c>
      <c r="S18" t="e">
        <f>IF(OR('Base Encuesta'!#REF!="",IFERROR(VALUE(LEFT('Base Encuesta'!#REF!,1)),"")&gt;=3),"",VALUE(LEFT('Base Encuesta'!#REF!,1)))</f>
        <v>#REF!</v>
      </c>
      <c r="T18" t="e">
        <f>IF(OR('Base Encuesta'!#REF!="",IFERROR(VALUE(LEFT('Base Encuesta'!#REF!,1)),"")&gt;=3),"",VALUE(LEFT('Base Encuesta'!#REF!,1)))</f>
        <v>#REF!</v>
      </c>
      <c r="U18" t="e">
        <f>IF(OR('Base Encuesta'!#REF!="",IFERROR(VALUE(LEFT('Base Encuesta'!#REF!,1)),"")&gt;=3),"",VALUE(LEFT('Base Encuesta'!#REF!,1)))</f>
        <v>#REF!</v>
      </c>
      <c r="V18" t="e">
        <f>IF(OR('Base Encuesta'!#REF!="",IFERROR(VALUE(LEFT('Base Encuesta'!#REF!,1)),"")&gt;=3),"",VALUE(LEFT('Base Encuesta'!#REF!,1)))</f>
        <v>#REF!</v>
      </c>
      <c r="W18" t="e">
        <f>IF(OR('Base Encuesta'!#REF!="",IFERROR(VALUE(LEFT('Base Encuesta'!#REF!,1)),"")&gt;=3),"",VALUE(LEFT('Base Encuesta'!#REF!,1)))</f>
        <v>#REF!</v>
      </c>
      <c r="X18" t="e">
        <f>IF(OR('Base Encuesta'!#REF!="",IFERROR(VALUE(LEFT('Base Encuesta'!#REF!,1)),"")&gt;=3),"",IF(W18=1,VALUE(LEFT('Base Encuesta'!#REF!,1)),""))</f>
        <v>#REF!</v>
      </c>
      <c r="Y18" t="e">
        <f>IF(OR('Base Encuesta'!#REF!="",IFERROR(VALUE(LEFT('Base Encuesta'!#REF!,1)),"")&gt;=3),"",IF(W18=1,VALUE(LEFT('Base Encuesta'!#REF!,1)),""))</f>
        <v>#REF!</v>
      </c>
      <c r="Z18" t="e">
        <f>IF(OR('Base Encuesta'!#REF!="",IFERROR(VALUE(LEFT('Base Encuesta'!#REF!,1)),"")&gt;=3),"",IF(W18=1,VALUE(LEFT('Base Encuesta'!#REF!,1)),""))</f>
        <v>#REF!</v>
      </c>
      <c r="AA18" t="e">
        <f>IF(OR('Base Encuesta'!#REF!="",IFERROR(VALUE(LEFT('Base Encuesta'!#REF!,1)),"")&gt;=3),"",IF(W18=1,VALUE(LEFT('Base Encuesta'!#REF!,1)),""))</f>
        <v>#REF!</v>
      </c>
      <c r="AB18" t="e">
        <f>IF(OR('Base Encuesta'!#REF!="",IFERROR(VALUE(LEFT('Base Encuesta'!#REF!,1)),"")&gt;=3),"",IF(W18=1,VALUE(LEFT('Base Encuesta'!#REF!,1)),""))</f>
        <v>#REF!</v>
      </c>
      <c r="AC18" t="e">
        <f>IF(OR('Base Encuesta'!#REF!="",IFERROR(VALUE(LEFT('Base Encuesta'!#REF!,1)),"")&gt;=3),"",VALUE(LEFT('Base Encuesta'!#REF!,1)))</f>
        <v>#REF!</v>
      </c>
      <c r="AD18" t="e">
        <f>IF(OR('Base Encuesta'!#REF!="",IFERROR(VALUE(LEFT('Base Encuesta'!#REF!,1)),"")&gt;=3),"",VALUE(LEFT('Base Encuesta'!#REF!,1)))</f>
        <v>#REF!</v>
      </c>
      <c r="AE18" t="e">
        <f>IF(OR('Base Encuesta'!#REF!="",IFERROR(VALUE(LEFT('Base Encuesta'!#REF!,1)),"")&gt;=3),"",VALUE(LEFT('Base Encuesta'!#REF!,1)))</f>
        <v>#REF!</v>
      </c>
      <c r="AF18" t="e">
        <f>IF(OR('Base Encuesta'!#REF!="",IFERROR(VALUE(LEFT('Base Encuesta'!#REF!,1)),"")&gt;=3),"",VALUE(LEFT('Base Encuesta'!#REF!,1)))</f>
        <v>#REF!</v>
      </c>
      <c r="AG18" t="e">
        <f>IF(OR('Base Encuesta'!#REF!="",IFERROR(VALUE(LEFT('Base Encuesta'!#REF!,1)),"")&gt;=3),"",VALUE(LEFT('Base Encuesta'!#REF!,1)))</f>
        <v>#REF!</v>
      </c>
      <c r="AH18" t="e">
        <f>IF(OR('Base Encuesta'!#REF!="",IFERROR(VALUE(LEFT('Base Encuesta'!#REF!,1)),"")&gt;=3),"",VALUE(LEFT('Base Encuesta'!#REF!,1)))</f>
        <v>#REF!</v>
      </c>
    </row>
    <row r="19" spans="1:34">
      <c r="A19" t="e">
        <f>IF('Base Encuesta'!#REF!="","",'Base Encuesta'!#REF!)</f>
        <v>#REF!</v>
      </c>
      <c r="B19" t="e">
        <f>IF('Base Encuesta'!#REF!="","",'Base Encuesta'!#REF!)</f>
        <v>#REF!</v>
      </c>
      <c r="C19" t="e">
        <f>IF('Base Encuesta'!#REF!="","",'Base Encuesta'!#REF!)</f>
        <v>#REF!</v>
      </c>
      <c r="D19" t="e">
        <f>IF('Base Encuesta'!#REF!="","",'Base Encuesta'!#REF!)</f>
        <v>#REF!</v>
      </c>
      <c r="E19" t="e">
        <f>IF('Base Encuesta'!#REF!="","",'Base Encuesta'!#REF!)</f>
        <v>#REF!</v>
      </c>
      <c r="F19" t="e">
        <f>IF('Base Encuesta'!#REF!="","",'Base Encuesta'!#REF!)</f>
        <v>#REF!</v>
      </c>
      <c r="G19" t="e">
        <f>IF('Base Encuesta'!#REF!="","",'Base Encuesta'!#REF!)</f>
        <v>#REF!</v>
      </c>
      <c r="H19" t="e">
        <f>IF('Base Encuesta'!#REF!="","",'Base Encuesta'!#REF!)</f>
        <v>#REF!</v>
      </c>
      <c r="I19" t="e">
        <f>IF('Base Encuesta'!#REF!="","",'Base Encuesta'!#REF!)</f>
        <v>#REF!</v>
      </c>
      <c r="J19" t="e">
        <f>IF(OR('Base Encuesta'!#REF!="",IFERROR(VALUE(LEFT('Base Encuesta'!#REF!,1)),"")&gt;=3),"",PROPER(TRIM('Base Encuesta'!#REF!)))</f>
        <v>#REF!</v>
      </c>
      <c r="K19" t="e">
        <f>IF(OR('Base Encuesta'!#REF!="",IFERROR(VALUE(LEFT('Base Encuesta'!#REF!,1)),"")&gt;=3),"",'Base Encuesta'!#REF!)</f>
        <v>#REF!</v>
      </c>
      <c r="L19" t="e">
        <f>IF(OR('Base Encuesta'!#REF!="",IFERROR(VALUE(LEFT('Base Encuesta'!#REF!,1)),"")&gt;=3),"",VALUE(LEFT('Base Encuesta'!#REF!,1)))</f>
        <v>#REF!</v>
      </c>
      <c r="M19" t="e">
        <f>IF(OR('Base Encuesta'!#REF!="",IFERROR(VALUE(LEFT('Base Encuesta'!#REF!,1)),"")&gt;=3),"",VALUE(LEFT('Base Encuesta'!#REF!,1)))</f>
        <v>#REF!</v>
      </c>
      <c r="N19" t="e">
        <f>IF(OR('Base Encuesta'!#REF!="",IFERROR(VALUE(LEFT('Base Encuesta'!#REF!,1)),"")&gt;=3),"",VALUE(LEFT('Base Encuesta'!#REF!,1)))</f>
        <v>#REF!</v>
      </c>
      <c r="O19" t="e">
        <f>IF(OR('Base Encuesta'!#REF!="",IFERROR(VALUE(LEFT('Base Encuesta'!#REF!,1)),"")&gt;=3),"",VALUE(LEFT('Base Encuesta'!#REF!,1)))</f>
        <v>#REF!</v>
      </c>
      <c r="P19" t="e">
        <f>IF(OR('Base Encuesta'!#REF!="",IFERROR(VALUE(LEFT('Base Encuesta'!#REF!,1)),"")&gt;=3),"",VALUE(LEFT('Base Encuesta'!#REF!,1)))</f>
        <v>#REF!</v>
      </c>
      <c r="Q19" t="e">
        <f>IF(OR('Base Encuesta'!#REF!="",IFERROR(VALUE(LEFT('Base Encuesta'!#REF!,1)),"")&gt;=3),"",VALUE(LEFT('Base Encuesta'!#REF!,1)))</f>
        <v>#REF!</v>
      </c>
      <c r="R19" t="e">
        <f>IF(OR('Base Encuesta'!#REF!="",IFERROR(VALUE(LEFT('Base Encuesta'!#REF!,1)),"")&gt;=3),"",VALUE(LEFT('Base Encuesta'!#REF!,1)))</f>
        <v>#REF!</v>
      </c>
      <c r="S19" t="e">
        <f>IF(OR('Base Encuesta'!#REF!="",IFERROR(VALUE(LEFT('Base Encuesta'!#REF!,1)),"")&gt;=3),"",VALUE(LEFT('Base Encuesta'!#REF!,1)))</f>
        <v>#REF!</v>
      </c>
      <c r="T19" t="e">
        <f>IF(OR('Base Encuesta'!#REF!="",IFERROR(VALUE(LEFT('Base Encuesta'!#REF!,1)),"")&gt;=3),"",VALUE(LEFT('Base Encuesta'!#REF!,1)))</f>
        <v>#REF!</v>
      </c>
      <c r="U19" t="e">
        <f>IF(OR('Base Encuesta'!#REF!="",IFERROR(VALUE(LEFT('Base Encuesta'!#REF!,1)),"")&gt;=3),"",VALUE(LEFT('Base Encuesta'!#REF!,1)))</f>
        <v>#REF!</v>
      </c>
      <c r="V19" t="e">
        <f>IF(OR('Base Encuesta'!#REF!="",IFERROR(VALUE(LEFT('Base Encuesta'!#REF!,1)),"")&gt;=3),"",VALUE(LEFT('Base Encuesta'!#REF!,1)))</f>
        <v>#REF!</v>
      </c>
      <c r="W19" t="e">
        <f>IF(OR('Base Encuesta'!#REF!="",IFERROR(VALUE(LEFT('Base Encuesta'!#REF!,1)),"")&gt;=3),"",VALUE(LEFT('Base Encuesta'!#REF!,1)))</f>
        <v>#REF!</v>
      </c>
      <c r="X19" t="e">
        <f>IF(OR('Base Encuesta'!#REF!="",IFERROR(VALUE(LEFT('Base Encuesta'!#REF!,1)),"")&gt;=3),"",IF(W19=1,VALUE(LEFT('Base Encuesta'!#REF!,1)),""))</f>
        <v>#REF!</v>
      </c>
      <c r="Y19" t="e">
        <f>IF(OR('Base Encuesta'!#REF!="",IFERROR(VALUE(LEFT('Base Encuesta'!#REF!,1)),"")&gt;=3),"",IF(W19=1,VALUE(LEFT('Base Encuesta'!#REF!,1)),""))</f>
        <v>#REF!</v>
      </c>
      <c r="Z19" t="e">
        <f>IF(OR('Base Encuesta'!#REF!="",IFERROR(VALUE(LEFT('Base Encuesta'!#REF!,1)),"")&gt;=3),"",IF(W19=1,VALUE(LEFT('Base Encuesta'!#REF!,1)),""))</f>
        <v>#REF!</v>
      </c>
      <c r="AA19" t="e">
        <f>IF(OR('Base Encuesta'!#REF!="",IFERROR(VALUE(LEFT('Base Encuesta'!#REF!,1)),"")&gt;=3),"",IF(W19=1,VALUE(LEFT('Base Encuesta'!#REF!,1)),""))</f>
        <v>#REF!</v>
      </c>
      <c r="AB19" t="e">
        <f>IF(OR('Base Encuesta'!#REF!="",IFERROR(VALUE(LEFT('Base Encuesta'!#REF!,1)),"")&gt;=3),"",IF(W19=1,VALUE(LEFT('Base Encuesta'!#REF!,1)),""))</f>
        <v>#REF!</v>
      </c>
      <c r="AC19" t="e">
        <f>IF(OR('Base Encuesta'!#REF!="",IFERROR(VALUE(LEFT('Base Encuesta'!#REF!,1)),"")&gt;=3),"",VALUE(LEFT('Base Encuesta'!#REF!,1)))</f>
        <v>#REF!</v>
      </c>
      <c r="AD19" t="e">
        <f>IF(OR('Base Encuesta'!#REF!="",IFERROR(VALUE(LEFT('Base Encuesta'!#REF!,1)),"")&gt;=3),"",VALUE(LEFT('Base Encuesta'!#REF!,1)))</f>
        <v>#REF!</v>
      </c>
      <c r="AE19" t="e">
        <f>IF(OR('Base Encuesta'!#REF!="",IFERROR(VALUE(LEFT('Base Encuesta'!#REF!,1)),"")&gt;=3),"",VALUE(LEFT('Base Encuesta'!#REF!,1)))</f>
        <v>#REF!</v>
      </c>
      <c r="AF19" t="e">
        <f>IF(OR('Base Encuesta'!#REF!="",IFERROR(VALUE(LEFT('Base Encuesta'!#REF!,1)),"")&gt;=3),"",VALUE(LEFT('Base Encuesta'!#REF!,1)))</f>
        <v>#REF!</v>
      </c>
      <c r="AG19" t="e">
        <f>IF(OR('Base Encuesta'!#REF!="",IFERROR(VALUE(LEFT('Base Encuesta'!#REF!,1)),"")&gt;=3),"",VALUE(LEFT('Base Encuesta'!#REF!,1)))</f>
        <v>#REF!</v>
      </c>
      <c r="AH19" t="e">
        <f>IF(OR('Base Encuesta'!#REF!="",IFERROR(VALUE(LEFT('Base Encuesta'!#REF!,1)),"")&gt;=3),"",VALUE(LEFT('Base Encuesta'!#REF!,1)))</f>
        <v>#REF!</v>
      </c>
    </row>
    <row r="20" spans="1:34">
      <c r="A20" t="e">
        <f>IF('Base Encuesta'!#REF!="","",'Base Encuesta'!#REF!)</f>
        <v>#REF!</v>
      </c>
      <c r="B20" t="e">
        <f>IF('Base Encuesta'!#REF!="","",'Base Encuesta'!#REF!)</f>
        <v>#REF!</v>
      </c>
      <c r="C20" t="e">
        <f>IF('Base Encuesta'!#REF!="","",'Base Encuesta'!#REF!)</f>
        <v>#REF!</v>
      </c>
      <c r="D20" t="e">
        <f>IF('Base Encuesta'!#REF!="","",'Base Encuesta'!#REF!)</f>
        <v>#REF!</v>
      </c>
      <c r="E20" t="e">
        <f>IF('Base Encuesta'!#REF!="","",'Base Encuesta'!#REF!)</f>
        <v>#REF!</v>
      </c>
      <c r="F20" t="e">
        <f>IF('Base Encuesta'!#REF!="","",'Base Encuesta'!#REF!)</f>
        <v>#REF!</v>
      </c>
      <c r="G20" t="e">
        <f>IF('Base Encuesta'!#REF!="","",'Base Encuesta'!#REF!)</f>
        <v>#REF!</v>
      </c>
      <c r="H20" t="e">
        <f>IF('Base Encuesta'!#REF!="","",'Base Encuesta'!#REF!)</f>
        <v>#REF!</v>
      </c>
      <c r="I20" t="e">
        <f>IF('Base Encuesta'!#REF!="","",'Base Encuesta'!#REF!)</f>
        <v>#REF!</v>
      </c>
      <c r="J20" t="e">
        <f>IF(OR('Base Encuesta'!#REF!="",IFERROR(VALUE(LEFT('Base Encuesta'!#REF!,1)),"")&gt;=3),"",PROPER(TRIM('Base Encuesta'!#REF!)))</f>
        <v>#REF!</v>
      </c>
      <c r="K20" t="e">
        <f>IF(OR('Base Encuesta'!#REF!="",IFERROR(VALUE(LEFT('Base Encuesta'!#REF!,1)),"")&gt;=3),"",'Base Encuesta'!#REF!)</f>
        <v>#REF!</v>
      </c>
      <c r="L20" t="e">
        <f>IF(OR('Base Encuesta'!#REF!="",IFERROR(VALUE(LEFT('Base Encuesta'!#REF!,1)),"")&gt;=3),"",VALUE(LEFT('Base Encuesta'!#REF!,1)))</f>
        <v>#REF!</v>
      </c>
      <c r="M20" t="e">
        <f>IF(OR('Base Encuesta'!#REF!="",IFERROR(VALUE(LEFT('Base Encuesta'!#REF!,1)),"")&gt;=3),"",VALUE(LEFT('Base Encuesta'!#REF!,1)))</f>
        <v>#REF!</v>
      </c>
      <c r="N20" t="e">
        <f>IF(OR('Base Encuesta'!#REF!="",IFERROR(VALUE(LEFT('Base Encuesta'!#REF!,1)),"")&gt;=3),"",VALUE(LEFT('Base Encuesta'!#REF!,1)))</f>
        <v>#REF!</v>
      </c>
      <c r="O20" t="e">
        <f>IF(OR('Base Encuesta'!#REF!="",IFERROR(VALUE(LEFT('Base Encuesta'!#REF!,1)),"")&gt;=3),"",VALUE(LEFT('Base Encuesta'!#REF!,1)))</f>
        <v>#REF!</v>
      </c>
      <c r="P20" t="e">
        <f>IF(OR('Base Encuesta'!#REF!="",IFERROR(VALUE(LEFT('Base Encuesta'!#REF!,1)),"")&gt;=3),"",VALUE(LEFT('Base Encuesta'!#REF!,1)))</f>
        <v>#REF!</v>
      </c>
      <c r="Q20" t="e">
        <f>IF(OR('Base Encuesta'!#REF!="",IFERROR(VALUE(LEFT('Base Encuesta'!#REF!,1)),"")&gt;=3),"",VALUE(LEFT('Base Encuesta'!#REF!,1)))</f>
        <v>#REF!</v>
      </c>
      <c r="R20" t="e">
        <f>IF(OR('Base Encuesta'!#REF!="",IFERROR(VALUE(LEFT('Base Encuesta'!#REF!,1)),"")&gt;=3),"",VALUE(LEFT('Base Encuesta'!#REF!,1)))</f>
        <v>#REF!</v>
      </c>
      <c r="S20" t="e">
        <f>IF(OR('Base Encuesta'!#REF!="",IFERROR(VALUE(LEFT('Base Encuesta'!#REF!,1)),"")&gt;=3),"",VALUE(LEFT('Base Encuesta'!#REF!,1)))</f>
        <v>#REF!</v>
      </c>
      <c r="T20" t="e">
        <f>IF(OR('Base Encuesta'!#REF!="",IFERROR(VALUE(LEFT('Base Encuesta'!#REF!,1)),"")&gt;=3),"",VALUE(LEFT('Base Encuesta'!#REF!,1)))</f>
        <v>#REF!</v>
      </c>
      <c r="U20" t="e">
        <f>IF(OR('Base Encuesta'!#REF!="",IFERROR(VALUE(LEFT('Base Encuesta'!#REF!,1)),"")&gt;=3),"",VALUE(LEFT('Base Encuesta'!#REF!,1)))</f>
        <v>#REF!</v>
      </c>
      <c r="V20" t="e">
        <f>IF(OR('Base Encuesta'!#REF!="",IFERROR(VALUE(LEFT('Base Encuesta'!#REF!,1)),"")&gt;=3),"",VALUE(LEFT('Base Encuesta'!#REF!,1)))</f>
        <v>#REF!</v>
      </c>
      <c r="W20" t="e">
        <f>IF(OR('Base Encuesta'!#REF!="",IFERROR(VALUE(LEFT('Base Encuesta'!#REF!,1)),"")&gt;=3),"",VALUE(LEFT('Base Encuesta'!#REF!,1)))</f>
        <v>#REF!</v>
      </c>
      <c r="X20" t="e">
        <f>IF(OR('Base Encuesta'!#REF!="",IFERROR(VALUE(LEFT('Base Encuesta'!#REF!,1)),"")&gt;=3),"",IF(W20=1,VALUE(LEFT('Base Encuesta'!#REF!,1)),""))</f>
        <v>#REF!</v>
      </c>
      <c r="Y20" t="e">
        <f>IF(OR('Base Encuesta'!#REF!="",IFERROR(VALUE(LEFT('Base Encuesta'!#REF!,1)),"")&gt;=3),"",IF(W20=1,VALUE(LEFT('Base Encuesta'!#REF!,1)),""))</f>
        <v>#REF!</v>
      </c>
      <c r="Z20" t="e">
        <f>IF(OR('Base Encuesta'!#REF!="",IFERROR(VALUE(LEFT('Base Encuesta'!#REF!,1)),"")&gt;=3),"",IF(W20=1,VALUE(LEFT('Base Encuesta'!#REF!,1)),""))</f>
        <v>#REF!</v>
      </c>
      <c r="AA20" t="e">
        <f>IF(OR('Base Encuesta'!#REF!="",IFERROR(VALUE(LEFT('Base Encuesta'!#REF!,1)),"")&gt;=3),"",IF(W20=1,VALUE(LEFT('Base Encuesta'!#REF!,1)),""))</f>
        <v>#REF!</v>
      </c>
      <c r="AB20" t="e">
        <f>IF(OR('Base Encuesta'!#REF!="",IFERROR(VALUE(LEFT('Base Encuesta'!#REF!,1)),"")&gt;=3),"",IF(W20=1,VALUE(LEFT('Base Encuesta'!#REF!,1)),""))</f>
        <v>#REF!</v>
      </c>
      <c r="AC20" t="e">
        <f>IF(OR('Base Encuesta'!#REF!="",IFERROR(VALUE(LEFT('Base Encuesta'!#REF!,1)),"")&gt;=3),"",VALUE(LEFT('Base Encuesta'!#REF!,1)))</f>
        <v>#REF!</v>
      </c>
      <c r="AD20" t="e">
        <f>IF(OR('Base Encuesta'!#REF!="",IFERROR(VALUE(LEFT('Base Encuesta'!#REF!,1)),"")&gt;=3),"",VALUE(LEFT('Base Encuesta'!#REF!,1)))</f>
        <v>#REF!</v>
      </c>
      <c r="AE20" t="e">
        <f>IF(OR('Base Encuesta'!#REF!="",IFERROR(VALUE(LEFT('Base Encuesta'!#REF!,1)),"")&gt;=3),"",VALUE(LEFT('Base Encuesta'!#REF!,1)))</f>
        <v>#REF!</v>
      </c>
      <c r="AF20" t="e">
        <f>IF(OR('Base Encuesta'!#REF!="",IFERROR(VALUE(LEFT('Base Encuesta'!#REF!,1)),"")&gt;=3),"",VALUE(LEFT('Base Encuesta'!#REF!,1)))</f>
        <v>#REF!</v>
      </c>
      <c r="AG20" t="e">
        <f>IF(OR('Base Encuesta'!#REF!="",IFERROR(VALUE(LEFT('Base Encuesta'!#REF!,1)),"")&gt;=3),"",VALUE(LEFT('Base Encuesta'!#REF!,1)))</f>
        <v>#REF!</v>
      </c>
      <c r="AH20" t="e">
        <f>IF(OR('Base Encuesta'!#REF!="",IFERROR(VALUE(LEFT('Base Encuesta'!#REF!,1)),"")&gt;=3),"",VALUE(LEFT('Base Encuesta'!#REF!,1)))</f>
        <v>#REF!</v>
      </c>
    </row>
    <row r="21" spans="1:34">
      <c r="A21" t="e">
        <f>IF('Base Encuesta'!#REF!="","",'Base Encuesta'!#REF!)</f>
        <v>#REF!</v>
      </c>
      <c r="B21" t="e">
        <f>IF('Base Encuesta'!#REF!="","",'Base Encuesta'!#REF!)</f>
        <v>#REF!</v>
      </c>
      <c r="C21" t="e">
        <f>IF('Base Encuesta'!#REF!="","",'Base Encuesta'!#REF!)</f>
        <v>#REF!</v>
      </c>
      <c r="D21" t="e">
        <f>IF('Base Encuesta'!#REF!="","",'Base Encuesta'!#REF!)</f>
        <v>#REF!</v>
      </c>
      <c r="E21" t="e">
        <f>IF('Base Encuesta'!#REF!="","",'Base Encuesta'!#REF!)</f>
        <v>#REF!</v>
      </c>
      <c r="F21" t="e">
        <f>IF('Base Encuesta'!#REF!="","",'Base Encuesta'!#REF!)</f>
        <v>#REF!</v>
      </c>
      <c r="G21" t="e">
        <f>IF('Base Encuesta'!#REF!="","",'Base Encuesta'!#REF!)</f>
        <v>#REF!</v>
      </c>
      <c r="H21" t="e">
        <f>IF('Base Encuesta'!#REF!="","",'Base Encuesta'!#REF!)</f>
        <v>#REF!</v>
      </c>
      <c r="I21" t="e">
        <f>IF('Base Encuesta'!#REF!="","",'Base Encuesta'!#REF!)</f>
        <v>#REF!</v>
      </c>
      <c r="J21" t="e">
        <f>IF(OR('Base Encuesta'!#REF!="",IFERROR(VALUE(LEFT('Base Encuesta'!#REF!,1)),"")&gt;=3),"",PROPER(TRIM('Base Encuesta'!#REF!)))</f>
        <v>#REF!</v>
      </c>
      <c r="K21" t="e">
        <f>IF(OR('Base Encuesta'!#REF!="",IFERROR(VALUE(LEFT('Base Encuesta'!#REF!,1)),"")&gt;=3),"",'Base Encuesta'!#REF!)</f>
        <v>#REF!</v>
      </c>
      <c r="L21" t="e">
        <f>IF(OR('Base Encuesta'!#REF!="",IFERROR(VALUE(LEFT('Base Encuesta'!#REF!,1)),"")&gt;=3),"",VALUE(LEFT('Base Encuesta'!#REF!,1)))</f>
        <v>#REF!</v>
      </c>
      <c r="M21" t="e">
        <f>IF(OR('Base Encuesta'!#REF!="",IFERROR(VALUE(LEFT('Base Encuesta'!#REF!,1)),"")&gt;=3),"",VALUE(LEFT('Base Encuesta'!#REF!,1)))</f>
        <v>#REF!</v>
      </c>
      <c r="N21" t="e">
        <f>IF(OR('Base Encuesta'!#REF!="",IFERROR(VALUE(LEFT('Base Encuesta'!#REF!,1)),"")&gt;=3),"",VALUE(LEFT('Base Encuesta'!#REF!,1)))</f>
        <v>#REF!</v>
      </c>
      <c r="O21" t="e">
        <f>IF(OR('Base Encuesta'!#REF!="",IFERROR(VALUE(LEFT('Base Encuesta'!#REF!,1)),"")&gt;=3),"",VALUE(LEFT('Base Encuesta'!#REF!,1)))</f>
        <v>#REF!</v>
      </c>
      <c r="P21" t="e">
        <f>IF(OR('Base Encuesta'!#REF!="",IFERROR(VALUE(LEFT('Base Encuesta'!#REF!,1)),"")&gt;=3),"",VALUE(LEFT('Base Encuesta'!#REF!,1)))</f>
        <v>#REF!</v>
      </c>
      <c r="Q21" t="e">
        <f>IF(OR('Base Encuesta'!#REF!="",IFERROR(VALUE(LEFT('Base Encuesta'!#REF!,1)),"")&gt;=3),"",VALUE(LEFT('Base Encuesta'!#REF!,1)))</f>
        <v>#REF!</v>
      </c>
      <c r="R21" t="e">
        <f>IF(OR('Base Encuesta'!#REF!="",IFERROR(VALUE(LEFT('Base Encuesta'!#REF!,1)),"")&gt;=3),"",VALUE(LEFT('Base Encuesta'!#REF!,1)))</f>
        <v>#REF!</v>
      </c>
      <c r="S21" t="e">
        <f>IF(OR('Base Encuesta'!#REF!="",IFERROR(VALUE(LEFT('Base Encuesta'!#REF!,1)),"")&gt;=3),"",VALUE(LEFT('Base Encuesta'!#REF!,1)))</f>
        <v>#REF!</v>
      </c>
      <c r="T21" t="e">
        <f>IF(OR('Base Encuesta'!#REF!="",IFERROR(VALUE(LEFT('Base Encuesta'!#REF!,1)),"")&gt;=3),"",VALUE(LEFT('Base Encuesta'!#REF!,1)))</f>
        <v>#REF!</v>
      </c>
      <c r="U21" t="e">
        <f>IF(OR('Base Encuesta'!#REF!="",IFERROR(VALUE(LEFT('Base Encuesta'!#REF!,1)),"")&gt;=3),"",VALUE(LEFT('Base Encuesta'!#REF!,1)))</f>
        <v>#REF!</v>
      </c>
      <c r="V21" t="e">
        <f>IF(OR('Base Encuesta'!#REF!="",IFERROR(VALUE(LEFT('Base Encuesta'!#REF!,1)),"")&gt;=3),"",VALUE(LEFT('Base Encuesta'!#REF!,1)))</f>
        <v>#REF!</v>
      </c>
      <c r="W21" t="e">
        <f>IF(OR('Base Encuesta'!#REF!="",IFERROR(VALUE(LEFT('Base Encuesta'!#REF!,1)),"")&gt;=3),"",VALUE(LEFT('Base Encuesta'!#REF!,1)))</f>
        <v>#REF!</v>
      </c>
      <c r="X21" t="e">
        <f>IF(OR('Base Encuesta'!#REF!="",IFERROR(VALUE(LEFT('Base Encuesta'!#REF!,1)),"")&gt;=3),"",IF(W21=1,VALUE(LEFT('Base Encuesta'!#REF!,1)),""))</f>
        <v>#REF!</v>
      </c>
      <c r="Y21" t="e">
        <f>IF(OR('Base Encuesta'!#REF!="",IFERROR(VALUE(LEFT('Base Encuesta'!#REF!,1)),"")&gt;=3),"",IF(W21=1,VALUE(LEFT('Base Encuesta'!#REF!,1)),""))</f>
        <v>#REF!</v>
      </c>
      <c r="Z21" t="e">
        <f>IF(OR('Base Encuesta'!#REF!="",IFERROR(VALUE(LEFT('Base Encuesta'!#REF!,1)),"")&gt;=3),"",IF(W21=1,VALUE(LEFT('Base Encuesta'!#REF!,1)),""))</f>
        <v>#REF!</v>
      </c>
      <c r="AA21" t="e">
        <f>IF(OR('Base Encuesta'!#REF!="",IFERROR(VALUE(LEFT('Base Encuesta'!#REF!,1)),"")&gt;=3),"",IF(W21=1,VALUE(LEFT('Base Encuesta'!#REF!,1)),""))</f>
        <v>#REF!</v>
      </c>
      <c r="AB21" t="e">
        <f>IF(OR('Base Encuesta'!#REF!="",IFERROR(VALUE(LEFT('Base Encuesta'!#REF!,1)),"")&gt;=3),"",IF(W21=1,VALUE(LEFT('Base Encuesta'!#REF!,1)),""))</f>
        <v>#REF!</v>
      </c>
      <c r="AC21" t="e">
        <f>IF(OR('Base Encuesta'!#REF!="",IFERROR(VALUE(LEFT('Base Encuesta'!#REF!,1)),"")&gt;=3),"",VALUE(LEFT('Base Encuesta'!#REF!,1)))</f>
        <v>#REF!</v>
      </c>
      <c r="AD21" t="e">
        <f>IF(OR('Base Encuesta'!#REF!="",IFERROR(VALUE(LEFT('Base Encuesta'!#REF!,1)),"")&gt;=3),"",VALUE(LEFT('Base Encuesta'!#REF!,1)))</f>
        <v>#REF!</v>
      </c>
      <c r="AE21" t="e">
        <f>IF(OR('Base Encuesta'!#REF!="",IFERROR(VALUE(LEFT('Base Encuesta'!#REF!,1)),"")&gt;=3),"",VALUE(LEFT('Base Encuesta'!#REF!,1)))</f>
        <v>#REF!</v>
      </c>
      <c r="AF21" t="e">
        <f>IF(OR('Base Encuesta'!#REF!="",IFERROR(VALUE(LEFT('Base Encuesta'!#REF!,1)),"")&gt;=3),"",VALUE(LEFT('Base Encuesta'!#REF!,1)))</f>
        <v>#REF!</v>
      </c>
      <c r="AG21" t="e">
        <f>IF(OR('Base Encuesta'!#REF!="",IFERROR(VALUE(LEFT('Base Encuesta'!#REF!,1)),"")&gt;=3),"",VALUE(LEFT('Base Encuesta'!#REF!,1)))</f>
        <v>#REF!</v>
      </c>
      <c r="AH21" t="e">
        <f>IF(OR('Base Encuesta'!#REF!="",IFERROR(VALUE(LEFT('Base Encuesta'!#REF!,1)),"")&gt;=3),"",VALUE(LEFT('Base Encuesta'!#REF!,1)))</f>
        <v>#REF!</v>
      </c>
    </row>
    <row r="22" spans="1:34">
      <c r="A22" t="e">
        <f>IF('Base Encuesta'!#REF!="","",'Base Encuesta'!#REF!)</f>
        <v>#REF!</v>
      </c>
      <c r="B22" t="e">
        <f>IF('Base Encuesta'!#REF!="","",'Base Encuesta'!#REF!)</f>
        <v>#REF!</v>
      </c>
      <c r="C22" t="e">
        <f>IF('Base Encuesta'!#REF!="","",'Base Encuesta'!#REF!)</f>
        <v>#REF!</v>
      </c>
      <c r="D22" t="e">
        <f>IF('Base Encuesta'!#REF!="","",'Base Encuesta'!#REF!)</f>
        <v>#REF!</v>
      </c>
      <c r="E22" t="e">
        <f>IF('Base Encuesta'!#REF!="","",'Base Encuesta'!#REF!)</f>
        <v>#REF!</v>
      </c>
      <c r="F22" t="e">
        <f>IF('Base Encuesta'!#REF!="","",'Base Encuesta'!#REF!)</f>
        <v>#REF!</v>
      </c>
      <c r="G22" t="e">
        <f>IF('Base Encuesta'!#REF!="","",'Base Encuesta'!#REF!)</f>
        <v>#REF!</v>
      </c>
      <c r="H22" t="e">
        <f>IF('Base Encuesta'!#REF!="","",'Base Encuesta'!#REF!)</f>
        <v>#REF!</v>
      </c>
      <c r="I22" t="e">
        <f>IF('Base Encuesta'!#REF!="","",'Base Encuesta'!#REF!)</f>
        <v>#REF!</v>
      </c>
      <c r="J22" t="e">
        <f>IF(OR('Base Encuesta'!#REF!="",IFERROR(VALUE(LEFT('Base Encuesta'!#REF!,1)),"")&gt;=3),"",PROPER(TRIM('Base Encuesta'!#REF!)))</f>
        <v>#REF!</v>
      </c>
      <c r="K22" t="e">
        <f>IF(OR('Base Encuesta'!#REF!="",IFERROR(VALUE(LEFT('Base Encuesta'!#REF!,1)),"")&gt;=3),"",'Base Encuesta'!#REF!)</f>
        <v>#REF!</v>
      </c>
      <c r="L22" t="e">
        <f>IF(OR('Base Encuesta'!#REF!="",IFERROR(VALUE(LEFT('Base Encuesta'!#REF!,1)),"")&gt;=3),"",VALUE(LEFT('Base Encuesta'!#REF!,1)))</f>
        <v>#REF!</v>
      </c>
      <c r="M22" t="e">
        <f>IF(OR('Base Encuesta'!#REF!="",IFERROR(VALUE(LEFT('Base Encuesta'!#REF!,1)),"")&gt;=3),"",VALUE(LEFT('Base Encuesta'!#REF!,1)))</f>
        <v>#REF!</v>
      </c>
      <c r="N22" t="e">
        <f>IF(OR('Base Encuesta'!#REF!="",IFERROR(VALUE(LEFT('Base Encuesta'!#REF!,1)),"")&gt;=3),"",VALUE(LEFT('Base Encuesta'!#REF!,1)))</f>
        <v>#REF!</v>
      </c>
      <c r="O22" t="e">
        <f>IF(OR('Base Encuesta'!#REF!="",IFERROR(VALUE(LEFT('Base Encuesta'!#REF!,1)),"")&gt;=3),"",VALUE(LEFT('Base Encuesta'!#REF!,1)))</f>
        <v>#REF!</v>
      </c>
      <c r="P22" t="e">
        <f>IF(OR('Base Encuesta'!#REF!="",IFERROR(VALUE(LEFT('Base Encuesta'!#REF!,1)),"")&gt;=3),"",VALUE(LEFT('Base Encuesta'!#REF!,1)))</f>
        <v>#REF!</v>
      </c>
      <c r="Q22" t="e">
        <f>IF(OR('Base Encuesta'!#REF!="",IFERROR(VALUE(LEFT('Base Encuesta'!#REF!,1)),"")&gt;=3),"",VALUE(LEFT('Base Encuesta'!#REF!,1)))</f>
        <v>#REF!</v>
      </c>
      <c r="R22" t="e">
        <f>IF(OR('Base Encuesta'!#REF!="",IFERROR(VALUE(LEFT('Base Encuesta'!#REF!,1)),"")&gt;=3),"",VALUE(LEFT('Base Encuesta'!#REF!,1)))</f>
        <v>#REF!</v>
      </c>
      <c r="S22" t="e">
        <f>IF(OR('Base Encuesta'!#REF!="",IFERROR(VALUE(LEFT('Base Encuesta'!#REF!,1)),"")&gt;=3),"",VALUE(LEFT('Base Encuesta'!#REF!,1)))</f>
        <v>#REF!</v>
      </c>
      <c r="T22" t="e">
        <f>IF(OR('Base Encuesta'!#REF!="",IFERROR(VALUE(LEFT('Base Encuesta'!#REF!,1)),"")&gt;=3),"",VALUE(LEFT('Base Encuesta'!#REF!,1)))</f>
        <v>#REF!</v>
      </c>
      <c r="U22" t="e">
        <f>IF(OR('Base Encuesta'!#REF!="",IFERROR(VALUE(LEFT('Base Encuesta'!#REF!,1)),"")&gt;=3),"",VALUE(LEFT('Base Encuesta'!#REF!,1)))</f>
        <v>#REF!</v>
      </c>
      <c r="V22" t="e">
        <f>IF(OR('Base Encuesta'!#REF!="",IFERROR(VALUE(LEFT('Base Encuesta'!#REF!,1)),"")&gt;=3),"",VALUE(LEFT('Base Encuesta'!#REF!,1)))</f>
        <v>#REF!</v>
      </c>
      <c r="W22" t="e">
        <f>IF(OR('Base Encuesta'!#REF!="",IFERROR(VALUE(LEFT('Base Encuesta'!#REF!,1)),"")&gt;=3),"",VALUE(LEFT('Base Encuesta'!#REF!,1)))</f>
        <v>#REF!</v>
      </c>
      <c r="X22" t="e">
        <f>IF(OR('Base Encuesta'!#REF!="",IFERROR(VALUE(LEFT('Base Encuesta'!#REF!,1)),"")&gt;=3),"",IF(W22=1,VALUE(LEFT('Base Encuesta'!#REF!,1)),""))</f>
        <v>#REF!</v>
      </c>
      <c r="Y22" t="e">
        <f>IF(OR('Base Encuesta'!#REF!="",IFERROR(VALUE(LEFT('Base Encuesta'!#REF!,1)),"")&gt;=3),"",IF(W22=1,VALUE(LEFT('Base Encuesta'!#REF!,1)),""))</f>
        <v>#REF!</v>
      </c>
      <c r="Z22" t="e">
        <f>IF(OR('Base Encuesta'!#REF!="",IFERROR(VALUE(LEFT('Base Encuesta'!#REF!,1)),"")&gt;=3),"",IF(W22=1,VALUE(LEFT('Base Encuesta'!#REF!,1)),""))</f>
        <v>#REF!</v>
      </c>
      <c r="AA22" t="e">
        <f>IF(OR('Base Encuesta'!#REF!="",IFERROR(VALUE(LEFT('Base Encuesta'!#REF!,1)),"")&gt;=3),"",IF(W22=1,VALUE(LEFT('Base Encuesta'!#REF!,1)),""))</f>
        <v>#REF!</v>
      </c>
      <c r="AB22" t="e">
        <f>IF(OR('Base Encuesta'!#REF!="",IFERROR(VALUE(LEFT('Base Encuesta'!#REF!,1)),"")&gt;=3),"",IF(W22=1,VALUE(LEFT('Base Encuesta'!#REF!,1)),""))</f>
        <v>#REF!</v>
      </c>
      <c r="AC22" t="e">
        <f>IF(OR('Base Encuesta'!#REF!="",IFERROR(VALUE(LEFT('Base Encuesta'!#REF!,1)),"")&gt;=3),"",VALUE(LEFT('Base Encuesta'!#REF!,1)))</f>
        <v>#REF!</v>
      </c>
      <c r="AD22" t="e">
        <f>IF(OR('Base Encuesta'!#REF!="",IFERROR(VALUE(LEFT('Base Encuesta'!#REF!,1)),"")&gt;=3),"",VALUE(LEFT('Base Encuesta'!#REF!,1)))</f>
        <v>#REF!</v>
      </c>
      <c r="AE22" t="e">
        <f>IF(OR('Base Encuesta'!#REF!="",IFERROR(VALUE(LEFT('Base Encuesta'!#REF!,1)),"")&gt;=3),"",VALUE(LEFT('Base Encuesta'!#REF!,1)))</f>
        <v>#REF!</v>
      </c>
      <c r="AF22" t="e">
        <f>IF(OR('Base Encuesta'!#REF!="",IFERROR(VALUE(LEFT('Base Encuesta'!#REF!,1)),"")&gt;=3),"",VALUE(LEFT('Base Encuesta'!#REF!,1)))</f>
        <v>#REF!</v>
      </c>
      <c r="AG22" t="e">
        <f>IF(OR('Base Encuesta'!#REF!="",IFERROR(VALUE(LEFT('Base Encuesta'!#REF!,1)),"")&gt;=3),"",VALUE(LEFT('Base Encuesta'!#REF!,1)))</f>
        <v>#REF!</v>
      </c>
      <c r="AH22" t="e">
        <f>IF(OR('Base Encuesta'!#REF!="",IFERROR(VALUE(LEFT('Base Encuesta'!#REF!,1)),"")&gt;=3),"",VALUE(LEFT('Base Encuesta'!#REF!,1)))</f>
        <v>#REF!</v>
      </c>
    </row>
    <row r="23" spans="1:34">
      <c r="A23" t="e">
        <f>IF('Base Encuesta'!#REF!="","",'Base Encuesta'!#REF!)</f>
        <v>#REF!</v>
      </c>
      <c r="B23" t="e">
        <f>IF('Base Encuesta'!#REF!="","",'Base Encuesta'!#REF!)</f>
        <v>#REF!</v>
      </c>
      <c r="C23" t="e">
        <f>IF('Base Encuesta'!#REF!="","",'Base Encuesta'!#REF!)</f>
        <v>#REF!</v>
      </c>
      <c r="D23" t="e">
        <f>IF('Base Encuesta'!#REF!="","",'Base Encuesta'!#REF!)</f>
        <v>#REF!</v>
      </c>
      <c r="E23" t="e">
        <f>IF('Base Encuesta'!#REF!="","",'Base Encuesta'!#REF!)</f>
        <v>#REF!</v>
      </c>
      <c r="F23" t="e">
        <f>IF('Base Encuesta'!#REF!="","",'Base Encuesta'!#REF!)</f>
        <v>#REF!</v>
      </c>
      <c r="G23" t="e">
        <f>IF('Base Encuesta'!#REF!="","",'Base Encuesta'!#REF!)</f>
        <v>#REF!</v>
      </c>
      <c r="H23" t="e">
        <f>IF('Base Encuesta'!#REF!="","",'Base Encuesta'!#REF!)</f>
        <v>#REF!</v>
      </c>
      <c r="I23" t="e">
        <f>IF('Base Encuesta'!#REF!="","",'Base Encuesta'!#REF!)</f>
        <v>#REF!</v>
      </c>
      <c r="J23" t="e">
        <f>IF(OR('Base Encuesta'!#REF!="",IFERROR(VALUE(LEFT('Base Encuesta'!#REF!,1)),"")&gt;=3),"",PROPER(TRIM('Base Encuesta'!#REF!)))</f>
        <v>#REF!</v>
      </c>
      <c r="K23" t="e">
        <f>IF(OR('Base Encuesta'!#REF!="",IFERROR(VALUE(LEFT('Base Encuesta'!#REF!,1)),"")&gt;=3),"",'Base Encuesta'!#REF!)</f>
        <v>#REF!</v>
      </c>
      <c r="L23" t="e">
        <f>IF(OR('Base Encuesta'!#REF!="",IFERROR(VALUE(LEFT('Base Encuesta'!#REF!,1)),"")&gt;=3),"",VALUE(LEFT('Base Encuesta'!#REF!,1)))</f>
        <v>#REF!</v>
      </c>
      <c r="M23" t="e">
        <f>IF(OR('Base Encuesta'!#REF!="",IFERROR(VALUE(LEFT('Base Encuesta'!#REF!,1)),"")&gt;=3),"",VALUE(LEFT('Base Encuesta'!#REF!,1)))</f>
        <v>#REF!</v>
      </c>
      <c r="N23" t="e">
        <f>IF(OR('Base Encuesta'!#REF!="",IFERROR(VALUE(LEFT('Base Encuesta'!#REF!,1)),"")&gt;=3),"",VALUE(LEFT('Base Encuesta'!#REF!,1)))</f>
        <v>#REF!</v>
      </c>
      <c r="O23" t="e">
        <f>IF(OR('Base Encuesta'!#REF!="",IFERROR(VALUE(LEFT('Base Encuesta'!#REF!,1)),"")&gt;=3),"",VALUE(LEFT('Base Encuesta'!#REF!,1)))</f>
        <v>#REF!</v>
      </c>
      <c r="P23" t="e">
        <f>IF(OR('Base Encuesta'!#REF!="",IFERROR(VALUE(LEFT('Base Encuesta'!#REF!,1)),"")&gt;=3),"",VALUE(LEFT('Base Encuesta'!#REF!,1)))</f>
        <v>#REF!</v>
      </c>
      <c r="Q23" t="e">
        <f>IF(OR('Base Encuesta'!#REF!="",IFERROR(VALUE(LEFT('Base Encuesta'!#REF!,1)),"")&gt;=3),"",VALUE(LEFT('Base Encuesta'!#REF!,1)))</f>
        <v>#REF!</v>
      </c>
      <c r="R23" t="e">
        <f>IF(OR('Base Encuesta'!#REF!="",IFERROR(VALUE(LEFT('Base Encuesta'!#REF!,1)),"")&gt;=3),"",VALUE(LEFT('Base Encuesta'!#REF!,1)))</f>
        <v>#REF!</v>
      </c>
      <c r="S23" t="e">
        <f>IF(OR('Base Encuesta'!#REF!="",IFERROR(VALUE(LEFT('Base Encuesta'!#REF!,1)),"")&gt;=3),"",VALUE(LEFT('Base Encuesta'!#REF!,1)))</f>
        <v>#REF!</v>
      </c>
      <c r="T23" t="e">
        <f>IF(OR('Base Encuesta'!#REF!="",IFERROR(VALUE(LEFT('Base Encuesta'!#REF!,1)),"")&gt;=3),"",VALUE(LEFT('Base Encuesta'!#REF!,1)))</f>
        <v>#REF!</v>
      </c>
      <c r="U23" t="e">
        <f>IF(OR('Base Encuesta'!#REF!="",IFERROR(VALUE(LEFT('Base Encuesta'!#REF!,1)),"")&gt;=3),"",VALUE(LEFT('Base Encuesta'!#REF!,1)))</f>
        <v>#REF!</v>
      </c>
      <c r="V23" t="e">
        <f>IF(OR('Base Encuesta'!#REF!="",IFERROR(VALUE(LEFT('Base Encuesta'!#REF!,1)),"")&gt;=3),"",VALUE(LEFT('Base Encuesta'!#REF!,1)))</f>
        <v>#REF!</v>
      </c>
      <c r="W23" t="e">
        <f>IF(OR('Base Encuesta'!#REF!="",IFERROR(VALUE(LEFT('Base Encuesta'!#REF!,1)),"")&gt;=3),"",VALUE(LEFT('Base Encuesta'!#REF!,1)))</f>
        <v>#REF!</v>
      </c>
      <c r="X23" t="e">
        <f>IF(OR('Base Encuesta'!#REF!="",IFERROR(VALUE(LEFT('Base Encuesta'!#REF!,1)),"")&gt;=3),"",IF(W23=1,VALUE(LEFT('Base Encuesta'!#REF!,1)),""))</f>
        <v>#REF!</v>
      </c>
      <c r="Y23" t="e">
        <f>IF(OR('Base Encuesta'!#REF!="",IFERROR(VALUE(LEFT('Base Encuesta'!#REF!,1)),"")&gt;=3),"",IF(W23=1,VALUE(LEFT('Base Encuesta'!#REF!,1)),""))</f>
        <v>#REF!</v>
      </c>
      <c r="Z23" t="e">
        <f>IF(OR('Base Encuesta'!#REF!="",IFERROR(VALUE(LEFT('Base Encuesta'!#REF!,1)),"")&gt;=3),"",IF(W23=1,VALUE(LEFT('Base Encuesta'!#REF!,1)),""))</f>
        <v>#REF!</v>
      </c>
      <c r="AA23" t="e">
        <f>IF(OR('Base Encuesta'!#REF!="",IFERROR(VALUE(LEFT('Base Encuesta'!#REF!,1)),"")&gt;=3),"",IF(W23=1,VALUE(LEFT('Base Encuesta'!#REF!,1)),""))</f>
        <v>#REF!</v>
      </c>
      <c r="AB23" t="e">
        <f>IF(OR('Base Encuesta'!#REF!="",IFERROR(VALUE(LEFT('Base Encuesta'!#REF!,1)),"")&gt;=3),"",IF(W23=1,VALUE(LEFT('Base Encuesta'!#REF!,1)),""))</f>
        <v>#REF!</v>
      </c>
      <c r="AC23" t="e">
        <f>IF(OR('Base Encuesta'!#REF!="",IFERROR(VALUE(LEFT('Base Encuesta'!#REF!,1)),"")&gt;=3),"",VALUE(LEFT('Base Encuesta'!#REF!,1)))</f>
        <v>#REF!</v>
      </c>
      <c r="AD23" t="e">
        <f>IF(OR('Base Encuesta'!#REF!="",IFERROR(VALUE(LEFT('Base Encuesta'!#REF!,1)),"")&gt;=3),"",VALUE(LEFT('Base Encuesta'!#REF!,1)))</f>
        <v>#REF!</v>
      </c>
      <c r="AE23" t="e">
        <f>IF(OR('Base Encuesta'!#REF!="",IFERROR(VALUE(LEFT('Base Encuesta'!#REF!,1)),"")&gt;=3),"",VALUE(LEFT('Base Encuesta'!#REF!,1)))</f>
        <v>#REF!</v>
      </c>
      <c r="AF23" t="e">
        <f>IF(OR('Base Encuesta'!#REF!="",IFERROR(VALUE(LEFT('Base Encuesta'!#REF!,1)),"")&gt;=3),"",VALUE(LEFT('Base Encuesta'!#REF!,1)))</f>
        <v>#REF!</v>
      </c>
      <c r="AG23" t="e">
        <f>IF(OR('Base Encuesta'!#REF!="",IFERROR(VALUE(LEFT('Base Encuesta'!#REF!,1)),"")&gt;=3),"",VALUE(LEFT('Base Encuesta'!#REF!,1)))</f>
        <v>#REF!</v>
      </c>
      <c r="AH23" t="e">
        <f>IF(OR('Base Encuesta'!#REF!="",IFERROR(VALUE(LEFT('Base Encuesta'!#REF!,1)),"")&gt;=3),"",VALUE(LEFT('Base Encuesta'!#REF!,1)))</f>
        <v>#REF!</v>
      </c>
    </row>
    <row r="24" spans="1:34">
      <c r="A24" t="e">
        <f>IF('Base Encuesta'!#REF!="","",'Base Encuesta'!#REF!)</f>
        <v>#REF!</v>
      </c>
      <c r="B24" t="e">
        <f>IF('Base Encuesta'!#REF!="","",'Base Encuesta'!#REF!)</f>
        <v>#REF!</v>
      </c>
      <c r="C24" t="e">
        <f>IF('Base Encuesta'!#REF!="","",'Base Encuesta'!#REF!)</f>
        <v>#REF!</v>
      </c>
      <c r="D24" t="e">
        <f>IF('Base Encuesta'!#REF!="","",'Base Encuesta'!#REF!)</f>
        <v>#REF!</v>
      </c>
      <c r="E24" t="e">
        <f>IF('Base Encuesta'!#REF!="","",'Base Encuesta'!#REF!)</f>
        <v>#REF!</v>
      </c>
      <c r="F24" t="e">
        <f>IF('Base Encuesta'!#REF!="","",'Base Encuesta'!#REF!)</f>
        <v>#REF!</v>
      </c>
      <c r="G24" t="e">
        <f>IF('Base Encuesta'!#REF!="","",'Base Encuesta'!#REF!)</f>
        <v>#REF!</v>
      </c>
      <c r="H24" t="e">
        <f>IF('Base Encuesta'!#REF!="","",'Base Encuesta'!#REF!)</f>
        <v>#REF!</v>
      </c>
      <c r="I24" t="e">
        <f>IF('Base Encuesta'!#REF!="","",'Base Encuesta'!#REF!)</f>
        <v>#REF!</v>
      </c>
      <c r="J24" t="e">
        <f>IF(OR('Base Encuesta'!#REF!="",IFERROR(VALUE(LEFT('Base Encuesta'!#REF!,1)),"")&gt;=3),"",PROPER(TRIM('Base Encuesta'!#REF!)))</f>
        <v>#REF!</v>
      </c>
      <c r="K24" t="e">
        <f>IF(OR('Base Encuesta'!#REF!="",IFERROR(VALUE(LEFT('Base Encuesta'!#REF!,1)),"")&gt;=3),"",'Base Encuesta'!#REF!)</f>
        <v>#REF!</v>
      </c>
      <c r="L24" t="e">
        <f>IF(OR('Base Encuesta'!#REF!="",IFERROR(VALUE(LEFT('Base Encuesta'!#REF!,1)),"")&gt;=3),"",VALUE(LEFT('Base Encuesta'!#REF!,1)))</f>
        <v>#REF!</v>
      </c>
      <c r="M24" t="e">
        <f>IF(OR('Base Encuesta'!#REF!="",IFERROR(VALUE(LEFT('Base Encuesta'!#REF!,1)),"")&gt;=3),"",VALUE(LEFT('Base Encuesta'!#REF!,1)))</f>
        <v>#REF!</v>
      </c>
      <c r="N24" t="e">
        <f>IF(OR('Base Encuesta'!#REF!="",IFERROR(VALUE(LEFT('Base Encuesta'!#REF!,1)),"")&gt;=3),"",VALUE(LEFT('Base Encuesta'!#REF!,1)))</f>
        <v>#REF!</v>
      </c>
      <c r="O24" t="e">
        <f>IF(OR('Base Encuesta'!#REF!="",IFERROR(VALUE(LEFT('Base Encuesta'!#REF!,1)),"")&gt;=3),"",VALUE(LEFT('Base Encuesta'!#REF!,1)))</f>
        <v>#REF!</v>
      </c>
      <c r="P24" t="e">
        <f>IF(OR('Base Encuesta'!#REF!="",IFERROR(VALUE(LEFT('Base Encuesta'!#REF!,1)),"")&gt;=3),"",VALUE(LEFT('Base Encuesta'!#REF!,1)))</f>
        <v>#REF!</v>
      </c>
      <c r="Q24" t="e">
        <f>IF(OR('Base Encuesta'!#REF!="",IFERROR(VALUE(LEFT('Base Encuesta'!#REF!,1)),"")&gt;=3),"",VALUE(LEFT('Base Encuesta'!#REF!,1)))</f>
        <v>#REF!</v>
      </c>
      <c r="R24" t="e">
        <f>IF(OR('Base Encuesta'!#REF!="",IFERROR(VALUE(LEFT('Base Encuesta'!#REF!,1)),"")&gt;=3),"",VALUE(LEFT('Base Encuesta'!#REF!,1)))</f>
        <v>#REF!</v>
      </c>
      <c r="S24" t="e">
        <f>IF(OR('Base Encuesta'!#REF!="",IFERROR(VALUE(LEFT('Base Encuesta'!#REF!,1)),"")&gt;=3),"",VALUE(LEFT('Base Encuesta'!#REF!,1)))</f>
        <v>#REF!</v>
      </c>
      <c r="T24" t="e">
        <f>IF(OR('Base Encuesta'!#REF!="",IFERROR(VALUE(LEFT('Base Encuesta'!#REF!,1)),"")&gt;=3),"",VALUE(LEFT('Base Encuesta'!#REF!,1)))</f>
        <v>#REF!</v>
      </c>
      <c r="U24" t="e">
        <f>IF(OR('Base Encuesta'!#REF!="",IFERROR(VALUE(LEFT('Base Encuesta'!#REF!,1)),"")&gt;=3),"",VALUE(LEFT('Base Encuesta'!#REF!,1)))</f>
        <v>#REF!</v>
      </c>
      <c r="V24" t="e">
        <f>IF(OR('Base Encuesta'!#REF!="",IFERROR(VALUE(LEFT('Base Encuesta'!#REF!,1)),"")&gt;=3),"",VALUE(LEFT('Base Encuesta'!#REF!,1)))</f>
        <v>#REF!</v>
      </c>
      <c r="W24" t="e">
        <f>IF(OR('Base Encuesta'!#REF!="",IFERROR(VALUE(LEFT('Base Encuesta'!#REF!,1)),"")&gt;=3),"",VALUE(LEFT('Base Encuesta'!#REF!,1)))</f>
        <v>#REF!</v>
      </c>
      <c r="X24" t="e">
        <f>IF(OR('Base Encuesta'!#REF!="",IFERROR(VALUE(LEFT('Base Encuesta'!#REF!,1)),"")&gt;=3),"",IF(W24=1,VALUE(LEFT('Base Encuesta'!#REF!,1)),""))</f>
        <v>#REF!</v>
      </c>
      <c r="Y24" t="e">
        <f>IF(OR('Base Encuesta'!#REF!="",IFERROR(VALUE(LEFT('Base Encuesta'!#REF!,1)),"")&gt;=3),"",IF(W24=1,VALUE(LEFT('Base Encuesta'!#REF!,1)),""))</f>
        <v>#REF!</v>
      </c>
      <c r="Z24" t="e">
        <f>IF(OR('Base Encuesta'!#REF!="",IFERROR(VALUE(LEFT('Base Encuesta'!#REF!,1)),"")&gt;=3),"",IF(W24=1,VALUE(LEFT('Base Encuesta'!#REF!,1)),""))</f>
        <v>#REF!</v>
      </c>
      <c r="AA24" t="e">
        <f>IF(OR('Base Encuesta'!#REF!="",IFERROR(VALUE(LEFT('Base Encuesta'!#REF!,1)),"")&gt;=3),"",IF(W24=1,VALUE(LEFT('Base Encuesta'!#REF!,1)),""))</f>
        <v>#REF!</v>
      </c>
      <c r="AB24" t="e">
        <f>IF(OR('Base Encuesta'!#REF!="",IFERROR(VALUE(LEFT('Base Encuesta'!#REF!,1)),"")&gt;=3),"",IF(W24=1,VALUE(LEFT('Base Encuesta'!#REF!,1)),""))</f>
        <v>#REF!</v>
      </c>
      <c r="AC24" t="e">
        <f>IF(OR('Base Encuesta'!#REF!="",IFERROR(VALUE(LEFT('Base Encuesta'!#REF!,1)),"")&gt;=3),"",VALUE(LEFT('Base Encuesta'!#REF!,1)))</f>
        <v>#REF!</v>
      </c>
      <c r="AD24" t="e">
        <f>IF(OR('Base Encuesta'!#REF!="",IFERROR(VALUE(LEFT('Base Encuesta'!#REF!,1)),"")&gt;=3),"",VALUE(LEFT('Base Encuesta'!#REF!,1)))</f>
        <v>#REF!</v>
      </c>
      <c r="AE24" t="e">
        <f>IF(OR('Base Encuesta'!#REF!="",IFERROR(VALUE(LEFT('Base Encuesta'!#REF!,1)),"")&gt;=3),"",VALUE(LEFT('Base Encuesta'!#REF!,1)))</f>
        <v>#REF!</v>
      </c>
      <c r="AF24" t="e">
        <f>IF(OR('Base Encuesta'!#REF!="",IFERROR(VALUE(LEFT('Base Encuesta'!#REF!,1)),"")&gt;=3),"",VALUE(LEFT('Base Encuesta'!#REF!,1)))</f>
        <v>#REF!</v>
      </c>
      <c r="AG24" t="e">
        <f>IF(OR('Base Encuesta'!#REF!="",IFERROR(VALUE(LEFT('Base Encuesta'!#REF!,1)),"")&gt;=3),"",VALUE(LEFT('Base Encuesta'!#REF!,1)))</f>
        <v>#REF!</v>
      </c>
      <c r="AH24" t="e">
        <f>IF(OR('Base Encuesta'!#REF!="",IFERROR(VALUE(LEFT('Base Encuesta'!#REF!,1)),"")&gt;=3),"",VALUE(LEFT('Base Encuesta'!#REF!,1)))</f>
        <v>#REF!</v>
      </c>
    </row>
    <row r="25" spans="1:34">
      <c r="A25" t="e">
        <f>IF('Base Encuesta'!#REF!="","",'Base Encuesta'!#REF!)</f>
        <v>#REF!</v>
      </c>
      <c r="B25" t="e">
        <f>IF('Base Encuesta'!#REF!="","",'Base Encuesta'!#REF!)</f>
        <v>#REF!</v>
      </c>
      <c r="C25" t="e">
        <f>IF('Base Encuesta'!#REF!="","",'Base Encuesta'!#REF!)</f>
        <v>#REF!</v>
      </c>
      <c r="D25" t="e">
        <f>IF('Base Encuesta'!#REF!="","",'Base Encuesta'!#REF!)</f>
        <v>#REF!</v>
      </c>
      <c r="E25" t="e">
        <f>IF('Base Encuesta'!#REF!="","",'Base Encuesta'!#REF!)</f>
        <v>#REF!</v>
      </c>
      <c r="F25" t="e">
        <f>IF('Base Encuesta'!#REF!="","",'Base Encuesta'!#REF!)</f>
        <v>#REF!</v>
      </c>
      <c r="G25" t="e">
        <f>IF('Base Encuesta'!#REF!="","",'Base Encuesta'!#REF!)</f>
        <v>#REF!</v>
      </c>
      <c r="H25" t="e">
        <f>IF('Base Encuesta'!#REF!="","",'Base Encuesta'!#REF!)</f>
        <v>#REF!</v>
      </c>
      <c r="I25" t="e">
        <f>IF('Base Encuesta'!#REF!="","",'Base Encuesta'!#REF!)</f>
        <v>#REF!</v>
      </c>
      <c r="J25" t="e">
        <f>IF(OR('Base Encuesta'!#REF!="",IFERROR(VALUE(LEFT('Base Encuesta'!#REF!,1)),"")&gt;=3),"",PROPER(TRIM('Base Encuesta'!#REF!)))</f>
        <v>#REF!</v>
      </c>
      <c r="K25" t="e">
        <f>IF(OR('Base Encuesta'!#REF!="",IFERROR(VALUE(LEFT('Base Encuesta'!#REF!,1)),"")&gt;=3),"",'Base Encuesta'!#REF!)</f>
        <v>#REF!</v>
      </c>
      <c r="L25" t="e">
        <f>IF(OR('Base Encuesta'!#REF!="",IFERROR(VALUE(LEFT('Base Encuesta'!#REF!,1)),"")&gt;=3),"",VALUE(LEFT('Base Encuesta'!#REF!,1)))</f>
        <v>#REF!</v>
      </c>
      <c r="M25" t="e">
        <f>IF(OR('Base Encuesta'!#REF!="",IFERROR(VALUE(LEFT('Base Encuesta'!#REF!,1)),"")&gt;=3),"",VALUE(LEFT('Base Encuesta'!#REF!,1)))</f>
        <v>#REF!</v>
      </c>
      <c r="N25" t="e">
        <f>IF(OR('Base Encuesta'!#REF!="",IFERROR(VALUE(LEFT('Base Encuesta'!#REF!,1)),"")&gt;=3),"",VALUE(LEFT('Base Encuesta'!#REF!,1)))</f>
        <v>#REF!</v>
      </c>
      <c r="O25" t="e">
        <f>IF(OR('Base Encuesta'!#REF!="",IFERROR(VALUE(LEFT('Base Encuesta'!#REF!,1)),"")&gt;=3),"",VALUE(LEFT('Base Encuesta'!#REF!,1)))</f>
        <v>#REF!</v>
      </c>
      <c r="P25" t="e">
        <f>IF(OR('Base Encuesta'!#REF!="",IFERROR(VALUE(LEFT('Base Encuesta'!#REF!,1)),"")&gt;=3),"",VALUE(LEFT('Base Encuesta'!#REF!,1)))</f>
        <v>#REF!</v>
      </c>
      <c r="Q25" t="e">
        <f>IF(OR('Base Encuesta'!#REF!="",IFERROR(VALUE(LEFT('Base Encuesta'!#REF!,1)),"")&gt;=3),"",VALUE(LEFT('Base Encuesta'!#REF!,1)))</f>
        <v>#REF!</v>
      </c>
      <c r="R25" t="e">
        <f>IF(OR('Base Encuesta'!#REF!="",IFERROR(VALUE(LEFT('Base Encuesta'!#REF!,1)),"")&gt;=3),"",VALUE(LEFT('Base Encuesta'!#REF!,1)))</f>
        <v>#REF!</v>
      </c>
      <c r="S25" t="e">
        <f>IF(OR('Base Encuesta'!#REF!="",IFERROR(VALUE(LEFT('Base Encuesta'!#REF!,1)),"")&gt;=3),"",VALUE(LEFT('Base Encuesta'!#REF!,1)))</f>
        <v>#REF!</v>
      </c>
      <c r="T25" t="e">
        <f>IF(OR('Base Encuesta'!#REF!="",IFERROR(VALUE(LEFT('Base Encuesta'!#REF!,1)),"")&gt;=3),"",VALUE(LEFT('Base Encuesta'!#REF!,1)))</f>
        <v>#REF!</v>
      </c>
      <c r="U25" t="e">
        <f>IF(OR('Base Encuesta'!#REF!="",IFERROR(VALUE(LEFT('Base Encuesta'!#REF!,1)),"")&gt;=3),"",VALUE(LEFT('Base Encuesta'!#REF!,1)))</f>
        <v>#REF!</v>
      </c>
      <c r="V25" t="e">
        <f>IF(OR('Base Encuesta'!#REF!="",IFERROR(VALUE(LEFT('Base Encuesta'!#REF!,1)),"")&gt;=3),"",VALUE(LEFT('Base Encuesta'!#REF!,1)))</f>
        <v>#REF!</v>
      </c>
      <c r="W25" t="e">
        <f>IF(OR('Base Encuesta'!#REF!="",IFERROR(VALUE(LEFT('Base Encuesta'!#REF!,1)),"")&gt;=3),"",VALUE(LEFT('Base Encuesta'!#REF!,1)))</f>
        <v>#REF!</v>
      </c>
      <c r="X25" t="e">
        <f>IF(OR('Base Encuesta'!#REF!="",IFERROR(VALUE(LEFT('Base Encuesta'!#REF!,1)),"")&gt;=3),"",IF(W25=1,VALUE(LEFT('Base Encuesta'!#REF!,1)),""))</f>
        <v>#REF!</v>
      </c>
      <c r="Y25" t="e">
        <f>IF(OR('Base Encuesta'!#REF!="",IFERROR(VALUE(LEFT('Base Encuesta'!#REF!,1)),"")&gt;=3),"",IF(W25=1,VALUE(LEFT('Base Encuesta'!#REF!,1)),""))</f>
        <v>#REF!</v>
      </c>
      <c r="Z25" t="e">
        <f>IF(OR('Base Encuesta'!#REF!="",IFERROR(VALUE(LEFT('Base Encuesta'!#REF!,1)),"")&gt;=3),"",IF(W25=1,VALUE(LEFT('Base Encuesta'!#REF!,1)),""))</f>
        <v>#REF!</v>
      </c>
      <c r="AA25" t="e">
        <f>IF(OR('Base Encuesta'!#REF!="",IFERROR(VALUE(LEFT('Base Encuesta'!#REF!,1)),"")&gt;=3),"",IF(W25=1,VALUE(LEFT('Base Encuesta'!#REF!,1)),""))</f>
        <v>#REF!</v>
      </c>
      <c r="AB25" t="e">
        <f>IF(OR('Base Encuesta'!#REF!="",IFERROR(VALUE(LEFT('Base Encuesta'!#REF!,1)),"")&gt;=3),"",IF(W25=1,VALUE(LEFT('Base Encuesta'!#REF!,1)),""))</f>
        <v>#REF!</v>
      </c>
      <c r="AC25" t="e">
        <f>IF(OR('Base Encuesta'!#REF!="",IFERROR(VALUE(LEFT('Base Encuesta'!#REF!,1)),"")&gt;=3),"",VALUE(LEFT('Base Encuesta'!#REF!,1)))</f>
        <v>#REF!</v>
      </c>
      <c r="AD25" t="e">
        <f>IF(OR('Base Encuesta'!#REF!="",IFERROR(VALUE(LEFT('Base Encuesta'!#REF!,1)),"")&gt;=3),"",VALUE(LEFT('Base Encuesta'!#REF!,1)))</f>
        <v>#REF!</v>
      </c>
      <c r="AE25" t="e">
        <f>IF(OR('Base Encuesta'!#REF!="",IFERROR(VALUE(LEFT('Base Encuesta'!#REF!,1)),"")&gt;=3),"",VALUE(LEFT('Base Encuesta'!#REF!,1)))</f>
        <v>#REF!</v>
      </c>
      <c r="AF25" t="e">
        <f>IF(OR('Base Encuesta'!#REF!="",IFERROR(VALUE(LEFT('Base Encuesta'!#REF!,1)),"")&gt;=3),"",VALUE(LEFT('Base Encuesta'!#REF!,1)))</f>
        <v>#REF!</v>
      </c>
      <c r="AG25" t="e">
        <f>IF(OR('Base Encuesta'!#REF!="",IFERROR(VALUE(LEFT('Base Encuesta'!#REF!,1)),"")&gt;=3),"",VALUE(LEFT('Base Encuesta'!#REF!,1)))</f>
        <v>#REF!</v>
      </c>
      <c r="AH25" t="e">
        <f>IF(OR('Base Encuesta'!#REF!="",IFERROR(VALUE(LEFT('Base Encuesta'!#REF!,1)),"")&gt;=3),"",VALUE(LEFT('Base Encuesta'!#REF!,1)))</f>
        <v>#REF!</v>
      </c>
    </row>
    <row r="26" spans="1:34">
      <c r="A26" t="e">
        <f>IF('Base Encuesta'!#REF!="","",'Base Encuesta'!#REF!)</f>
        <v>#REF!</v>
      </c>
      <c r="B26" t="e">
        <f>IF('Base Encuesta'!#REF!="","",'Base Encuesta'!#REF!)</f>
        <v>#REF!</v>
      </c>
      <c r="C26" t="e">
        <f>IF('Base Encuesta'!#REF!="","",'Base Encuesta'!#REF!)</f>
        <v>#REF!</v>
      </c>
      <c r="D26" t="e">
        <f>IF('Base Encuesta'!#REF!="","",'Base Encuesta'!#REF!)</f>
        <v>#REF!</v>
      </c>
      <c r="E26" t="e">
        <f>IF('Base Encuesta'!#REF!="","",'Base Encuesta'!#REF!)</f>
        <v>#REF!</v>
      </c>
      <c r="F26" t="e">
        <f>IF('Base Encuesta'!#REF!="","",'Base Encuesta'!#REF!)</f>
        <v>#REF!</v>
      </c>
      <c r="G26" t="e">
        <f>IF('Base Encuesta'!#REF!="","",'Base Encuesta'!#REF!)</f>
        <v>#REF!</v>
      </c>
      <c r="H26" t="e">
        <f>IF('Base Encuesta'!#REF!="","",'Base Encuesta'!#REF!)</f>
        <v>#REF!</v>
      </c>
      <c r="I26" t="e">
        <f>IF('Base Encuesta'!#REF!="","",'Base Encuesta'!#REF!)</f>
        <v>#REF!</v>
      </c>
      <c r="J26" t="e">
        <f>IF(OR('Base Encuesta'!#REF!="",IFERROR(VALUE(LEFT('Base Encuesta'!#REF!,1)),"")&gt;=3),"",PROPER(TRIM('Base Encuesta'!#REF!)))</f>
        <v>#REF!</v>
      </c>
      <c r="K26" t="e">
        <f>IF(OR('Base Encuesta'!#REF!="",IFERROR(VALUE(LEFT('Base Encuesta'!#REF!,1)),"")&gt;=3),"",'Base Encuesta'!#REF!)</f>
        <v>#REF!</v>
      </c>
      <c r="L26" t="e">
        <f>IF(OR('Base Encuesta'!#REF!="",IFERROR(VALUE(LEFT('Base Encuesta'!#REF!,1)),"")&gt;=3),"",VALUE(LEFT('Base Encuesta'!#REF!,1)))</f>
        <v>#REF!</v>
      </c>
      <c r="M26" t="e">
        <f>IF(OR('Base Encuesta'!#REF!="",IFERROR(VALUE(LEFT('Base Encuesta'!#REF!,1)),"")&gt;=3),"",VALUE(LEFT('Base Encuesta'!#REF!,1)))</f>
        <v>#REF!</v>
      </c>
      <c r="N26" t="e">
        <f>IF(OR('Base Encuesta'!#REF!="",IFERROR(VALUE(LEFT('Base Encuesta'!#REF!,1)),"")&gt;=3),"",VALUE(LEFT('Base Encuesta'!#REF!,1)))</f>
        <v>#REF!</v>
      </c>
      <c r="O26" t="e">
        <f>IF(OR('Base Encuesta'!#REF!="",IFERROR(VALUE(LEFT('Base Encuesta'!#REF!,1)),"")&gt;=3),"",VALUE(LEFT('Base Encuesta'!#REF!,1)))</f>
        <v>#REF!</v>
      </c>
      <c r="P26" t="e">
        <f>IF(OR('Base Encuesta'!#REF!="",IFERROR(VALUE(LEFT('Base Encuesta'!#REF!,1)),"")&gt;=3),"",VALUE(LEFT('Base Encuesta'!#REF!,1)))</f>
        <v>#REF!</v>
      </c>
      <c r="Q26" t="e">
        <f>IF(OR('Base Encuesta'!#REF!="",IFERROR(VALUE(LEFT('Base Encuesta'!#REF!,1)),"")&gt;=3),"",VALUE(LEFT('Base Encuesta'!#REF!,1)))</f>
        <v>#REF!</v>
      </c>
      <c r="R26" t="e">
        <f>IF(OR('Base Encuesta'!#REF!="",IFERROR(VALUE(LEFT('Base Encuesta'!#REF!,1)),"")&gt;=3),"",VALUE(LEFT('Base Encuesta'!#REF!,1)))</f>
        <v>#REF!</v>
      </c>
      <c r="S26" t="e">
        <f>IF(OR('Base Encuesta'!#REF!="",IFERROR(VALUE(LEFT('Base Encuesta'!#REF!,1)),"")&gt;=3),"",VALUE(LEFT('Base Encuesta'!#REF!,1)))</f>
        <v>#REF!</v>
      </c>
      <c r="T26" t="e">
        <f>IF(OR('Base Encuesta'!#REF!="",IFERROR(VALUE(LEFT('Base Encuesta'!#REF!,1)),"")&gt;=3),"",VALUE(LEFT('Base Encuesta'!#REF!,1)))</f>
        <v>#REF!</v>
      </c>
      <c r="U26" t="e">
        <f>IF(OR('Base Encuesta'!#REF!="",IFERROR(VALUE(LEFT('Base Encuesta'!#REF!,1)),"")&gt;=3),"",VALUE(LEFT('Base Encuesta'!#REF!,1)))</f>
        <v>#REF!</v>
      </c>
      <c r="V26" t="e">
        <f>IF(OR('Base Encuesta'!#REF!="",IFERROR(VALUE(LEFT('Base Encuesta'!#REF!,1)),"")&gt;=3),"",VALUE(LEFT('Base Encuesta'!#REF!,1)))</f>
        <v>#REF!</v>
      </c>
      <c r="W26" t="e">
        <f>IF(OR('Base Encuesta'!#REF!="",IFERROR(VALUE(LEFT('Base Encuesta'!#REF!,1)),"")&gt;=3),"",VALUE(LEFT('Base Encuesta'!#REF!,1)))</f>
        <v>#REF!</v>
      </c>
      <c r="X26" t="e">
        <f>IF(OR('Base Encuesta'!#REF!="",IFERROR(VALUE(LEFT('Base Encuesta'!#REF!,1)),"")&gt;=3),"",IF(W26=1,VALUE(LEFT('Base Encuesta'!#REF!,1)),""))</f>
        <v>#REF!</v>
      </c>
      <c r="Y26" t="e">
        <f>IF(OR('Base Encuesta'!#REF!="",IFERROR(VALUE(LEFT('Base Encuesta'!#REF!,1)),"")&gt;=3),"",IF(W26=1,VALUE(LEFT('Base Encuesta'!#REF!,1)),""))</f>
        <v>#REF!</v>
      </c>
      <c r="Z26" t="e">
        <f>IF(OR('Base Encuesta'!#REF!="",IFERROR(VALUE(LEFT('Base Encuesta'!#REF!,1)),"")&gt;=3),"",IF(W26=1,VALUE(LEFT('Base Encuesta'!#REF!,1)),""))</f>
        <v>#REF!</v>
      </c>
      <c r="AA26" t="e">
        <f>IF(OR('Base Encuesta'!#REF!="",IFERROR(VALUE(LEFT('Base Encuesta'!#REF!,1)),"")&gt;=3),"",IF(W26=1,VALUE(LEFT('Base Encuesta'!#REF!,1)),""))</f>
        <v>#REF!</v>
      </c>
      <c r="AB26" t="e">
        <f>IF(OR('Base Encuesta'!#REF!="",IFERROR(VALUE(LEFT('Base Encuesta'!#REF!,1)),"")&gt;=3),"",IF(W26=1,VALUE(LEFT('Base Encuesta'!#REF!,1)),""))</f>
        <v>#REF!</v>
      </c>
      <c r="AC26" t="e">
        <f>IF(OR('Base Encuesta'!#REF!="",IFERROR(VALUE(LEFT('Base Encuesta'!#REF!,1)),"")&gt;=3),"",VALUE(LEFT('Base Encuesta'!#REF!,1)))</f>
        <v>#REF!</v>
      </c>
      <c r="AD26" t="e">
        <f>IF(OR('Base Encuesta'!#REF!="",IFERROR(VALUE(LEFT('Base Encuesta'!#REF!,1)),"")&gt;=3),"",VALUE(LEFT('Base Encuesta'!#REF!,1)))</f>
        <v>#REF!</v>
      </c>
      <c r="AE26" t="e">
        <f>IF(OR('Base Encuesta'!#REF!="",IFERROR(VALUE(LEFT('Base Encuesta'!#REF!,1)),"")&gt;=3),"",VALUE(LEFT('Base Encuesta'!#REF!,1)))</f>
        <v>#REF!</v>
      </c>
      <c r="AF26" t="e">
        <f>IF(OR('Base Encuesta'!#REF!="",IFERROR(VALUE(LEFT('Base Encuesta'!#REF!,1)),"")&gt;=3),"",VALUE(LEFT('Base Encuesta'!#REF!,1)))</f>
        <v>#REF!</v>
      </c>
      <c r="AG26" t="e">
        <f>IF(OR('Base Encuesta'!#REF!="",IFERROR(VALUE(LEFT('Base Encuesta'!#REF!,1)),"")&gt;=3),"",VALUE(LEFT('Base Encuesta'!#REF!,1)))</f>
        <v>#REF!</v>
      </c>
      <c r="AH26" t="e">
        <f>IF(OR('Base Encuesta'!#REF!="",IFERROR(VALUE(LEFT('Base Encuesta'!#REF!,1)),"")&gt;=3),"",VALUE(LEFT('Base Encuesta'!#REF!,1)))</f>
        <v>#REF!</v>
      </c>
    </row>
    <row r="27" spans="1:34">
      <c r="A27" t="e">
        <f>IF('Base Encuesta'!#REF!="","",'Base Encuesta'!#REF!)</f>
        <v>#REF!</v>
      </c>
      <c r="B27" t="e">
        <f>IF('Base Encuesta'!#REF!="","",'Base Encuesta'!#REF!)</f>
        <v>#REF!</v>
      </c>
      <c r="C27" t="e">
        <f>IF('Base Encuesta'!#REF!="","",'Base Encuesta'!#REF!)</f>
        <v>#REF!</v>
      </c>
      <c r="D27" t="e">
        <f>IF('Base Encuesta'!#REF!="","",'Base Encuesta'!#REF!)</f>
        <v>#REF!</v>
      </c>
      <c r="E27" t="e">
        <f>IF('Base Encuesta'!#REF!="","",'Base Encuesta'!#REF!)</f>
        <v>#REF!</v>
      </c>
      <c r="F27" t="e">
        <f>IF('Base Encuesta'!#REF!="","",'Base Encuesta'!#REF!)</f>
        <v>#REF!</v>
      </c>
      <c r="G27" t="e">
        <f>IF('Base Encuesta'!#REF!="","",'Base Encuesta'!#REF!)</f>
        <v>#REF!</v>
      </c>
      <c r="H27" t="e">
        <f>IF('Base Encuesta'!#REF!="","",'Base Encuesta'!#REF!)</f>
        <v>#REF!</v>
      </c>
      <c r="I27" t="e">
        <f>IF('Base Encuesta'!#REF!="","",'Base Encuesta'!#REF!)</f>
        <v>#REF!</v>
      </c>
      <c r="J27" t="e">
        <f>IF(OR('Base Encuesta'!#REF!="",IFERROR(VALUE(LEFT('Base Encuesta'!#REF!,1)),"")&gt;=3),"",PROPER(TRIM('Base Encuesta'!#REF!)))</f>
        <v>#REF!</v>
      </c>
      <c r="K27" t="e">
        <f>IF(OR('Base Encuesta'!#REF!="",IFERROR(VALUE(LEFT('Base Encuesta'!#REF!,1)),"")&gt;=3),"",'Base Encuesta'!#REF!)</f>
        <v>#REF!</v>
      </c>
      <c r="L27" t="e">
        <f>IF(OR('Base Encuesta'!#REF!="",IFERROR(VALUE(LEFT('Base Encuesta'!#REF!,1)),"")&gt;=3),"",VALUE(LEFT('Base Encuesta'!#REF!,1)))</f>
        <v>#REF!</v>
      </c>
      <c r="M27" t="e">
        <f>IF(OR('Base Encuesta'!#REF!="",IFERROR(VALUE(LEFT('Base Encuesta'!#REF!,1)),"")&gt;=3),"",VALUE(LEFT('Base Encuesta'!#REF!,1)))</f>
        <v>#REF!</v>
      </c>
      <c r="N27" t="e">
        <f>IF(OR('Base Encuesta'!#REF!="",IFERROR(VALUE(LEFT('Base Encuesta'!#REF!,1)),"")&gt;=3),"",VALUE(LEFT('Base Encuesta'!#REF!,1)))</f>
        <v>#REF!</v>
      </c>
      <c r="O27" t="e">
        <f>IF(OR('Base Encuesta'!#REF!="",IFERROR(VALUE(LEFT('Base Encuesta'!#REF!,1)),"")&gt;=3),"",VALUE(LEFT('Base Encuesta'!#REF!,1)))</f>
        <v>#REF!</v>
      </c>
      <c r="P27" t="e">
        <f>IF(OR('Base Encuesta'!#REF!="",IFERROR(VALUE(LEFT('Base Encuesta'!#REF!,1)),"")&gt;=3),"",VALUE(LEFT('Base Encuesta'!#REF!,1)))</f>
        <v>#REF!</v>
      </c>
      <c r="Q27" t="e">
        <f>IF(OR('Base Encuesta'!#REF!="",IFERROR(VALUE(LEFT('Base Encuesta'!#REF!,1)),"")&gt;=3),"",VALUE(LEFT('Base Encuesta'!#REF!,1)))</f>
        <v>#REF!</v>
      </c>
      <c r="R27" t="e">
        <f>IF(OR('Base Encuesta'!#REF!="",IFERROR(VALUE(LEFT('Base Encuesta'!#REF!,1)),"")&gt;=3),"",VALUE(LEFT('Base Encuesta'!#REF!,1)))</f>
        <v>#REF!</v>
      </c>
      <c r="S27" t="e">
        <f>IF(OR('Base Encuesta'!#REF!="",IFERROR(VALUE(LEFT('Base Encuesta'!#REF!,1)),"")&gt;=3),"",VALUE(LEFT('Base Encuesta'!#REF!,1)))</f>
        <v>#REF!</v>
      </c>
      <c r="T27" t="e">
        <f>IF(OR('Base Encuesta'!#REF!="",IFERROR(VALUE(LEFT('Base Encuesta'!#REF!,1)),"")&gt;=3),"",VALUE(LEFT('Base Encuesta'!#REF!,1)))</f>
        <v>#REF!</v>
      </c>
      <c r="U27" t="e">
        <f>IF(OR('Base Encuesta'!#REF!="",IFERROR(VALUE(LEFT('Base Encuesta'!#REF!,1)),"")&gt;=3),"",VALUE(LEFT('Base Encuesta'!#REF!,1)))</f>
        <v>#REF!</v>
      </c>
      <c r="V27" t="e">
        <f>IF(OR('Base Encuesta'!#REF!="",IFERROR(VALUE(LEFT('Base Encuesta'!#REF!,1)),"")&gt;=3),"",VALUE(LEFT('Base Encuesta'!#REF!,1)))</f>
        <v>#REF!</v>
      </c>
      <c r="W27" t="e">
        <f>IF(OR('Base Encuesta'!#REF!="",IFERROR(VALUE(LEFT('Base Encuesta'!#REF!,1)),"")&gt;=3),"",VALUE(LEFT('Base Encuesta'!#REF!,1)))</f>
        <v>#REF!</v>
      </c>
      <c r="X27" t="e">
        <f>IF(OR('Base Encuesta'!#REF!="",IFERROR(VALUE(LEFT('Base Encuesta'!#REF!,1)),"")&gt;=3),"",IF(W27=1,VALUE(LEFT('Base Encuesta'!#REF!,1)),""))</f>
        <v>#REF!</v>
      </c>
      <c r="Y27" t="e">
        <f>IF(OR('Base Encuesta'!#REF!="",IFERROR(VALUE(LEFT('Base Encuesta'!#REF!,1)),"")&gt;=3),"",IF(W27=1,VALUE(LEFT('Base Encuesta'!#REF!,1)),""))</f>
        <v>#REF!</v>
      </c>
      <c r="Z27" t="e">
        <f>IF(OR('Base Encuesta'!#REF!="",IFERROR(VALUE(LEFT('Base Encuesta'!#REF!,1)),"")&gt;=3),"",IF(W27=1,VALUE(LEFT('Base Encuesta'!#REF!,1)),""))</f>
        <v>#REF!</v>
      </c>
      <c r="AA27" t="e">
        <f>IF(OR('Base Encuesta'!#REF!="",IFERROR(VALUE(LEFT('Base Encuesta'!#REF!,1)),"")&gt;=3),"",IF(W27=1,VALUE(LEFT('Base Encuesta'!#REF!,1)),""))</f>
        <v>#REF!</v>
      </c>
      <c r="AB27" t="e">
        <f>IF(OR('Base Encuesta'!#REF!="",IFERROR(VALUE(LEFT('Base Encuesta'!#REF!,1)),"")&gt;=3),"",IF(W27=1,VALUE(LEFT('Base Encuesta'!#REF!,1)),""))</f>
        <v>#REF!</v>
      </c>
      <c r="AC27" t="e">
        <f>IF(OR('Base Encuesta'!#REF!="",IFERROR(VALUE(LEFT('Base Encuesta'!#REF!,1)),"")&gt;=3),"",VALUE(LEFT('Base Encuesta'!#REF!,1)))</f>
        <v>#REF!</v>
      </c>
      <c r="AD27" t="e">
        <f>IF(OR('Base Encuesta'!#REF!="",IFERROR(VALUE(LEFT('Base Encuesta'!#REF!,1)),"")&gt;=3),"",VALUE(LEFT('Base Encuesta'!#REF!,1)))</f>
        <v>#REF!</v>
      </c>
      <c r="AE27" t="e">
        <f>IF(OR('Base Encuesta'!#REF!="",IFERROR(VALUE(LEFT('Base Encuesta'!#REF!,1)),"")&gt;=3),"",VALUE(LEFT('Base Encuesta'!#REF!,1)))</f>
        <v>#REF!</v>
      </c>
      <c r="AF27" t="e">
        <f>IF(OR('Base Encuesta'!#REF!="",IFERROR(VALUE(LEFT('Base Encuesta'!#REF!,1)),"")&gt;=3),"",VALUE(LEFT('Base Encuesta'!#REF!,1)))</f>
        <v>#REF!</v>
      </c>
      <c r="AG27" t="e">
        <f>IF(OR('Base Encuesta'!#REF!="",IFERROR(VALUE(LEFT('Base Encuesta'!#REF!,1)),"")&gt;=3),"",VALUE(LEFT('Base Encuesta'!#REF!,1)))</f>
        <v>#REF!</v>
      </c>
      <c r="AH27" t="e">
        <f>IF(OR('Base Encuesta'!#REF!="",IFERROR(VALUE(LEFT('Base Encuesta'!#REF!,1)),"")&gt;=3),"",VALUE(LEFT('Base Encuesta'!#REF!,1)))</f>
        <v>#REF!</v>
      </c>
    </row>
    <row r="28" spans="1:34">
      <c r="A28" t="e">
        <f>IF('Base Encuesta'!#REF!="","",'Base Encuesta'!#REF!)</f>
        <v>#REF!</v>
      </c>
      <c r="B28" t="e">
        <f>IF('Base Encuesta'!#REF!="","",'Base Encuesta'!#REF!)</f>
        <v>#REF!</v>
      </c>
      <c r="C28" t="e">
        <f>IF('Base Encuesta'!#REF!="","",'Base Encuesta'!#REF!)</f>
        <v>#REF!</v>
      </c>
      <c r="D28" t="e">
        <f>IF('Base Encuesta'!#REF!="","",'Base Encuesta'!#REF!)</f>
        <v>#REF!</v>
      </c>
      <c r="E28" t="e">
        <f>IF('Base Encuesta'!#REF!="","",'Base Encuesta'!#REF!)</f>
        <v>#REF!</v>
      </c>
      <c r="F28" t="e">
        <f>IF('Base Encuesta'!#REF!="","",'Base Encuesta'!#REF!)</f>
        <v>#REF!</v>
      </c>
      <c r="G28" t="e">
        <f>IF('Base Encuesta'!#REF!="","",'Base Encuesta'!#REF!)</f>
        <v>#REF!</v>
      </c>
      <c r="H28" t="e">
        <f>IF('Base Encuesta'!#REF!="","",'Base Encuesta'!#REF!)</f>
        <v>#REF!</v>
      </c>
      <c r="I28" t="e">
        <f>IF('Base Encuesta'!#REF!="","",'Base Encuesta'!#REF!)</f>
        <v>#REF!</v>
      </c>
      <c r="J28" t="e">
        <f>IF(OR('Base Encuesta'!#REF!="",IFERROR(VALUE(LEFT('Base Encuesta'!#REF!,1)),"")&gt;=3),"",PROPER(TRIM('Base Encuesta'!#REF!)))</f>
        <v>#REF!</v>
      </c>
      <c r="K28" t="e">
        <f>IF(OR('Base Encuesta'!#REF!="",IFERROR(VALUE(LEFT('Base Encuesta'!#REF!,1)),"")&gt;=3),"",'Base Encuesta'!#REF!)</f>
        <v>#REF!</v>
      </c>
      <c r="L28" t="e">
        <f>IF(OR('Base Encuesta'!#REF!="",IFERROR(VALUE(LEFT('Base Encuesta'!#REF!,1)),"")&gt;=3),"",VALUE(LEFT('Base Encuesta'!#REF!,1)))</f>
        <v>#REF!</v>
      </c>
      <c r="M28" t="e">
        <f>IF(OR('Base Encuesta'!#REF!="",IFERROR(VALUE(LEFT('Base Encuesta'!#REF!,1)),"")&gt;=3),"",VALUE(LEFT('Base Encuesta'!#REF!,1)))</f>
        <v>#REF!</v>
      </c>
      <c r="N28" t="e">
        <f>IF(OR('Base Encuesta'!#REF!="",IFERROR(VALUE(LEFT('Base Encuesta'!#REF!,1)),"")&gt;=3),"",VALUE(LEFT('Base Encuesta'!#REF!,1)))</f>
        <v>#REF!</v>
      </c>
      <c r="O28" t="e">
        <f>IF(OR('Base Encuesta'!#REF!="",IFERROR(VALUE(LEFT('Base Encuesta'!#REF!,1)),"")&gt;=3),"",VALUE(LEFT('Base Encuesta'!#REF!,1)))</f>
        <v>#REF!</v>
      </c>
      <c r="P28" t="e">
        <f>IF(OR('Base Encuesta'!#REF!="",IFERROR(VALUE(LEFT('Base Encuesta'!#REF!,1)),"")&gt;=3),"",VALUE(LEFT('Base Encuesta'!#REF!,1)))</f>
        <v>#REF!</v>
      </c>
      <c r="Q28" t="e">
        <f>IF(OR('Base Encuesta'!#REF!="",IFERROR(VALUE(LEFT('Base Encuesta'!#REF!,1)),"")&gt;=3),"",VALUE(LEFT('Base Encuesta'!#REF!,1)))</f>
        <v>#REF!</v>
      </c>
      <c r="R28" t="e">
        <f>IF(OR('Base Encuesta'!#REF!="",IFERROR(VALUE(LEFT('Base Encuesta'!#REF!,1)),"")&gt;=3),"",VALUE(LEFT('Base Encuesta'!#REF!,1)))</f>
        <v>#REF!</v>
      </c>
      <c r="S28" t="e">
        <f>IF(OR('Base Encuesta'!#REF!="",IFERROR(VALUE(LEFT('Base Encuesta'!#REF!,1)),"")&gt;=3),"",VALUE(LEFT('Base Encuesta'!#REF!,1)))</f>
        <v>#REF!</v>
      </c>
      <c r="T28" t="e">
        <f>IF(OR('Base Encuesta'!#REF!="",IFERROR(VALUE(LEFT('Base Encuesta'!#REF!,1)),"")&gt;=3),"",VALUE(LEFT('Base Encuesta'!#REF!,1)))</f>
        <v>#REF!</v>
      </c>
      <c r="U28" t="e">
        <f>IF(OR('Base Encuesta'!#REF!="",IFERROR(VALUE(LEFT('Base Encuesta'!#REF!,1)),"")&gt;=3),"",VALUE(LEFT('Base Encuesta'!#REF!,1)))</f>
        <v>#REF!</v>
      </c>
      <c r="V28" t="e">
        <f>IF(OR('Base Encuesta'!#REF!="",IFERROR(VALUE(LEFT('Base Encuesta'!#REF!,1)),"")&gt;=3),"",VALUE(LEFT('Base Encuesta'!#REF!,1)))</f>
        <v>#REF!</v>
      </c>
      <c r="W28" t="e">
        <f>IF(OR('Base Encuesta'!#REF!="",IFERROR(VALUE(LEFT('Base Encuesta'!#REF!,1)),"")&gt;=3),"",VALUE(LEFT('Base Encuesta'!#REF!,1)))</f>
        <v>#REF!</v>
      </c>
      <c r="X28" t="e">
        <f>IF(OR('Base Encuesta'!#REF!="",IFERROR(VALUE(LEFT('Base Encuesta'!#REF!,1)),"")&gt;=3),"",IF(W28=1,VALUE(LEFT('Base Encuesta'!#REF!,1)),""))</f>
        <v>#REF!</v>
      </c>
      <c r="Y28" t="e">
        <f>IF(OR('Base Encuesta'!#REF!="",IFERROR(VALUE(LEFT('Base Encuesta'!#REF!,1)),"")&gt;=3),"",IF(W28=1,VALUE(LEFT('Base Encuesta'!#REF!,1)),""))</f>
        <v>#REF!</v>
      </c>
      <c r="Z28" t="e">
        <f>IF(OR('Base Encuesta'!#REF!="",IFERROR(VALUE(LEFT('Base Encuesta'!#REF!,1)),"")&gt;=3),"",IF(W28=1,VALUE(LEFT('Base Encuesta'!#REF!,1)),""))</f>
        <v>#REF!</v>
      </c>
      <c r="AA28" t="e">
        <f>IF(OR('Base Encuesta'!#REF!="",IFERROR(VALUE(LEFT('Base Encuesta'!#REF!,1)),"")&gt;=3),"",IF(W28=1,VALUE(LEFT('Base Encuesta'!#REF!,1)),""))</f>
        <v>#REF!</v>
      </c>
      <c r="AB28" t="e">
        <f>IF(OR('Base Encuesta'!#REF!="",IFERROR(VALUE(LEFT('Base Encuesta'!#REF!,1)),"")&gt;=3),"",IF(W28=1,VALUE(LEFT('Base Encuesta'!#REF!,1)),""))</f>
        <v>#REF!</v>
      </c>
      <c r="AC28" t="e">
        <f>IF(OR('Base Encuesta'!#REF!="",IFERROR(VALUE(LEFT('Base Encuesta'!#REF!,1)),"")&gt;=3),"",VALUE(LEFT('Base Encuesta'!#REF!,1)))</f>
        <v>#REF!</v>
      </c>
      <c r="AD28" t="e">
        <f>IF(OR('Base Encuesta'!#REF!="",IFERROR(VALUE(LEFT('Base Encuesta'!#REF!,1)),"")&gt;=3),"",VALUE(LEFT('Base Encuesta'!#REF!,1)))</f>
        <v>#REF!</v>
      </c>
      <c r="AE28" t="e">
        <f>IF(OR('Base Encuesta'!#REF!="",IFERROR(VALUE(LEFT('Base Encuesta'!#REF!,1)),"")&gt;=3),"",VALUE(LEFT('Base Encuesta'!#REF!,1)))</f>
        <v>#REF!</v>
      </c>
      <c r="AF28" t="e">
        <f>IF(OR('Base Encuesta'!#REF!="",IFERROR(VALUE(LEFT('Base Encuesta'!#REF!,1)),"")&gt;=3),"",VALUE(LEFT('Base Encuesta'!#REF!,1)))</f>
        <v>#REF!</v>
      </c>
      <c r="AG28" t="e">
        <f>IF(OR('Base Encuesta'!#REF!="",IFERROR(VALUE(LEFT('Base Encuesta'!#REF!,1)),"")&gt;=3),"",VALUE(LEFT('Base Encuesta'!#REF!,1)))</f>
        <v>#REF!</v>
      </c>
      <c r="AH28" t="e">
        <f>IF(OR('Base Encuesta'!#REF!="",IFERROR(VALUE(LEFT('Base Encuesta'!#REF!,1)),"")&gt;=3),"",VALUE(LEFT('Base Encuesta'!#REF!,1)))</f>
        <v>#REF!</v>
      </c>
    </row>
    <row r="29" spans="1:34">
      <c r="A29" t="e">
        <f>IF('Base Encuesta'!#REF!="","",'Base Encuesta'!#REF!)</f>
        <v>#REF!</v>
      </c>
      <c r="B29" t="e">
        <f>IF('Base Encuesta'!#REF!="","",'Base Encuesta'!#REF!)</f>
        <v>#REF!</v>
      </c>
      <c r="C29" t="e">
        <f>IF('Base Encuesta'!#REF!="","",'Base Encuesta'!#REF!)</f>
        <v>#REF!</v>
      </c>
      <c r="D29" t="e">
        <f>IF('Base Encuesta'!#REF!="","",'Base Encuesta'!#REF!)</f>
        <v>#REF!</v>
      </c>
      <c r="E29" t="e">
        <f>IF('Base Encuesta'!#REF!="","",'Base Encuesta'!#REF!)</f>
        <v>#REF!</v>
      </c>
      <c r="F29" t="e">
        <f>IF('Base Encuesta'!#REF!="","",'Base Encuesta'!#REF!)</f>
        <v>#REF!</v>
      </c>
      <c r="G29" t="e">
        <f>IF('Base Encuesta'!#REF!="","",'Base Encuesta'!#REF!)</f>
        <v>#REF!</v>
      </c>
      <c r="H29" t="e">
        <f>IF('Base Encuesta'!#REF!="","",'Base Encuesta'!#REF!)</f>
        <v>#REF!</v>
      </c>
      <c r="I29" t="e">
        <f>IF('Base Encuesta'!#REF!="","",'Base Encuesta'!#REF!)</f>
        <v>#REF!</v>
      </c>
      <c r="J29" t="e">
        <f>IF(OR('Base Encuesta'!#REF!="",IFERROR(VALUE(LEFT('Base Encuesta'!#REF!,1)),"")&gt;=3),"",PROPER(TRIM('Base Encuesta'!#REF!)))</f>
        <v>#REF!</v>
      </c>
      <c r="K29" t="e">
        <f>IF(OR('Base Encuesta'!#REF!="",IFERROR(VALUE(LEFT('Base Encuesta'!#REF!,1)),"")&gt;=3),"",'Base Encuesta'!#REF!)</f>
        <v>#REF!</v>
      </c>
      <c r="L29" t="e">
        <f>IF(OR('Base Encuesta'!#REF!="",IFERROR(VALUE(LEFT('Base Encuesta'!#REF!,1)),"")&gt;=3),"",VALUE(LEFT('Base Encuesta'!#REF!,1)))</f>
        <v>#REF!</v>
      </c>
      <c r="M29" t="e">
        <f>IF(OR('Base Encuesta'!#REF!="",IFERROR(VALUE(LEFT('Base Encuesta'!#REF!,1)),"")&gt;=3),"",VALUE(LEFT('Base Encuesta'!#REF!,1)))</f>
        <v>#REF!</v>
      </c>
      <c r="N29" t="e">
        <f>IF(OR('Base Encuesta'!#REF!="",IFERROR(VALUE(LEFT('Base Encuesta'!#REF!,1)),"")&gt;=3),"",VALUE(LEFT('Base Encuesta'!#REF!,1)))</f>
        <v>#REF!</v>
      </c>
      <c r="O29" t="e">
        <f>IF(OR('Base Encuesta'!#REF!="",IFERROR(VALUE(LEFT('Base Encuesta'!#REF!,1)),"")&gt;=3),"",VALUE(LEFT('Base Encuesta'!#REF!,1)))</f>
        <v>#REF!</v>
      </c>
      <c r="P29" t="e">
        <f>IF(OR('Base Encuesta'!#REF!="",IFERROR(VALUE(LEFT('Base Encuesta'!#REF!,1)),"")&gt;=3),"",VALUE(LEFT('Base Encuesta'!#REF!,1)))</f>
        <v>#REF!</v>
      </c>
      <c r="Q29" t="e">
        <f>IF(OR('Base Encuesta'!#REF!="",IFERROR(VALUE(LEFT('Base Encuesta'!#REF!,1)),"")&gt;=3),"",VALUE(LEFT('Base Encuesta'!#REF!,1)))</f>
        <v>#REF!</v>
      </c>
      <c r="R29" t="e">
        <f>IF(OR('Base Encuesta'!#REF!="",IFERROR(VALUE(LEFT('Base Encuesta'!#REF!,1)),"")&gt;=3),"",VALUE(LEFT('Base Encuesta'!#REF!,1)))</f>
        <v>#REF!</v>
      </c>
      <c r="S29" t="e">
        <f>IF(OR('Base Encuesta'!#REF!="",IFERROR(VALUE(LEFT('Base Encuesta'!#REF!,1)),"")&gt;=3),"",VALUE(LEFT('Base Encuesta'!#REF!,1)))</f>
        <v>#REF!</v>
      </c>
      <c r="T29" t="e">
        <f>IF(OR('Base Encuesta'!#REF!="",IFERROR(VALUE(LEFT('Base Encuesta'!#REF!,1)),"")&gt;=3),"",VALUE(LEFT('Base Encuesta'!#REF!,1)))</f>
        <v>#REF!</v>
      </c>
      <c r="U29" t="e">
        <f>IF(OR('Base Encuesta'!#REF!="",IFERROR(VALUE(LEFT('Base Encuesta'!#REF!,1)),"")&gt;=3),"",VALUE(LEFT('Base Encuesta'!#REF!,1)))</f>
        <v>#REF!</v>
      </c>
      <c r="V29" t="e">
        <f>IF(OR('Base Encuesta'!#REF!="",IFERROR(VALUE(LEFT('Base Encuesta'!#REF!,1)),"")&gt;=3),"",VALUE(LEFT('Base Encuesta'!#REF!,1)))</f>
        <v>#REF!</v>
      </c>
      <c r="W29" t="e">
        <f>IF(OR('Base Encuesta'!#REF!="",IFERROR(VALUE(LEFT('Base Encuesta'!#REF!,1)),"")&gt;=3),"",VALUE(LEFT('Base Encuesta'!#REF!,1)))</f>
        <v>#REF!</v>
      </c>
      <c r="X29" t="e">
        <f>IF(OR('Base Encuesta'!#REF!="",IFERROR(VALUE(LEFT('Base Encuesta'!#REF!,1)),"")&gt;=3),"",IF(W29=1,VALUE(LEFT('Base Encuesta'!#REF!,1)),""))</f>
        <v>#REF!</v>
      </c>
      <c r="Y29" t="e">
        <f>IF(OR('Base Encuesta'!#REF!="",IFERROR(VALUE(LEFT('Base Encuesta'!#REF!,1)),"")&gt;=3),"",IF(W29=1,VALUE(LEFT('Base Encuesta'!#REF!,1)),""))</f>
        <v>#REF!</v>
      </c>
      <c r="Z29" t="e">
        <f>IF(OR('Base Encuesta'!#REF!="",IFERROR(VALUE(LEFT('Base Encuesta'!#REF!,1)),"")&gt;=3),"",IF(W29=1,VALUE(LEFT('Base Encuesta'!#REF!,1)),""))</f>
        <v>#REF!</v>
      </c>
      <c r="AA29" t="e">
        <f>IF(OR('Base Encuesta'!#REF!="",IFERROR(VALUE(LEFT('Base Encuesta'!#REF!,1)),"")&gt;=3),"",IF(W29=1,VALUE(LEFT('Base Encuesta'!#REF!,1)),""))</f>
        <v>#REF!</v>
      </c>
      <c r="AB29" t="e">
        <f>IF(OR('Base Encuesta'!#REF!="",IFERROR(VALUE(LEFT('Base Encuesta'!#REF!,1)),"")&gt;=3),"",IF(W29=1,VALUE(LEFT('Base Encuesta'!#REF!,1)),""))</f>
        <v>#REF!</v>
      </c>
      <c r="AC29" t="e">
        <f>IF(OR('Base Encuesta'!#REF!="",IFERROR(VALUE(LEFT('Base Encuesta'!#REF!,1)),"")&gt;=3),"",VALUE(LEFT('Base Encuesta'!#REF!,1)))</f>
        <v>#REF!</v>
      </c>
      <c r="AD29" t="e">
        <f>IF(OR('Base Encuesta'!#REF!="",IFERROR(VALUE(LEFT('Base Encuesta'!#REF!,1)),"")&gt;=3),"",VALUE(LEFT('Base Encuesta'!#REF!,1)))</f>
        <v>#REF!</v>
      </c>
      <c r="AE29" t="e">
        <f>IF(OR('Base Encuesta'!#REF!="",IFERROR(VALUE(LEFT('Base Encuesta'!#REF!,1)),"")&gt;=3),"",VALUE(LEFT('Base Encuesta'!#REF!,1)))</f>
        <v>#REF!</v>
      </c>
      <c r="AF29" t="e">
        <f>IF(OR('Base Encuesta'!#REF!="",IFERROR(VALUE(LEFT('Base Encuesta'!#REF!,1)),"")&gt;=3),"",VALUE(LEFT('Base Encuesta'!#REF!,1)))</f>
        <v>#REF!</v>
      </c>
      <c r="AG29" t="e">
        <f>IF(OR('Base Encuesta'!#REF!="",IFERROR(VALUE(LEFT('Base Encuesta'!#REF!,1)),"")&gt;=3),"",VALUE(LEFT('Base Encuesta'!#REF!,1)))</f>
        <v>#REF!</v>
      </c>
      <c r="AH29" t="e">
        <f>IF(OR('Base Encuesta'!#REF!="",IFERROR(VALUE(LEFT('Base Encuesta'!#REF!,1)),"")&gt;=3),"",VALUE(LEFT('Base Encuesta'!#REF!,1)))</f>
        <v>#REF!</v>
      </c>
    </row>
    <row r="30" spans="1:34">
      <c r="A30" t="e">
        <f>IF('Base Encuesta'!#REF!="","",'Base Encuesta'!#REF!)</f>
        <v>#REF!</v>
      </c>
      <c r="B30" t="e">
        <f>IF('Base Encuesta'!#REF!="","",'Base Encuesta'!#REF!)</f>
        <v>#REF!</v>
      </c>
      <c r="C30" t="e">
        <f>IF('Base Encuesta'!#REF!="","",'Base Encuesta'!#REF!)</f>
        <v>#REF!</v>
      </c>
      <c r="D30" t="e">
        <f>IF('Base Encuesta'!#REF!="","",'Base Encuesta'!#REF!)</f>
        <v>#REF!</v>
      </c>
      <c r="E30" t="e">
        <f>IF('Base Encuesta'!#REF!="","",'Base Encuesta'!#REF!)</f>
        <v>#REF!</v>
      </c>
      <c r="F30" t="e">
        <f>IF('Base Encuesta'!#REF!="","",'Base Encuesta'!#REF!)</f>
        <v>#REF!</v>
      </c>
      <c r="G30" t="e">
        <f>IF('Base Encuesta'!#REF!="","",'Base Encuesta'!#REF!)</f>
        <v>#REF!</v>
      </c>
      <c r="H30" t="e">
        <f>IF('Base Encuesta'!#REF!="","",'Base Encuesta'!#REF!)</f>
        <v>#REF!</v>
      </c>
      <c r="I30" t="e">
        <f>IF('Base Encuesta'!#REF!="","",'Base Encuesta'!#REF!)</f>
        <v>#REF!</v>
      </c>
      <c r="J30" t="e">
        <f>IF(OR('Base Encuesta'!#REF!="",IFERROR(VALUE(LEFT('Base Encuesta'!#REF!,1)),"")&gt;=3),"",PROPER(TRIM('Base Encuesta'!#REF!)))</f>
        <v>#REF!</v>
      </c>
      <c r="K30" t="e">
        <f>IF(OR('Base Encuesta'!#REF!="",IFERROR(VALUE(LEFT('Base Encuesta'!#REF!,1)),"")&gt;=3),"",'Base Encuesta'!#REF!)</f>
        <v>#REF!</v>
      </c>
      <c r="L30" t="e">
        <f>IF(OR('Base Encuesta'!#REF!="",IFERROR(VALUE(LEFT('Base Encuesta'!#REF!,1)),"")&gt;=3),"",VALUE(LEFT('Base Encuesta'!#REF!,1)))</f>
        <v>#REF!</v>
      </c>
      <c r="M30" t="e">
        <f>IF(OR('Base Encuesta'!#REF!="",IFERROR(VALUE(LEFT('Base Encuesta'!#REF!,1)),"")&gt;=3),"",VALUE(LEFT('Base Encuesta'!#REF!,1)))</f>
        <v>#REF!</v>
      </c>
      <c r="N30" t="e">
        <f>IF(OR('Base Encuesta'!#REF!="",IFERROR(VALUE(LEFT('Base Encuesta'!#REF!,1)),"")&gt;=3),"",VALUE(LEFT('Base Encuesta'!#REF!,1)))</f>
        <v>#REF!</v>
      </c>
      <c r="O30" t="e">
        <f>IF(OR('Base Encuesta'!#REF!="",IFERROR(VALUE(LEFT('Base Encuesta'!#REF!,1)),"")&gt;=3),"",VALUE(LEFT('Base Encuesta'!#REF!,1)))</f>
        <v>#REF!</v>
      </c>
      <c r="P30" t="e">
        <f>IF(OR('Base Encuesta'!#REF!="",IFERROR(VALUE(LEFT('Base Encuesta'!#REF!,1)),"")&gt;=3),"",VALUE(LEFT('Base Encuesta'!#REF!,1)))</f>
        <v>#REF!</v>
      </c>
      <c r="Q30" t="e">
        <f>IF(OR('Base Encuesta'!#REF!="",IFERROR(VALUE(LEFT('Base Encuesta'!#REF!,1)),"")&gt;=3),"",VALUE(LEFT('Base Encuesta'!#REF!,1)))</f>
        <v>#REF!</v>
      </c>
      <c r="R30" t="e">
        <f>IF(OR('Base Encuesta'!#REF!="",IFERROR(VALUE(LEFT('Base Encuesta'!#REF!,1)),"")&gt;=3),"",VALUE(LEFT('Base Encuesta'!#REF!,1)))</f>
        <v>#REF!</v>
      </c>
      <c r="S30" t="e">
        <f>IF(OR('Base Encuesta'!#REF!="",IFERROR(VALUE(LEFT('Base Encuesta'!#REF!,1)),"")&gt;=3),"",VALUE(LEFT('Base Encuesta'!#REF!,1)))</f>
        <v>#REF!</v>
      </c>
      <c r="T30" t="e">
        <f>IF(OR('Base Encuesta'!#REF!="",IFERROR(VALUE(LEFT('Base Encuesta'!#REF!,1)),"")&gt;=3),"",VALUE(LEFT('Base Encuesta'!#REF!,1)))</f>
        <v>#REF!</v>
      </c>
      <c r="U30" t="e">
        <f>IF(OR('Base Encuesta'!#REF!="",IFERROR(VALUE(LEFT('Base Encuesta'!#REF!,1)),"")&gt;=3),"",VALUE(LEFT('Base Encuesta'!#REF!,1)))</f>
        <v>#REF!</v>
      </c>
      <c r="V30" t="e">
        <f>IF(OR('Base Encuesta'!#REF!="",IFERROR(VALUE(LEFT('Base Encuesta'!#REF!,1)),"")&gt;=3),"",VALUE(LEFT('Base Encuesta'!#REF!,1)))</f>
        <v>#REF!</v>
      </c>
      <c r="W30" t="e">
        <f>IF(OR('Base Encuesta'!#REF!="",IFERROR(VALUE(LEFT('Base Encuesta'!#REF!,1)),"")&gt;=3),"",VALUE(LEFT('Base Encuesta'!#REF!,1)))</f>
        <v>#REF!</v>
      </c>
      <c r="X30" t="e">
        <f>IF(OR('Base Encuesta'!#REF!="",IFERROR(VALUE(LEFT('Base Encuesta'!#REF!,1)),"")&gt;=3),"",IF(W30=1,VALUE(LEFT('Base Encuesta'!#REF!,1)),""))</f>
        <v>#REF!</v>
      </c>
      <c r="Y30" t="e">
        <f>IF(OR('Base Encuesta'!#REF!="",IFERROR(VALUE(LEFT('Base Encuesta'!#REF!,1)),"")&gt;=3),"",IF(W30=1,VALUE(LEFT('Base Encuesta'!#REF!,1)),""))</f>
        <v>#REF!</v>
      </c>
      <c r="Z30" t="e">
        <f>IF(OR('Base Encuesta'!#REF!="",IFERROR(VALUE(LEFT('Base Encuesta'!#REF!,1)),"")&gt;=3),"",IF(W30=1,VALUE(LEFT('Base Encuesta'!#REF!,1)),""))</f>
        <v>#REF!</v>
      </c>
      <c r="AA30" t="e">
        <f>IF(OR('Base Encuesta'!#REF!="",IFERROR(VALUE(LEFT('Base Encuesta'!#REF!,1)),"")&gt;=3),"",IF(W30=1,VALUE(LEFT('Base Encuesta'!#REF!,1)),""))</f>
        <v>#REF!</v>
      </c>
      <c r="AB30" t="e">
        <f>IF(OR('Base Encuesta'!#REF!="",IFERROR(VALUE(LEFT('Base Encuesta'!#REF!,1)),"")&gt;=3),"",IF(W30=1,VALUE(LEFT('Base Encuesta'!#REF!,1)),""))</f>
        <v>#REF!</v>
      </c>
      <c r="AC30" t="e">
        <f>IF(OR('Base Encuesta'!#REF!="",IFERROR(VALUE(LEFT('Base Encuesta'!#REF!,1)),"")&gt;=3),"",VALUE(LEFT('Base Encuesta'!#REF!,1)))</f>
        <v>#REF!</v>
      </c>
      <c r="AD30" t="e">
        <f>IF(OR('Base Encuesta'!#REF!="",IFERROR(VALUE(LEFT('Base Encuesta'!#REF!,1)),"")&gt;=3),"",VALUE(LEFT('Base Encuesta'!#REF!,1)))</f>
        <v>#REF!</v>
      </c>
      <c r="AE30" t="e">
        <f>IF(OR('Base Encuesta'!#REF!="",IFERROR(VALUE(LEFT('Base Encuesta'!#REF!,1)),"")&gt;=3),"",VALUE(LEFT('Base Encuesta'!#REF!,1)))</f>
        <v>#REF!</v>
      </c>
      <c r="AF30" t="e">
        <f>IF(OR('Base Encuesta'!#REF!="",IFERROR(VALUE(LEFT('Base Encuesta'!#REF!,1)),"")&gt;=3),"",VALUE(LEFT('Base Encuesta'!#REF!,1)))</f>
        <v>#REF!</v>
      </c>
      <c r="AG30" t="e">
        <f>IF(OR('Base Encuesta'!#REF!="",IFERROR(VALUE(LEFT('Base Encuesta'!#REF!,1)),"")&gt;=3),"",VALUE(LEFT('Base Encuesta'!#REF!,1)))</f>
        <v>#REF!</v>
      </c>
      <c r="AH30" t="e">
        <f>IF(OR('Base Encuesta'!#REF!="",IFERROR(VALUE(LEFT('Base Encuesta'!#REF!,1)),"")&gt;=3),"",VALUE(LEFT('Base Encuesta'!#REF!,1)))</f>
        <v>#REF!</v>
      </c>
    </row>
    <row r="31" spans="1:34">
      <c r="A31" t="e">
        <f>IF('Base Encuesta'!#REF!="","",'Base Encuesta'!#REF!)</f>
        <v>#REF!</v>
      </c>
      <c r="B31" t="e">
        <f>IF('Base Encuesta'!#REF!="","",'Base Encuesta'!#REF!)</f>
        <v>#REF!</v>
      </c>
      <c r="C31" t="e">
        <f>IF('Base Encuesta'!#REF!="","",'Base Encuesta'!#REF!)</f>
        <v>#REF!</v>
      </c>
      <c r="D31" t="e">
        <f>IF('Base Encuesta'!#REF!="","",'Base Encuesta'!#REF!)</f>
        <v>#REF!</v>
      </c>
      <c r="E31" t="e">
        <f>IF('Base Encuesta'!#REF!="","",'Base Encuesta'!#REF!)</f>
        <v>#REF!</v>
      </c>
      <c r="F31" t="e">
        <f>IF('Base Encuesta'!#REF!="","",'Base Encuesta'!#REF!)</f>
        <v>#REF!</v>
      </c>
      <c r="G31" t="e">
        <f>IF('Base Encuesta'!#REF!="","",'Base Encuesta'!#REF!)</f>
        <v>#REF!</v>
      </c>
      <c r="H31" t="e">
        <f>IF('Base Encuesta'!#REF!="","",'Base Encuesta'!#REF!)</f>
        <v>#REF!</v>
      </c>
      <c r="I31" t="e">
        <f>IF('Base Encuesta'!#REF!="","",'Base Encuesta'!#REF!)</f>
        <v>#REF!</v>
      </c>
      <c r="J31" t="e">
        <f>IF(OR('Base Encuesta'!#REF!="",IFERROR(VALUE(LEFT('Base Encuesta'!#REF!,1)),"")&gt;=3),"",PROPER(TRIM('Base Encuesta'!#REF!)))</f>
        <v>#REF!</v>
      </c>
      <c r="K31" t="e">
        <f>IF(OR('Base Encuesta'!#REF!="",IFERROR(VALUE(LEFT('Base Encuesta'!#REF!,1)),"")&gt;=3),"",'Base Encuesta'!#REF!)</f>
        <v>#REF!</v>
      </c>
      <c r="L31" t="e">
        <f>IF(OR('Base Encuesta'!#REF!="",IFERROR(VALUE(LEFT('Base Encuesta'!#REF!,1)),"")&gt;=3),"",VALUE(LEFT('Base Encuesta'!#REF!,1)))</f>
        <v>#REF!</v>
      </c>
      <c r="M31" t="e">
        <f>IF(OR('Base Encuesta'!#REF!="",IFERROR(VALUE(LEFT('Base Encuesta'!#REF!,1)),"")&gt;=3),"",VALUE(LEFT('Base Encuesta'!#REF!,1)))</f>
        <v>#REF!</v>
      </c>
      <c r="N31" t="e">
        <f>IF(OR('Base Encuesta'!#REF!="",IFERROR(VALUE(LEFT('Base Encuesta'!#REF!,1)),"")&gt;=3),"",VALUE(LEFT('Base Encuesta'!#REF!,1)))</f>
        <v>#REF!</v>
      </c>
      <c r="O31" t="e">
        <f>IF(OR('Base Encuesta'!#REF!="",IFERROR(VALUE(LEFT('Base Encuesta'!#REF!,1)),"")&gt;=3),"",VALUE(LEFT('Base Encuesta'!#REF!,1)))</f>
        <v>#REF!</v>
      </c>
      <c r="P31" t="e">
        <f>IF(OR('Base Encuesta'!#REF!="",IFERROR(VALUE(LEFT('Base Encuesta'!#REF!,1)),"")&gt;=3),"",VALUE(LEFT('Base Encuesta'!#REF!,1)))</f>
        <v>#REF!</v>
      </c>
      <c r="Q31" t="e">
        <f>IF(OR('Base Encuesta'!#REF!="",IFERROR(VALUE(LEFT('Base Encuesta'!#REF!,1)),"")&gt;=3),"",VALUE(LEFT('Base Encuesta'!#REF!,1)))</f>
        <v>#REF!</v>
      </c>
      <c r="R31" t="e">
        <f>IF(OR('Base Encuesta'!#REF!="",IFERROR(VALUE(LEFT('Base Encuesta'!#REF!,1)),"")&gt;=3),"",VALUE(LEFT('Base Encuesta'!#REF!,1)))</f>
        <v>#REF!</v>
      </c>
      <c r="S31" t="e">
        <f>IF(OR('Base Encuesta'!#REF!="",IFERROR(VALUE(LEFT('Base Encuesta'!#REF!,1)),"")&gt;=3),"",VALUE(LEFT('Base Encuesta'!#REF!,1)))</f>
        <v>#REF!</v>
      </c>
      <c r="T31" t="e">
        <f>IF(OR('Base Encuesta'!#REF!="",IFERROR(VALUE(LEFT('Base Encuesta'!#REF!,1)),"")&gt;=3),"",VALUE(LEFT('Base Encuesta'!#REF!,1)))</f>
        <v>#REF!</v>
      </c>
      <c r="U31" t="e">
        <f>IF(OR('Base Encuesta'!#REF!="",IFERROR(VALUE(LEFT('Base Encuesta'!#REF!,1)),"")&gt;=3),"",VALUE(LEFT('Base Encuesta'!#REF!,1)))</f>
        <v>#REF!</v>
      </c>
      <c r="V31" t="e">
        <f>IF(OR('Base Encuesta'!#REF!="",IFERROR(VALUE(LEFT('Base Encuesta'!#REF!,1)),"")&gt;=3),"",VALUE(LEFT('Base Encuesta'!#REF!,1)))</f>
        <v>#REF!</v>
      </c>
      <c r="W31" t="e">
        <f>IF(OR('Base Encuesta'!#REF!="",IFERROR(VALUE(LEFT('Base Encuesta'!#REF!,1)),"")&gt;=3),"",VALUE(LEFT('Base Encuesta'!#REF!,1)))</f>
        <v>#REF!</v>
      </c>
      <c r="X31" t="e">
        <f>IF(OR('Base Encuesta'!#REF!="",IFERROR(VALUE(LEFT('Base Encuesta'!#REF!,1)),"")&gt;=3),"",IF(W31=1,VALUE(LEFT('Base Encuesta'!#REF!,1)),""))</f>
        <v>#REF!</v>
      </c>
      <c r="Y31" t="e">
        <f>IF(OR('Base Encuesta'!#REF!="",IFERROR(VALUE(LEFT('Base Encuesta'!#REF!,1)),"")&gt;=3),"",IF(W31=1,VALUE(LEFT('Base Encuesta'!#REF!,1)),""))</f>
        <v>#REF!</v>
      </c>
      <c r="Z31" t="e">
        <f>IF(OR('Base Encuesta'!#REF!="",IFERROR(VALUE(LEFT('Base Encuesta'!#REF!,1)),"")&gt;=3),"",IF(W31=1,VALUE(LEFT('Base Encuesta'!#REF!,1)),""))</f>
        <v>#REF!</v>
      </c>
      <c r="AA31" t="e">
        <f>IF(OR('Base Encuesta'!#REF!="",IFERROR(VALUE(LEFT('Base Encuesta'!#REF!,1)),"")&gt;=3),"",IF(W31=1,VALUE(LEFT('Base Encuesta'!#REF!,1)),""))</f>
        <v>#REF!</v>
      </c>
      <c r="AB31" t="e">
        <f>IF(OR('Base Encuesta'!#REF!="",IFERROR(VALUE(LEFT('Base Encuesta'!#REF!,1)),"")&gt;=3),"",IF(W31=1,VALUE(LEFT('Base Encuesta'!#REF!,1)),""))</f>
        <v>#REF!</v>
      </c>
      <c r="AC31" t="e">
        <f>IF(OR('Base Encuesta'!#REF!="",IFERROR(VALUE(LEFT('Base Encuesta'!#REF!,1)),"")&gt;=3),"",VALUE(LEFT('Base Encuesta'!#REF!,1)))</f>
        <v>#REF!</v>
      </c>
      <c r="AD31" t="e">
        <f>IF(OR('Base Encuesta'!#REF!="",IFERROR(VALUE(LEFT('Base Encuesta'!#REF!,1)),"")&gt;=3),"",VALUE(LEFT('Base Encuesta'!#REF!,1)))</f>
        <v>#REF!</v>
      </c>
      <c r="AE31" t="e">
        <f>IF(OR('Base Encuesta'!#REF!="",IFERROR(VALUE(LEFT('Base Encuesta'!#REF!,1)),"")&gt;=3),"",VALUE(LEFT('Base Encuesta'!#REF!,1)))</f>
        <v>#REF!</v>
      </c>
      <c r="AF31" t="e">
        <f>IF(OR('Base Encuesta'!#REF!="",IFERROR(VALUE(LEFT('Base Encuesta'!#REF!,1)),"")&gt;=3),"",VALUE(LEFT('Base Encuesta'!#REF!,1)))</f>
        <v>#REF!</v>
      </c>
      <c r="AG31" t="e">
        <f>IF(OR('Base Encuesta'!#REF!="",IFERROR(VALUE(LEFT('Base Encuesta'!#REF!,1)),"")&gt;=3),"",VALUE(LEFT('Base Encuesta'!#REF!,1)))</f>
        <v>#REF!</v>
      </c>
      <c r="AH31" t="e">
        <f>IF(OR('Base Encuesta'!#REF!="",IFERROR(VALUE(LEFT('Base Encuesta'!#REF!,1)),"")&gt;=3),"",VALUE(LEFT('Base Encuesta'!#REF!,1)))</f>
        <v>#REF!</v>
      </c>
    </row>
    <row r="32" spans="1:34">
      <c r="A32" t="e">
        <f>IF('Base Encuesta'!#REF!="","",'Base Encuesta'!#REF!)</f>
        <v>#REF!</v>
      </c>
      <c r="B32" t="e">
        <f>IF('Base Encuesta'!#REF!="","",'Base Encuesta'!#REF!)</f>
        <v>#REF!</v>
      </c>
      <c r="C32" t="e">
        <f>IF('Base Encuesta'!#REF!="","",'Base Encuesta'!#REF!)</f>
        <v>#REF!</v>
      </c>
      <c r="D32" t="e">
        <f>IF('Base Encuesta'!#REF!="","",'Base Encuesta'!#REF!)</f>
        <v>#REF!</v>
      </c>
      <c r="E32" t="e">
        <f>IF('Base Encuesta'!#REF!="","",'Base Encuesta'!#REF!)</f>
        <v>#REF!</v>
      </c>
      <c r="F32" t="e">
        <f>IF('Base Encuesta'!#REF!="","",'Base Encuesta'!#REF!)</f>
        <v>#REF!</v>
      </c>
      <c r="G32" t="e">
        <f>IF('Base Encuesta'!#REF!="","",'Base Encuesta'!#REF!)</f>
        <v>#REF!</v>
      </c>
      <c r="H32" t="e">
        <f>IF('Base Encuesta'!#REF!="","",'Base Encuesta'!#REF!)</f>
        <v>#REF!</v>
      </c>
      <c r="I32" t="e">
        <f>IF('Base Encuesta'!#REF!="","",'Base Encuesta'!#REF!)</f>
        <v>#REF!</v>
      </c>
      <c r="J32" t="e">
        <f>IF(OR('Base Encuesta'!#REF!="",IFERROR(VALUE(LEFT('Base Encuesta'!#REF!,1)),"")&gt;=3),"",PROPER(TRIM('Base Encuesta'!#REF!)))</f>
        <v>#REF!</v>
      </c>
      <c r="K32" t="e">
        <f>IF(OR('Base Encuesta'!#REF!="",IFERROR(VALUE(LEFT('Base Encuesta'!#REF!,1)),"")&gt;=3),"",'Base Encuesta'!#REF!)</f>
        <v>#REF!</v>
      </c>
      <c r="L32" t="e">
        <f>IF(OR('Base Encuesta'!#REF!="",IFERROR(VALUE(LEFT('Base Encuesta'!#REF!,1)),"")&gt;=3),"",VALUE(LEFT('Base Encuesta'!#REF!,1)))</f>
        <v>#REF!</v>
      </c>
      <c r="M32" t="e">
        <f>IF(OR('Base Encuesta'!#REF!="",IFERROR(VALUE(LEFT('Base Encuesta'!#REF!,1)),"")&gt;=3),"",VALUE(LEFT('Base Encuesta'!#REF!,1)))</f>
        <v>#REF!</v>
      </c>
      <c r="N32" t="e">
        <f>IF(OR('Base Encuesta'!#REF!="",IFERROR(VALUE(LEFT('Base Encuesta'!#REF!,1)),"")&gt;=3),"",VALUE(LEFT('Base Encuesta'!#REF!,1)))</f>
        <v>#REF!</v>
      </c>
      <c r="O32" t="e">
        <f>IF(OR('Base Encuesta'!#REF!="",IFERROR(VALUE(LEFT('Base Encuesta'!#REF!,1)),"")&gt;=3),"",VALUE(LEFT('Base Encuesta'!#REF!,1)))</f>
        <v>#REF!</v>
      </c>
      <c r="P32" t="e">
        <f>IF(OR('Base Encuesta'!#REF!="",IFERROR(VALUE(LEFT('Base Encuesta'!#REF!,1)),"")&gt;=3),"",VALUE(LEFT('Base Encuesta'!#REF!,1)))</f>
        <v>#REF!</v>
      </c>
      <c r="Q32" t="e">
        <f>IF(OR('Base Encuesta'!#REF!="",IFERROR(VALUE(LEFT('Base Encuesta'!#REF!,1)),"")&gt;=3),"",VALUE(LEFT('Base Encuesta'!#REF!,1)))</f>
        <v>#REF!</v>
      </c>
      <c r="R32" t="e">
        <f>IF(OR('Base Encuesta'!#REF!="",IFERROR(VALUE(LEFT('Base Encuesta'!#REF!,1)),"")&gt;=3),"",VALUE(LEFT('Base Encuesta'!#REF!,1)))</f>
        <v>#REF!</v>
      </c>
      <c r="S32" t="e">
        <f>IF(OR('Base Encuesta'!#REF!="",IFERROR(VALUE(LEFT('Base Encuesta'!#REF!,1)),"")&gt;=3),"",VALUE(LEFT('Base Encuesta'!#REF!,1)))</f>
        <v>#REF!</v>
      </c>
      <c r="T32" t="e">
        <f>IF(OR('Base Encuesta'!#REF!="",IFERROR(VALUE(LEFT('Base Encuesta'!#REF!,1)),"")&gt;=3),"",VALUE(LEFT('Base Encuesta'!#REF!,1)))</f>
        <v>#REF!</v>
      </c>
      <c r="U32" t="e">
        <f>IF(OR('Base Encuesta'!#REF!="",IFERROR(VALUE(LEFT('Base Encuesta'!#REF!,1)),"")&gt;=3),"",VALUE(LEFT('Base Encuesta'!#REF!,1)))</f>
        <v>#REF!</v>
      </c>
      <c r="V32" t="e">
        <f>IF(OR('Base Encuesta'!#REF!="",IFERROR(VALUE(LEFT('Base Encuesta'!#REF!,1)),"")&gt;=3),"",VALUE(LEFT('Base Encuesta'!#REF!,1)))</f>
        <v>#REF!</v>
      </c>
      <c r="W32" t="e">
        <f>IF(OR('Base Encuesta'!#REF!="",IFERROR(VALUE(LEFT('Base Encuesta'!#REF!,1)),"")&gt;=3),"",VALUE(LEFT('Base Encuesta'!#REF!,1)))</f>
        <v>#REF!</v>
      </c>
      <c r="X32" t="e">
        <f>IF(OR('Base Encuesta'!#REF!="",IFERROR(VALUE(LEFT('Base Encuesta'!#REF!,1)),"")&gt;=3),"",IF(W32=1,VALUE(LEFT('Base Encuesta'!#REF!,1)),""))</f>
        <v>#REF!</v>
      </c>
      <c r="Y32" t="e">
        <f>IF(OR('Base Encuesta'!#REF!="",IFERROR(VALUE(LEFT('Base Encuesta'!#REF!,1)),"")&gt;=3),"",IF(W32=1,VALUE(LEFT('Base Encuesta'!#REF!,1)),""))</f>
        <v>#REF!</v>
      </c>
      <c r="Z32" t="e">
        <f>IF(OR('Base Encuesta'!#REF!="",IFERROR(VALUE(LEFT('Base Encuesta'!#REF!,1)),"")&gt;=3),"",IF(W32=1,VALUE(LEFT('Base Encuesta'!#REF!,1)),""))</f>
        <v>#REF!</v>
      </c>
      <c r="AA32" t="e">
        <f>IF(OR('Base Encuesta'!#REF!="",IFERROR(VALUE(LEFT('Base Encuesta'!#REF!,1)),"")&gt;=3),"",IF(W32=1,VALUE(LEFT('Base Encuesta'!#REF!,1)),""))</f>
        <v>#REF!</v>
      </c>
      <c r="AB32" t="e">
        <f>IF(OR('Base Encuesta'!#REF!="",IFERROR(VALUE(LEFT('Base Encuesta'!#REF!,1)),"")&gt;=3),"",IF(W32=1,VALUE(LEFT('Base Encuesta'!#REF!,1)),""))</f>
        <v>#REF!</v>
      </c>
      <c r="AC32" t="e">
        <f>IF(OR('Base Encuesta'!#REF!="",IFERROR(VALUE(LEFT('Base Encuesta'!#REF!,1)),"")&gt;=3),"",VALUE(LEFT('Base Encuesta'!#REF!,1)))</f>
        <v>#REF!</v>
      </c>
      <c r="AD32" t="e">
        <f>IF(OR('Base Encuesta'!#REF!="",IFERROR(VALUE(LEFT('Base Encuesta'!#REF!,1)),"")&gt;=3),"",VALUE(LEFT('Base Encuesta'!#REF!,1)))</f>
        <v>#REF!</v>
      </c>
      <c r="AE32" t="e">
        <f>IF(OR('Base Encuesta'!#REF!="",IFERROR(VALUE(LEFT('Base Encuesta'!#REF!,1)),"")&gt;=3),"",VALUE(LEFT('Base Encuesta'!#REF!,1)))</f>
        <v>#REF!</v>
      </c>
      <c r="AF32" t="e">
        <f>IF(OR('Base Encuesta'!#REF!="",IFERROR(VALUE(LEFT('Base Encuesta'!#REF!,1)),"")&gt;=3),"",VALUE(LEFT('Base Encuesta'!#REF!,1)))</f>
        <v>#REF!</v>
      </c>
      <c r="AG32" t="e">
        <f>IF(OR('Base Encuesta'!#REF!="",IFERROR(VALUE(LEFT('Base Encuesta'!#REF!,1)),"")&gt;=3),"",VALUE(LEFT('Base Encuesta'!#REF!,1)))</f>
        <v>#REF!</v>
      </c>
      <c r="AH32" t="e">
        <f>IF(OR('Base Encuesta'!#REF!="",IFERROR(VALUE(LEFT('Base Encuesta'!#REF!,1)),"")&gt;=3),"",VALUE(LEFT('Base Encuesta'!#REF!,1)))</f>
        <v>#REF!</v>
      </c>
    </row>
    <row r="33" spans="1:34">
      <c r="A33" t="e">
        <f>IF('Base Encuesta'!#REF!="","",'Base Encuesta'!#REF!)</f>
        <v>#REF!</v>
      </c>
      <c r="B33" t="e">
        <f>IF('Base Encuesta'!#REF!="","",'Base Encuesta'!#REF!)</f>
        <v>#REF!</v>
      </c>
      <c r="C33" t="e">
        <f>IF('Base Encuesta'!#REF!="","",'Base Encuesta'!#REF!)</f>
        <v>#REF!</v>
      </c>
      <c r="D33" t="e">
        <f>IF('Base Encuesta'!#REF!="","",'Base Encuesta'!#REF!)</f>
        <v>#REF!</v>
      </c>
      <c r="E33" t="e">
        <f>IF('Base Encuesta'!#REF!="","",'Base Encuesta'!#REF!)</f>
        <v>#REF!</v>
      </c>
      <c r="F33" t="e">
        <f>IF('Base Encuesta'!#REF!="","",'Base Encuesta'!#REF!)</f>
        <v>#REF!</v>
      </c>
      <c r="G33" t="e">
        <f>IF('Base Encuesta'!#REF!="","",'Base Encuesta'!#REF!)</f>
        <v>#REF!</v>
      </c>
      <c r="H33" t="e">
        <f>IF('Base Encuesta'!#REF!="","",'Base Encuesta'!#REF!)</f>
        <v>#REF!</v>
      </c>
      <c r="I33" t="e">
        <f>IF('Base Encuesta'!#REF!="","",'Base Encuesta'!#REF!)</f>
        <v>#REF!</v>
      </c>
      <c r="J33" t="e">
        <f>IF(OR('Base Encuesta'!#REF!="",IFERROR(VALUE(LEFT('Base Encuesta'!#REF!,1)),"")&gt;=3),"",PROPER(TRIM('Base Encuesta'!#REF!)))</f>
        <v>#REF!</v>
      </c>
      <c r="K33" t="e">
        <f>IF(OR('Base Encuesta'!#REF!="",IFERROR(VALUE(LEFT('Base Encuesta'!#REF!,1)),"")&gt;=3),"",'Base Encuesta'!#REF!)</f>
        <v>#REF!</v>
      </c>
      <c r="L33" t="e">
        <f>IF(OR('Base Encuesta'!#REF!="",IFERROR(VALUE(LEFT('Base Encuesta'!#REF!,1)),"")&gt;=3),"",VALUE(LEFT('Base Encuesta'!#REF!,1)))</f>
        <v>#REF!</v>
      </c>
      <c r="M33" t="e">
        <f>IF(OR('Base Encuesta'!#REF!="",IFERROR(VALUE(LEFT('Base Encuesta'!#REF!,1)),"")&gt;=3),"",VALUE(LEFT('Base Encuesta'!#REF!,1)))</f>
        <v>#REF!</v>
      </c>
      <c r="N33" t="e">
        <f>IF(OR('Base Encuesta'!#REF!="",IFERROR(VALUE(LEFT('Base Encuesta'!#REF!,1)),"")&gt;=3),"",VALUE(LEFT('Base Encuesta'!#REF!,1)))</f>
        <v>#REF!</v>
      </c>
      <c r="O33" t="e">
        <f>IF(OR('Base Encuesta'!#REF!="",IFERROR(VALUE(LEFT('Base Encuesta'!#REF!,1)),"")&gt;=3),"",VALUE(LEFT('Base Encuesta'!#REF!,1)))</f>
        <v>#REF!</v>
      </c>
      <c r="P33" t="e">
        <f>IF(OR('Base Encuesta'!#REF!="",IFERROR(VALUE(LEFT('Base Encuesta'!#REF!,1)),"")&gt;=3),"",VALUE(LEFT('Base Encuesta'!#REF!,1)))</f>
        <v>#REF!</v>
      </c>
      <c r="Q33" t="e">
        <f>IF(OR('Base Encuesta'!#REF!="",IFERROR(VALUE(LEFT('Base Encuesta'!#REF!,1)),"")&gt;=3),"",VALUE(LEFT('Base Encuesta'!#REF!,1)))</f>
        <v>#REF!</v>
      </c>
      <c r="R33" t="e">
        <f>IF(OR('Base Encuesta'!#REF!="",IFERROR(VALUE(LEFT('Base Encuesta'!#REF!,1)),"")&gt;=3),"",VALUE(LEFT('Base Encuesta'!#REF!,1)))</f>
        <v>#REF!</v>
      </c>
      <c r="S33" t="e">
        <f>IF(OR('Base Encuesta'!#REF!="",IFERROR(VALUE(LEFT('Base Encuesta'!#REF!,1)),"")&gt;=3),"",VALUE(LEFT('Base Encuesta'!#REF!,1)))</f>
        <v>#REF!</v>
      </c>
      <c r="T33" t="e">
        <f>IF(OR('Base Encuesta'!#REF!="",IFERROR(VALUE(LEFT('Base Encuesta'!#REF!,1)),"")&gt;=3),"",VALUE(LEFT('Base Encuesta'!#REF!,1)))</f>
        <v>#REF!</v>
      </c>
      <c r="U33" t="e">
        <f>IF(OR('Base Encuesta'!#REF!="",IFERROR(VALUE(LEFT('Base Encuesta'!#REF!,1)),"")&gt;=3),"",VALUE(LEFT('Base Encuesta'!#REF!,1)))</f>
        <v>#REF!</v>
      </c>
      <c r="V33" t="e">
        <f>IF(OR('Base Encuesta'!#REF!="",IFERROR(VALUE(LEFT('Base Encuesta'!#REF!,1)),"")&gt;=3),"",VALUE(LEFT('Base Encuesta'!#REF!,1)))</f>
        <v>#REF!</v>
      </c>
      <c r="W33" t="e">
        <f>IF(OR('Base Encuesta'!#REF!="",IFERROR(VALUE(LEFT('Base Encuesta'!#REF!,1)),"")&gt;=3),"",VALUE(LEFT('Base Encuesta'!#REF!,1)))</f>
        <v>#REF!</v>
      </c>
      <c r="X33" t="e">
        <f>IF(OR('Base Encuesta'!#REF!="",IFERROR(VALUE(LEFT('Base Encuesta'!#REF!,1)),"")&gt;=3),"",IF(W33=1,VALUE(LEFT('Base Encuesta'!#REF!,1)),""))</f>
        <v>#REF!</v>
      </c>
      <c r="Y33" t="e">
        <f>IF(OR('Base Encuesta'!#REF!="",IFERROR(VALUE(LEFT('Base Encuesta'!#REF!,1)),"")&gt;=3),"",IF(W33=1,VALUE(LEFT('Base Encuesta'!#REF!,1)),""))</f>
        <v>#REF!</v>
      </c>
      <c r="Z33" t="e">
        <f>IF(OR('Base Encuesta'!#REF!="",IFERROR(VALUE(LEFT('Base Encuesta'!#REF!,1)),"")&gt;=3),"",IF(W33=1,VALUE(LEFT('Base Encuesta'!#REF!,1)),""))</f>
        <v>#REF!</v>
      </c>
      <c r="AA33" t="e">
        <f>IF(OR('Base Encuesta'!#REF!="",IFERROR(VALUE(LEFT('Base Encuesta'!#REF!,1)),"")&gt;=3),"",IF(W33=1,VALUE(LEFT('Base Encuesta'!#REF!,1)),""))</f>
        <v>#REF!</v>
      </c>
      <c r="AB33" t="e">
        <f>IF(OR('Base Encuesta'!#REF!="",IFERROR(VALUE(LEFT('Base Encuesta'!#REF!,1)),"")&gt;=3),"",IF(W33=1,VALUE(LEFT('Base Encuesta'!#REF!,1)),""))</f>
        <v>#REF!</v>
      </c>
      <c r="AC33" t="e">
        <f>IF(OR('Base Encuesta'!#REF!="",IFERROR(VALUE(LEFT('Base Encuesta'!#REF!,1)),"")&gt;=3),"",VALUE(LEFT('Base Encuesta'!#REF!,1)))</f>
        <v>#REF!</v>
      </c>
      <c r="AD33" t="e">
        <f>IF(OR('Base Encuesta'!#REF!="",IFERROR(VALUE(LEFT('Base Encuesta'!#REF!,1)),"")&gt;=3),"",VALUE(LEFT('Base Encuesta'!#REF!,1)))</f>
        <v>#REF!</v>
      </c>
      <c r="AE33" t="e">
        <f>IF(OR('Base Encuesta'!#REF!="",IFERROR(VALUE(LEFT('Base Encuesta'!#REF!,1)),"")&gt;=3),"",VALUE(LEFT('Base Encuesta'!#REF!,1)))</f>
        <v>#REF!</v>
      </c>
      <c r="AF33" t="e">
        <f>IF(OR('Base Encuesta'!#REF!="",IFERROR(VALUE(LEFT('Base Encuesta'!#REF!,1)),"")&gt;=3),"",VALUE(LEFT('Base Encuesta'!#REF!,1)))</f>
        <v>#REF!</v>
      </c>
      <c r="AG33" t="e">
        <f>IF(OR('Base Encuesta'!#REF!="",IFERROR(VALUE(LEFT('Base Encuesta'!#REF!,1)),"")&gt;=3),"",VALUE(LEFT('Base Encuesta'!#REF!,1)))</f>
        <v>#REF!</v>
      </c>
      <c r="AH33" t="e">
        <f>IF(OR('Base Encuesta'!#REF!="",IFERROR(VALUE(LEFT('Base Encuesta'!#REF!,1)),"")&gt;=3),"",VALUE(LEFT('Base Encuesta'!#REF!,1)))</f>
        <v>#REF!</v>
      </c>
    </row>
    <row r="34" spans="1:34">
      <c r="A34" t="e">
        <f>IF('Base Encuesta'!#REF!="","",'Base Encuesta'!#REF!)</f>
        <v>#REF!</v>
      </c>
      <c r="B34" t="e">
        <f>IF('Base Encuesta'!#REF!="","",'Base Encuesta'!#REF!)</f>
        <v>#REF!</v>
      </c>
      <c r="C34" t="e">
        <f>IF('Base Encuesta'!#REF!="","",'Base Encuesta'!#REF!)</f>
        <v>#REF!</v>
      </c>
      <c r="D34" t="e">
        <f>IF('Base Encuesta'!#REF!="","",'Base Encuesta'!#REF!)</f>
        <v>#REF!</v>
      </c>
      <c r="E34" t="e">
        <f>IF('Base Encuesta'!#REF!="","",'Base Encuesta'!#REF!)</f>
        <v>#REF!</v>
      </c>
      <c r="F34" t="e">
        <f>IF('Base Encuesta'!#REF!="","",'Base Encuesta'!#REF!)</f>
        <v>#REF!</v>
      </c>
      <c r="G34" t="e">
        <f>IF('Base Encuesta'!#REF!="","",'Base Encuesta'!#REF!)</f>
        <v>#REF!</v>
      </c>
      <c r="H34" t="e">
        <f>IF('Base Encuesta'!#REF!="","",'Base Encuesta'!#REF!)</f>
        <v>#REF!</v>
      </c>
      <c r="I34" t="e">
        <f>IF('Base Encuesta'!#REF!="","",'Base Encuesta'!#REF!)</f>
        <v>#REF!</v>
      </c>
      <c r="J34" t="e">
        <f>IF(OR('Base Encuesta'!#REF!="",IFERROR(VALUE(LEFT('Base Encuesta'!#REF!,1)),"")&gt;=3),"",PROPER(TRIM('Base Encuesta'!#REF!)))</f>
        <v>#REF!</v>
      </c>
      <c r="K34" t="e">
        <f>IF(OR('Base Encuesta'!#REF!="",IFERROR(VALUE(LEFT('Base Encuesta'!#REF!,1)),"")&gt;=3),"",'Base Encuesta'!#REF!)</f>
        <v>#REF!</v>
      </c>
      <c r="L34" t="e">
        <f>IF(OR('Base Encuesta'!#REF!="",IFERROR(VALUE(LEFT('Base Encuesta'!#REF!,1)),"")&gt;=3),"",VALUE(LEFT('Base Encuesta'!#REF!,1)))</f>
        <v>#REF!</v>
      </c>
      <c r="M34" t="e">
        <f>IF(OR('Base Encuesta'!#REF!="",IFERROR(VALUE(LEFT('Base Encuesta'!#REF!,1)),"")&gt;=3),"",VALUE(LEFT('Base Encuesta'!#REF!,1)))</f>
        <v>#REF!</v>
      </c>
      <c r="N34" t="e">
        <f>IF(OR('Base Encuesta'!#REF!="",IFERROR(VALUE(LEFT('Base Encuesta'!#REF!,1)),"")&gt;=3),"",VALUE(LEFT('Base Encuesta'!#REF!,1)))</f>
        <v>#REF!</v>
      </c>
      <c r="O34" t="e">
        <f>IF(OR('Base Encuesta'!#REF!="",IFERROR(VALUE(LEFT('Base Encuesta'!#REF!,1)),"")&gt;=3),"",VALUE(LEFT('Base Encuesta'!#REF!,1)))</f>
        <v>#REF!</v>
      </c>
      <c r="P34" t="e">
        <f>IF(OR('Base Encuesta'!#REF!="",IFERROR(VALUE(LEFT('Base Encuesta'!#REF!,1)),"")&gt;=3),"",VALUE(LEFT('Base Encuesta'!#REF!,1)))</f>
        <v>#REF!</v>
      </c>
      <c r="Q34" t="e">
        <f>IF(OR('Base Encuesta'!#REF!="",IFERROR(VALUE(LEFT('Base Encuesta'!#REF!,1)),"")&gt;=3),"",VALUE(LEFT('Base Encuesta'!#REF!,1)))</f>
        <v>#REF!</v>
      </c>
      <c r="R34" t="e">
        <f>IF(OR('Base Encuesta'!#REF!="",IFERROR(VALUE(LEFT('Base Encuesta'!#REF!,1)),"")&gt;=3),"",VALUE(LEFT('Base Encuesta'!#REF!,1)))</f>
        <v>#REF!</v>
      </c>
      <c r="S34" t="e">
        <f>IF(OR('Base Encuesta'!#REF!="",IFERROR(VALUE(LEFT('Base Encuesta'!#REF!,1)),"")&gt;=3),"",VALUE(LEFT('Base Encuesta'!#REF!,1)))</f>
        <v>#REF!</v>
      </c>
      <c r="T34" t="e">
        <f>IF(OR('Base Encuesta'!#REF!="",IFERROR(VALUE(LEFT('Base Encuesta'!#REF!,1)),"")&gt;=3),"",VALUE(LEFT('Base Encuesta'!#REF!,1)))</f>
        <v>#REF!</v>
      </c>
      <c r="U34" t="e">
        <f>IF(OR('Base Encuesta'!#REF!="",IFERROR(VALUE(LEFT('Base Encuesta'!#REF!,1)),"")&gt;=3),"",VALUE(LEFT('Base Encuesta'!#REF!,1)))</f>
        <v>#REF!</v>
      </c>
      <c r="V34" t="e">
        <f>IF(OR('Base Encuesta'!#REF!="",IFERROR(VALUE(LEFT('Base Encuesta'!#REF!,1)),"")&gt;=3),"",VALUE(LEFT('Base Encuesta'!#REF!,1)))</f>
        <v>#REF!</v>
      </c>
      <c r="W34" t="e">
        <f>IF(OR('Base Encuesta'!#REF!="",IFERROR(VALUE(LEFT('Base Encuesta'!#REF!,1)),"")&gt;=3),"",VALUE(LEFT('Base Encuesta'!#REF!,1)))</f>
        <v>#REF!</v>
      </c>
      <c r="X34" t="e">
        <f>IF(OR('Base Encuesta'!#REF!="",IFERROR(VALUE(LEFT('Base Encuesta'!#REF!,1)),"")&gt;=3),"",IF(W34=1,VALUE(LEFT('Base Encuesta'!#REF!,1)),""))</f>
        <v>#REF!</v>
      </c>
      <c r="Y34" t="e">
        <f>IF(OR('Base Encuesta'!#REF!="",IFERROR(VALUE(LEFT('Base Encuesta'!#REF!,1)),"")&gt;=3),"",IF(W34=1,VALUE(LEFT('Base Encuesta'!#REF!,1)),""))</f>
        <v>#REF!</v>
      </c>
      <c r="Z34" t="e">
        <f>IF(OR('Base Encuesta'!#REF!="",IFERROR(VALUE(LEFT('Base Encuesta'!#REF!,1)),"")&gt;=3),"",IF(W34=1,VALUE(LEFT('Base Encuesta'!#REF!,1)),""))</f>
        <v>#REF!</v>
      </c>
      <c r="AA34" t="e">
        <f>IF(OR('Base Encuesta'!#REF!="",IFERROR(VALUE(LEFT('Base Encuesta'!#REF!,1)),"")&gt;=3),"",IF(W34=1,VALUE(LEFT('Base Encuesta'!#REF!,1)),""))</f>
        <v>#REF!</v>
      </c>
      <c r="AB34" t="e">
        <f>IF(OR('Base Encuesta'!#REF!="",IFERROR(VALUE(LEFT('Base Encuesta'!#REF!,1)),"")&gt;=3),"",IF(W34=1,VALUE(LEFT('Base Encuesta'!#REF!,1)),""))</f>
        <v>#REF!</v>
      </c>
      <c r="AC34" t="e">
        <f>IF(OR('Base Encuesta'!#REF!="",IFERROR(VALUE(LEFT('Base Encuesta'!#REF!,1)),"")&gt;=3),"",VALUE(LEFT('Base Encuesta'!#REF!,1)))</f>
        <v>#REF!</v>
      </c>
      <c r="AD34" t="e">
        <f>IF(OR('Base Encuesta'!#REF!="",IFERROR(VALUE(LEFT('Base Encuesta'!#REF!,1)),"")&gt;=3),"",VALUE(LEFT('Base Encuesta'!#REF!,1)))</f>
        <v>#REF!</v>
      </c>
      <c r="AE34" t="e">
        <f>IF(OR('Base Encuesta'!#REF!="",IFERROR(VALUE(LEFT('Base Encuesta'!#REF!,1)),"")&gt;=3),"",VALUE(LEFT('Base Encuesta'!#REF!,1)))</f>
        <v>#REF!</v>
      </c>
      <c r="AF34" t="e">
        <f>IF(OR('Base Encuesta'!#REF!="",IFERROR(VALUE(LEFT('Base Encuesta'!#REF!,1)),"")&gt;=3),"",VALUE(LEFT('Base Encuesta'!#REF!,1)))</f>
        <v>#REF!</v>
      </c>
      <c r="AG34" t="e">
        <f>IF(OR('Base Encuesta'!#REF!="",IFERROR(VALUE(LEFT('Base Encuesta'!#REF!,1)),"")&gt;=3),"",VALUE(LEFT('Base Encuesta'!#REF!,1)))</f>
        <v>#REF!</v>
      </c>
      <c r="AH34" t="e">
        <f>IF(OR('Base Encuesta'!#REF!="",IFERROR(VALUE(LEFT('Base Encuesta'!#REF!,1)),"")&gt;=3),"",VALUE(LEFT('Base Encuesta'!#REF!,1)))</f>
        <v>#REF!</v>
      </c>
    </row>
    <row r="35" spans="1:34">
      <c r="A35" t="e">
        <f>IF('Base Encuesta'!#REF!="","",'Base Encuesta'!#REF!)</f>
        <v>#REF!</v>
      </c>
      <c r="B35" t="e">
        <f>IF('Base Encuesta'!#REF!="","",'Base Encuesta'!#REF!)</f>
        <v>#REF!</v>
      </c>
      <c r="C35" t="e">
        <f>IF('Base Encuesta'!#REF!="","",'Base Encuesta'!#REF!)</f>
        <v>#REF!</v>
      </c>
      <c r="D35" t="e">
        <f>IF('Base Encuesta'!#REF!="","",'Base Encuesta'!#REF!)</f>
        <v>#REF!</v>
      </c>
      <c r="E35" t="e">
        <f>IF('Base Encuesta'!#REF!="","",'Base Encuesta'!#REF!)</f>
        <v>#REF!</v>
      </c>
      <c r="F35" t="e">
        <f>IF('Base Encuesta'!#REF!="","",'Base Encuesta'!#REF!)</f>
        <v>#REF!</v>
      </c>
      <c r="G35" t="e">
        <f>IF('Base Encuesta'!#REF!="","",'Base Encuesta'!#REF!)</f>
        <v>#REF!</v>
      </c>
      <c r="H35" t="e">
        <f>IF('Base Encuesta'!#REF!="","",'Base Encuesta'!#REF!)</f>
        <v>#REF!</v>
      </c>
      <c r="I35" t="e">
        <f>IF('Base Encuesta'!#REF!="","",'Base Encuesta'!#REF!)</f>
        <v>#REF!</v>
      </c>
      <c r="J35" t="e">
        <f>IF(OR('Base Encuesta'!#REF!="",IFERROR(VALUE(LEFT('Base Encuesta'!#REF!,1)),"")&gt;=3),"",PROPER(TRIM('Base Encuesta'!#REF!)))</f>
        <v>#REF!</v>
      </c>
      <c r="K35" t="e">
        <f>IF(OR('Base Encuesta'!#REF!="",IFERROR(VALUE(LEFT('Base Encuesta'!#REF!,1)),"")&gt;=3),"",'Base Encuesta'!#REF!)</f>
        <v>#REF!</v>
      </c>
      <c r="L35" t="e">
        <f>IF(OR('Base Encuesta'!#REF!="",IFERROR(VALUE(LEFT('Base Encuesta'!#REF!,1)),"")&gt;=3),"",VALUE(LEFT('Base Encuesta'!#REF!,1)))</f>
        <v>#REF!</v>
      </c>
      <c r="M35" t="e">
        <f>IF(OR('Base Encuesta'!#REF!="",IFERROR(VALUE(LEFT('Base Encuesta'!#REF!,1)),"")&gt;=3),"",VALUE(LEFT('Base Encuesta'!#REF!,1)))</f>
        <v>#REF!</v>
      </c>
      <c r="N35" t="e">
        <f>IF(OR('Base Encuesta'!#REF!="",IFERROR(VALUE(LEFT('Base Encuesta'!#REF!,1)),"")&gt;=3),"",VALUE(LEFT('Base Encuesta'!#REF!,1)))</f>
        <v>#REF!</v>
      </c>
      <c r="O35" t="e">
        <f>IF(OR('Base Encuesta'!#REF!="",IFERROR(VALUE(LEFT('Base Encuesta'!#REF!,1)),"")&gt;=3),"",VALUE(LEFT('Base Encuesta'!#REF!,1)))</f>
        <v>#REF!</v>
      </c>
      <c r="P35" t="e">
        <f>IF(OR('Base Encuesta'!#REF!="",IFERROR(VALUE(LEFT('Base Encuesta'!#REF!,1)),"")&gt;=3),"",VALUE(LEFT('Base Encuesta'!#REF!,1)))</f>
        <v>#REF!</v>
      </c>
      <c r="Q35" t="e">
        <f>IF(OR('Base Encuesta'!#REF!="",IFERROR(VALUE(LEFT('Base Encuesta'!#REF!,1)),"")&gt;=3),"",VALUE(LEFT('Base Encuesta'!#REF!,1)))</f>
        <v>#REF!</v>
      </c>
      <c r="R35" t="e">
        <f>IF(OR('Base Encuesta'!#REF!="",IFERROR(VALUE(LEFT('Base Encuesta'!#REF!,1)),"")&gt;=3),"",VALUE(LEFT('Base Encuesta'!#REF!,1)))</f>
        <v>#REF!</v>
      </c>
      <c r="S35" t="e">
        <f>IF(OR('Base Encuesta'!#REF!="",IFERROR(VALUE(LEFT('Base Encuesta'!#REF!,1)),"")&gt;=3),"",VALUE(LEFT('Base Encuesta'!#REF!,1)))</f>
        <v>#REF!</v>
      </c>
      <c r="T35" t="e">
        <f>IF(OR('Base Encuesta'!#REF!="",IFERROR(VALUE(LEFT('Base Encuesta'!#REF!,1)),"")&gt;=3),"",VALUE(LEFT('Base Encuesta'!#REF!,1)))</f>
        <v>#REF!</v>
      </c>
      <c r="U35" t="e">
        <f>IF(OR('Base Encuesta'!#REF!="",IFERROR(VALUE(LEFT('Base Encuesta'!#REF!,1)),"")&gt;=3),"",VALUE(LEFT('Base Encuesta'!#REF!,1)))</f>
        <v>#REF!</v>
      </c>
      <c r="V35" t="e">
        <f>IF(OR('Base Encuesta'!#REF!="",IFERROR(VALUE(LEFT('Base Encuesta'!#REF!,1)),"")&gt;=3),"",VALUE(LEFT('Base Encuesta'!#REF!,1)))</f>
        <v>#REF!</v>
      </c>
      <c r="W35" t="e">
        <f>IF(OR('Base Encuesta'!#REF!="",IFERROR(VALUE(LEFT('Base Encuesta'!#REF!,1)),"")&gt;=3),"",VALUE(LEFT('Base Encuesta'!#REF!,1)))</f>
        <v>#REF!</v>
      </c>
      <c r="X35" t="e">
        <f>IF(OR('Base Encuesta'!#REF!="",IFERROR(VALUE(LEFT('Base Encuesta'!#REF!,1)),"")&gt;=3),"",IF(W35=1,VALUE(LEFT('Base Encuesta'!#REF!,1)),""))</f>
        <v>#REF!</v>
      </c>
      <c r="Y35" t="e">
        <f>IF(OR('Base Encuesta'!#REF!="",IFERROR(VALUE(LEFT('Base Encuesta'!#REF!,1)),"")&gt;=3),"",IF(W35=1,VALUE(LEFT('Base Encuesta'!#REF!,1)),""))</f>
        <v>#REF!</v>
      </c>
      <c r="Z35" t="e">
        <f>IF(OR('Base Encuesta'!#REF!="",IFERROR(VALUE(LEFT('Base Encuesta'!#REF!,1)),"")&gt;=3),"",IF(W35=1,VALUE(LEFT('Base Encuesta'!#REF!,1)),""))</f>
        <v>#REF!</v>
      </c>
      <c r="AA35" t="e">
        <f>IF(OR('Base Encuesta'!#REF!="",IFERROR(VALUE(LEFT('Base Encuesta'!#REF!,1)),"")&gt;=3),"",IF(W35=1,VALUE(LEFT('Base Encuesta'!#REF!,1)),""))</f>
        <v>#REF!</v>
      </c>
      <c r="AB35" t="e">
        <f>IF(OR('Base Encuesta'!#REF!="",IFERROR(VALUE(LEFT('Base Encuesta'!#REF!,1)),"")&gt;=3),"",IF(W35=1,VALUE(LEFT('Base Encuesta'!#REF!,1)),""))</f>
        <v>#REF!</v>
      </c>
      <c r="AC35" t="e">
        <f>IF(OR('Base Encuesta'!#REF!="",IFERROR(VALUE(LEFT('Base Encuesta'!#REF!,1)),"")&gt;=3),"",VALUE(LEFT('Base Encuesta'!#REF!,1)))</f>
        <v>#REF!</v>
      </c>
      <c r="AD35" t="e">
        <f>IF(OR('Base Encuesta'!#REF!="",IFERROR(VALUE(LEFT('Base Encuesta'!#REF!,1)),"")&gt;=3),"",VALUE(LEFT('Base Encuesta'!#REF!,1)))</f>
        <v>#REF!</v>
      </c>
      <c r="AE35" t="e">
        <f>IF(OR('Base Encuesta'!#REF!="",IFERROR(VALUE(LEFT('Base Encuesta'!#REF!,1)),"")&gt;=3),"",VALUE(LEFT('Base Encuesta'!#REF!,1)))</f>
        <v>#REF!</v>
      </c>
      <c r="AF35" t="e">
        <f>IF(OR('Base Encuesta'!#REF!="",IFERROR(VALUE(LEFT('Base Encuesta'!#REF!,1)),"")&gt;=3),"",VALUE(LEFT('Base Encuesta'!#REF!,1)))</f>
        <v>#REF!</v>
      </c>
      <c r="AG35" t="e">
        <f>IF(OR('Base Encuesta'!#REF!="",IFERROR(VALUE(LEFT('Base Encuesta'!#REF!,1)),"")&gt;=3),"",VALUE(LEFT('Base Encuesta'!#REF!,1)))</f>
        <v>#REF!</v>
      </c>
      <c r="AH35" t="e">
        <f>IF(OR('Base Encuesta'!#REF!="",IFERROR(VALUE(LEFT('Base Encuesta'!#REF!,1)),"")&gt;=3),"",VALUE(LEFT('Base Encuesta'!#REF!,1)))</f>
        <v>#REF!</v>
      </c>
    </row>
    <row r="36" spans="1:34">
      <c r="A36" t="e">
        <f>IF('Base Encuesta'!#REF!="","",'Base Encuesta'!#REF!)</f>
        <v>#REF!</v>
      </c>
      <c r="B36" t="e">
        <f>IF('Base Encuesta'!#REF!="","",'Base Encuesta'!#REF!)</f>
        <v>#REF!</v>
      </c>
      <c r="C36" t="e">
        <f>IF('Base Encuesta'!#REF!="","",'Base Encuesta'!#REF!)</f>
        <v>#REF!</v>
      </c>
      <c r="D36" t="e">
        <f>IF('Base Encuesta'!#REF!="","",'Base Encuesta'!#REF!)</f>
        <v>#REF!</v>
      </c>
      <c r="E36" t="e">
        <f>IF('Base Encuesta'!#REF!="","",'Base Encuesta'!#REF!)</f>
        <v>#REF!</v>
      </c>
      <c r="F36" t="e">
        <f>IF('Base Encuesta'!#REF!="","",'Base Encuesta'!#REF!)</f>
        <v>#REF!</v>
      </c>
      <c r="G36" t="e">
        <f>IF('Base Encuesta'!#REF!="","",'Base Encuesta'!#REF!)</f>
        <v>#REF!</v>
      </c>
      <c r="H36" t="e">
        <f>IF('Base Encuesta'!#REF!="","",'Base Encuesta'!#REF!)</f>
        <v>#REF!</v>
      </c>
      <c r="I36" t="e">
        <f>IF('Base Encuesta'!#REF!="","",'Base Encuesta'!#REF!)</f>
        <v>#REF!</v>
      </c>
      <c r="J36" t="e">
        <f>IF(OR('Base Encuesta'!#REF!="",IFERROR(VALUE(LEFT('Base Encuesta'!#REF!,1)),"")&gt;=3),"",PROPER(TRIM('Base Encuesta'!#REF!)))</f>
        <v>#REF!</v>
      </c>
      <c r="K36" t="e">
        <f>IF(OR('Base Encuesta'!#REF!="",IFERROR(VALUE(LEFT('Base Encuesta'!#REF!,1)),"")&gt;=3),"",'Base Encuesta'!#REF!)</f>
        <v>#REF!</v>
      </c>
      <c r="L36" t="e">
        <f>IF(OR('Base Encuesta'!#REF!="",IFERROR(VALUE(LEFT('Base Encuesta'!#REF!,1)),"")&gt;=3),"",VALUE(LEFT('Base Encuesta'!#REF!,1)))</f>
        <v>#REF!</v>
      </c>
      <c r="M36" t="e">
        <f>IF(OR('Base Encuesta'!#REF!="",IFERROR(VALUE(LEFT('Base Encuesta'!#REF!,1)),"")&gt;=3),"",VALUE(LEFT('Base Encuesta'!#REF!,1)))</f>
        <v>#REF!</v>
      </c>
      <c r="N36" t="e">
        <f>IF(OR('Base Encuesta'!#REF!="",IFERROR(VALUE(LEFT('Base Encuesta'!#REF!,1)),"")&gt;=3),"",VALUE(LEFT('Base Encuesta'!#REF!,1)))</f>
        <v>#REF!</v>
      </c>
      <c r="O36" t="e">
        <f>IF(OR('Base Encuesta'!#REF!="",IFERROR(VALUE(LEFT('Base Encuesta'!#REF!,1)),"")&gt;=3),"",VALUE(LEFT('Base Encuesta'!#REF!,1)))</f>
        <v>#REF!</v>
      </c>
      <c r="P36" t="e">
        <f>IF(OR('Base Encuesta'!#REF!="",IFERROR(VALUE(LEFT('Base Encuesta'!#REF!,1)),"")&gt;=3),"",VALUE(LEFT('Base Encuesta'!#REF!,1)))</f>
        <v>#REF!</v>
      </c>
      <c r="Q36" t="e">
        <f>IF(OR('Base Encuesta'!#REF!="",IFERROR(VALUE(LEFT('Base Encuesta'!#REF!,1)),"")&gt;=3),"",VALUE(LEFT('Base Encuesta'!#REF!,1)))</f>
        <v>#REF!</v>
      </c>
      <c r="R36" t="e">
        <f>IF(OR('Base Encuesta'!#REF!="",IFERROR(VALUE(LEFT('Base Encuesta'!#REF!,1)),"")&gt;=3),"",VALUE(LEFT('Base Encuesta'!#REF!,1)))</f>
        <v>#REF!</v>
      </c>
      <c r="S36" t="e">
        <f>IF(OR('Base Encuesta'!#REF!="",IFERROR(VALUE(LEFT('Base Encuesta'!#REF!,1)),"")&gt;=3),"",VALUE(LEFT('Base Encuesta'!#REF!,1)))</f>
        <v>#REF!</v>
      </c>
      <c r="T36" t="e">
        <f>IF(OR('Base Encuesta'!#REF!="",IFERROR(VALUE(LEFT('Base Encuesta'!#REF!,1)),"")&gt;=3),"",VALUE(LEFT('Base Encuesta'!#REF!,1)))</f>
        <v>#REF!</v>
      </c>
      <c r="U36" t="e">
        <f>IF(OR('Base Encuesta'!#REF!="",IFERROR(VALUE(LEFT('Base Encuesta'!#REF!,1)),"")&gt;=3),"",VALUE(LEFT('Base Encuesta'!#REF!,1)))</f>
        <v>#REF!</v>
      </c>
      <c r="V36" t="e">
        <f>IF(OR('Base Encuesta'!#REF!="",IFERROR(VALUE(LEFT('Base Encuesta'!#REF!,1)),"")&gt;=3),"",VALUE(LEFT('Base Encuesta'!#REF!,1)))</f>
        <v>#REF!</v>
      </c>
      <c r="W36" t="e">
        <f>IF(OR('Base Encuesta'!#REF!="",IFERROR(VALUE(LEFT('Base Encuesta'!#REF!,1)),"")&gt;=3),"",VALUE(LEFT('Base Encuesta'!#REF!,1)))</f>
        <v>#REF!</v>
      </c>
      <c r="X36" t="e">
        <f>IF(OR('Base Encuesta'!#REF!="",IFERROR(VALUE(LEFT('Base Encuesta'!#REF!,1)),"")&gt;=3),"",IF(W36=1,VALUE(LEFT('Base Encuesta'!#REF!,1)),""))</f>
        <v>#REF!</v>
      </c>
      <c r="Y36" t="e">
        <f>IF(OR('Base Encuesta'!#REF!="",IFERROR(VALUE(LEFT('Base Encuesta'!#REF!,1)),"")&gt;=3),"",IF(W36=1,VALUE(LEFT('Base Encuesta'!#REF!,1)),""))</f>
        <v>#REF!</v>
      </c>
      <c r="Z36" t="e">
        <f>IF(OR('Base Encuesta'!#REF!="",IFERROR(VALUE(LEFT('Base Encuesta'!#REF!,1)),"")&gt;=3),"",IF(W36=1,VALUE(LEFT('Base Encuesta'!#REF!,1)),""))</f>
        <v>#REF!</v>
      </c>
      <c r="AA36" t="e">
        <f>IF(OR('Base Encuesta'!#REF!="",IFERROR(VALUE(LEFT('Base Encuesta'!#REF!,1)),"")&gt;=3),"",IF(W36=1,VALUE(LEFT('Base Encuesta'!#REF!,1)),""))</f>
        <v>#REF!</v>
      </c>
      <c r="AB36" t="e">
        <f>IF(OR('Base Encuesta'!#REF!="",IFERROR(VALUE(LEFT('Base Encuesta'!#REF!,1)),"")&gt;=3),"",IF(W36=1,VALUE(LEFT('Base Encuesta'!#REF!,1)),""))</f>
        <v>#REF!</v>
      </c>
      <c r="AC36" t="e">
        <f>IF(OR('Base Encuesta'!#REF!="",IFERROR(VALUE(LEFT('Base Encuesta'!#REF!,1)),"")&gt;=3),"",VALUE(LEFT('Base Encuesta'!#REF!,1)))</f>
        <v>#REF!</v>
      </c>
      <c r="AD36" t="e">
        <f>IF(OR('Base Encuesta'!#REF!="",IFERROR(VALUE(LEFT('Base Encuesta'!#REF!,1)),"")&gt;=3),"",VALUE(LEFT('Base Encuesta'!#REF!,1)))</f>
        <v>#REF!</v>
      </c>
      <c r="AE36" t="e">
        <f>IF(OR('Base Encuesta'!#REF!="",IFERROR(VALUE(LEFT('Base Encuesta'!#REF!,1)),"")&gt;=3),"",VALUE(LEFT('Base Encuesta'!#REF!,1)))</f>
        <v>#REF!</v>
      </c>
      <c r="AF36" t="e">
        <f>IF(OR('Base Encuesta'!#REF!="",IFERROR(VALUE(LEFT('Base Encuesta'!#REF!,1)),"")&gt;=3),"",VALUE(LEFT('Base Encuesta'!#REF!,1)))</f>
        <v>#REF!</v>
      </c>
      <c r="AG36" t="e">
        <f>IF(OR('Base Encuesta'!#REF!="",IFERROR(VALUE(LEFT('Base Encuesta'!#REF!,1)),"")&gt;=3),"",VALUE(LEFT('Base Encuesta'!#REF!,1)))</f>
        <v>#REF!</v>
      </c>
      <c r="AH36" t="e">
        <f>IF(OR('Base Encuesta'!#REF!="",IFERROR(VALUE(LEFT('Base Encuesta'!#REF!,1)),"")&gt;=3),"",VALUE(LEFT('Base Encuesta'!#REF!,1)))</f>
        <v>#REF!</v>
      </c>
    </row>
    <row r="37" spans="1:34">
      <c r="A37" t="e">
        <f>IF('Base Encuesta'!#REF!="","",'Base Encuesta'!#REF!)</f>
        <v>#REF!</v>
      </c>
      <c r="B37" t="e">
        <f>IF('Base Encuesta'!#REF!="","",'Base Encuesta'!#REF!)</f>
        <v>#REF!</v>
      </c>
      <c r="C37" t="e">
        <f>IF('Base Encuesta'!#REF!="","",'Base Encuesta'!#REF!)</f>
        <v>#REF!</v>
      </c>
      <c r="D37" t="e">
        <f>IF('Base Encuesta'!#REF!="","",'Base Encuesta'!#REF!)</f>
        <v>#REF!</v>
      </c>
      <c r="E37" t="e">
        <f>IF('Base Encuesta'!#REF!="","",'Base Encuesta'!#REF!)</f>
        <v>#REF!</v>
      </c>
      <c r="F37" t="e">
        <f>IF('Base Encuesta'!#REF!="","",'Base Encuesta'!#REF!)</f>
        <v>#REF!</v>
      </c>
      <c r="G37" t="e">
        <f>IF('Base Encuesta'!#REF!="","",'Base Encuesta'!#REF!)</f>
        <v>#REF!</v>
      </c>
      <c r="H37" t="e">
        <f>IF('Base Encuesta'!#REF!="","",'Base Encuesta'!#REF!)</f>
        <v>#REF!</v>
      </c>
      <c r="I37" t="e">
        <f>IF('Base Encuesta'!#REF!="","",'Base Encuesta'!#REF!)</f>
        <v>#REF!</v>
      </c>
      <c r="J37" t="e">
        <f>IF(OR('Base Encuesta'!#REF!="",IFERROR(VALUE(LEFT('Base Encuesta'!#REF!,1)),"")&gt;=3),"",PROPER(TRIM('Base Encuesta'!#REF!)))</f>
        <v>#REF!</v>
      </c>
      <c r="K37" t="e">
        <f>IF(OR('Base Encuesta'!#REF!="",IFERROR(VALUE(LEFT('Base Encuesta'!#REF!,1)),"")&gt;=3),"",'Base Encuesta'!#REF!)</f>
        <v>#REF!</v>
      </c>
      <c r="L37" t="e">
        <f>IF(OR('Base Encuesta'!#REF!="",IFERROR(VALUE(LEFT('Base Encuesta'!#REF!,1)),"")&gt;=3),"",VALUE(LEFT('Base Encuesta'!#REF!,1)))</f>
        <v>#REF!</v>
      </c>
      <c r="M37" t="e">
        <f>IF(OR('Base Encuesta'!#REF!="",IFERROR(VALUE(LEFT('Base Encuesta'!#REF!,1)),"")&gt;=3),"",VALUE(LEFT('Base Encuesta'!#REF!,1)))</f>
        <v>#REF!</v>
      </c>
      <c r="N37" t="e">
        <f>IF(OR('Base Encuesta'!#REF!="",IFERROR(VALUE(LEFT('Base Encuesta'!#REF!,1)),"")&gt;=3),"",VALUE(LEFT('Base Encuesta'!#REF!,1)))</f>
        <v>#REF!</v>
      </c>
      <c r="O37" t="e">
        <f>IF(OR('Base Encuesta'!#REF!="",IFERROR(VALUE(LEFT('Base Encuesta'!#REF!,1)),"")&gt;=3),"",VALUE(LEFT('Base Encuesta'!#REF!,1)))</f>
        <v>#REF!</v>
      </c>
      <c r="P37" t="e">
        <f>IF(OR('Base Encuesta'!#REF!="",IFERROR(VALUE(LEFT('Base Encuesta'!#REF!,1)),"")&gt;=3),"",VALUE(LEFT('Base Encuesta'!#REF!,1)))</f>
        <v>#REF!</v>
      </c>
      <c r="Q37" t="e">
        <f>IF(OR('Base Encuesta'!#REF!="",IFERROR(VALUE(LEFT('Base Encuesta'!#REF!,1)),"")&gt;=3),"",VALUE(LEFT('Base Encuesta'!#REF!,1)))</f>
        <v>#REF!</v>
      </c>
      <c r="R37" t="e">
        <f>IF(OR('Base Encuesta'!#REF!="",IFERROR(VALUE(LEFT('Base Encuesta'!#REF!,1)),"")&gt;=3),"",VALUE(LEFT('Base Encuesta'!#REF!,1)))</f>
        <v>#REF!</v>
      </c>
      <c r="S37" t="e">
        <f>IF(OR('Base Encuesta'!#REF!="",IFERROR(VALUE(LEFT('Base Encuesta'!#REF!,1)),"")&gt;=3),"",VALUE(LEFT('Base Encuesta'!#REF!,1)))</f>
        <v>#REF!</v>
      </c>
      <c r="T37" t="e">
        <f>IF(OR('Base Encuesta'!#REF!="",IFERROR(VALUE(LEFT('Base Encuesta'!#REF!,1)),"")&gt;=3),"",VALUE(LEFT('Base Encuesta'!#REF!,1)))</f>
        <v>#REF!</v>
      </c>
      <c r="U37" t="e">
        <f>IF(OR('Base Encuesta'!#REF!="",IFERROR(VALUE(LEFT('Base Encuesta'!#REF!,1)),"")&gt;=3),"",VALUE(LEFT('Base Encuesta'!#REF!,1)))</f>
        <v>#REF!</v>
      </c>
      <c r="V37" t="e">
        <f>IF(OR('Base Encuesta'!#REF!="",IFERROR(VALUE(LEFT('Base Encuesta'!#REF!,1)),"")&gt;=3),"",VALUE(LEFT('Base Encuesta'!#REF!,1)))</f>
        <v>#REF!</v>
      </c>
      <c r="W37" t="e">
        <f>IF(OR('Base Encuesta'!#REF!="",IFERROR(VALUE(LEFT('Base Encuesta'!#REF!,1)),"")&gt;=3),"",VALUE(LEFT('Base Encuesta'!#REF!,1)))</f>
        <v>#REF!</v>
      </c>
      <c r="X37" t="e">
        <f>IF(OR('Base Encuesta'!#REF!="",IFERROR(VALUE(LEFT('Base Encuesta'!#REF!,1)),"")&gt;=3),"",IF(W37=1,VALUE(LEFT('Base Encuesta'!#REF!,1)),""))</f>
        <v>#REF!</v>
      </c>
      <c r="Y37" t="e">
        <f>IF(OR('Base Encuesta'!#REF!="",IFERROR(VALUE(LEFT('Base Encuesta'!#REF!,1)),"")&gt;=3),"",IF(W37=1,VALUE(LEFT('Base Encuesta'!#REF!,1)),""))</f>
        <v>#REF!</v>
      </c>
      <c r="Z37" t="e">
        <f>IF(OR('Base Encuesta'!#REF!="",IFERROR(VALUE(LEFT('Base Encuesta'!#REF!,1)),"")&gt;=3),"",IF(W37=1,VALUE(LEFT('Base Encuesta'!#REF!,1)),""))</f>
        <v>#REF!</v>
      </c>
      <c r="AA37" t="e">
        <f>IF(OR('Base Encuesta'!#REF!="",IFERROR(VALUE(LEFT('Base Encuesta'!#REF!,1)),"")&gt;=3),"",IF(W37=1,VALUE(LEFT('Base Encuesta'!#REF!,1)),""))</f>
        <v>#REF!</v>
      </c>
      <c r="AB37" t="e">
        <f>IF(OR('Base Encuesta'!#REF!="",IFERROR(VALUE(LEFT('Base Encuesta'!#REF!,1)),"")&gt;=3),"",IF(W37=1,VALUE(LEFT('Base Encuesta'!#REF!,1)),""))</f>
        <v>#REF!</v>
      </c>
      <c r="AC37" t="e">
        <f>IF(OR('Base Encuesta'!#REF!="",IFERROR(VALUE(LEFT('Base Encuesta'!#REF!,1)),"")&gt;=3),"",VALUE(LEFT('Base Encuesta'!#REF!,1)))</f>
        <v>#REF!</v>
      </c>
      <c r="AD37" t="e">
        <f>IF(OR('Base Encuesta'!#REF!="",IFERROR(VALUE(LEFT('Base Encuesta'!#REF!,1)),"")&gt;=3),"",VALUE(LEFT('Base Encuesta'!#REF!,1)))</f>
        <v>#REF!</v>
      </c>
      <c r="AE37" t="e">
        <f>IF(OR('Base Encuesta'!#REF!="",IFERROR(VALUE(LEFT('Base Encuesta'!#REF!,1)),"")&gt;=3),"",VALUE(LEFT('Base Encuesta'!#REF!,1)))</f>
        <v>#REF!</v>
      </c>
      <c r="AF37" t="e">
        <f>IF(OR('Base Encuesta'!#REF!="",IFERROR(VALUE(LEFT('Base Encuesta'!#REF!,1)),"")&gt;=3),"",VALUE(LEFT('Base Encuesta'!#REF!,1)))</f>
        <v>#REF!</v>
      </c>
      <c r="AG37" t="e">
        <f>IF(OR('Base Encuesta'!#REF!="",IFERROR(VALUE(LEFT('Base Encuesta'!#REF!,1)),"")&gt;=3),"",VALUE(LEFT('Base Encuesta'!#REF!,1)))</f>
        <v>#REF!</v>
      </c>
      <c r="AH37" t="e">
        <f>IF(OR('Base Encuesta'!#REF!="",IFERROR(VALUE(LEFT('Base Encuesta'!#REF!,1)),"")&gt;=3),"",VALUE(LEFT('Base Encuesta'!#REF!,1)))</f>
        <v>#REF!</v>
      </c>
    </row>
    <row r="38" spans="1:34">
      <c r="A38" t="e">
        <f>IF('Base Encuesta'!#REF!="","",'Base Encuesta'!#REF!)</f>
        <v>#REF!</v>
      </c>
      <c r="B38" t="e">
        <f>IF('Base Encuesta'!#REF!="","",'Base Encuesta'!#REF!)</f>
        <v>#REF!</v>
      </c>
      <c r="C38" t="e">
        <f>IF('Base Encuesta'!#REF!="","",'Base Encuesta'!#REF!)</f>
        <v>#REF!</v>
      </c>
      <c r="D38" t="e">
        <f>IF('Base Encuesta'!#REF!="","",'Base Encuesta'!#REF!)</f>
        <v>#REF!</v>
      </c>
      <c r="E38" t="e">
        <f>IF('Base Encuesta'!#REF!="","",'Base Encuesta'!#REF!)</f>
        <v>#REF!</v>
      </c>
      <c r="F38" t="e">
        <f>IF('Base Encuesta'!#REF!="","",'Base Encuesta'!#REF!)</f>
        <v>#REF!</v>
      </c>
      <c r="G38" t="e">
        <f>IF('Base Encuesta'!#REF!="","",'Base Encuesta'!#REF!)</f>
        <v>#REF!</v>
      </c>
      <c r="H38" t="e">
        <f>IF('Base Encuesta'!#REF!="","",'Base Encuesta'!#REF!)</f>
        <v>#REF!</v>
      </c>
      <c r="I38" t="e">
        <f>IF('Base Encuesta'!#REF!="","",'Base Encuesta'!#REF!)</f>
        <v>#REF!</v>
      </c>
      <c r="J38" t="e">
        <f>IF(OR('Base Encuesta'!#REF!="",IFERROR(VALUE(LEFT('Base Encuesta'!#REF!,1)),"")&gt;=3),"",PROPER(TRIM('Base Encuesta'!#REF!)))</f>
        <v>#REF!</v>
      </c>
      <c r="K38" t="e">
        <f>IF(OR('Base Encuesta'!#REF!="",IFERROR(VALUE(LEFT('Base Encuesta'!#REF!,1)),"")&gt;=3),"",'Base Encuesta'!#REF!)</f>
        <v>#REF!</v>
      </c>
      <c r="L38" t="e">
        <f>IF(OR('Base Encuesta'!#REF!="",IFERROR(VALUE(LEFT('Base Encuesta'!#REF!,1)),"")&gt;=3),"",VALUE(LEFT('Base Encuesta'!#REF!,1)))</f>
        <v>#REF!</v>
      </c>
      <c r="M38" t="e">
        <f>IF(OR('Base Encuesta'!#REF!="",IFERROR(VALUE(LEFT('Base Encuesta'!#REF!,1)),"")&gt;=3),"",VALUE(LEFT('Base Encuesta'!#REF!,1)))</f>
        <v>#REF!</v>
      </c>
      <c r="N38" t="e">
        <f>IF(OR('Base Encuesta'!#REF!="",IFERROR(VALUE(LEFT('Base Encuesta'!#REF!,1)),"")&gt;=3),"",VALUE(LEFT('Base Encuesta'!#REF!,1)))</f>
        <v>#REF!</v>
      </c>
      <c r="O38" t="e">
        <f>IF(OR('Base Encuesta'!#REF!="",IFERROR(VALUE(LEFT('Base Encuesta'!#REF!,1)),"")&gt;=3),"",VALUE(LEFT('Base Encuesta'!#REF!,1)))</f>
        <v>#REF!</v>
      </c>
      <c r="P38" t="e">
        <f>IF(OR('Base Encuesta'!#REF!="",IFERROR(VALUE(LEFT('Base Encuesta'!#REF!,1)),"")&gt;=3),"",VALUE(LEFT('Base Encuesta'!#REF!,1)))</f>
        <v>#REF!</v>
      </c>
      <c r="Q38" t="e">
        <f>IF(OR('Base Encuesta'!#REF!="",IFERROR(VALUE(LEFT('Base Encuesta'!#REF!,1)),"")&gt;=3),"",VALUE(LEFT('Base Encuesta'!#REF!,1)))</f>
        <v>#REF!</v>
      </c>
      <c r="R38" t="e">
        <f>IF(OR('Base Encuesta'!#REF!="",IFERROR(VALUE(LEFT('Base Encuesta'!#REF!,1)),"")&gt;=3),"",VALUE(LEFT('Base Encuesta'!#REF!,1)))</f>
        <v>#REF!</v>
      </c>
      <c r="S38" t="e">
        <f>IF(OR('Base Encuesta'!#REF!="",IFERROR(VALUE(LEFT('Base Encuesta'!#REF!,1)),"")&gt;=3),"",VALUE(LEFT('Base Encuesta'!#REF!,1)))</f>
        <v>#REF!</v>
      </c>
      <c r="T38" t="e">
        <f>IF(OR('Base Encuesta'!#REF!="",IFERROR(VALUE(LEFT('Base Encuesta'!#REF!,1)),"")&gt;=3),"",VALUE(LEFT('Base Encuesta'!#REF!,1)))</f>
        <v>#REF!</v>
      </c>
      <c r="U38" t="e">
        <f>IF(OR('Base Encuesta'!#REF!="",IFERROR(VALUE(LEFT('Base Encuesta'!#REF!,1)),"")&gt;=3),"",VALUE(LEFT('Base Encuesta'!#REF!,1)))</f>
        <v>#REF!</v>
      </c>
      <c r="V38" t="e">
        <f>IF(OR('Base Encuesta'!#REF!="",IFERROR(VALUE(LEFT('Base Encuesta'!#REF!,1)),"")&gt;=3),"",VALUE(LEFT('Base Encuesta'!#REF!,1)))</f>
        <v>#REF!</v>
      </c>
      <c r="W38" t="e">
        <f>IF(OR('Base Encuesta'!#REF!="",IFERROR(VALUE(LEFT('Base Encuesta'!#REF!,1)),"")&gt;=3),"",VALUE(LEFT('Base Encuesta'!#REF!,1)))</f>
        <v>#REF!</v>
      </c>
      <c r="X38" t="e">
        <f>IF(OR('Base Encuesta'!#REF!="",IFERROR(VALUE(LEFT('Base Encuesta'!#REF!,1)),"")&gt;=3),"",IF(W38=1,VALUE(LEFT('Base Encuesta'!#REF!,1)),""))</f>
        <v>#REF!</v>
      </c>
      <c r="Y38" t="e">
        <f>IF(OR('Base Encuesta'!#REF!="",IFERROR(VALUE(LEFT('Base Encuesta'!#REF!,1)),"")&gt;=3),"",IF(W38=1,VALUE(LEFT('Base Encuesta'!#REF!,1)),""))</f>
        <v>#REF!</v>
      </c>
      <c r="Z38" t="e">
        <f>IF(OR('Base Encuesta'!#REF!="",IFERROR(VALUE(LEFT('Base Encuesta'!#REF!,1)),"")&gt;=3),"",IF(W38=1,VALUE(LEFT('Base Encuesta'!#REF!,1)),""))</f>
        <v>#REF!</v>
      </c>
      <c r="AA38" t="e">
        <f>IF(OR('Base Encuesta'!#REF!="",IFERROR(VALUE(LEFT('Base Encuesta'!#REF!,1)),"")&gt;=3),"",IF(W38=1,VALUE(LEFT('Base Encuesta'!#REF!,1)),""))</f>
        <v>#REF!</v>
      </c>
      <c r="AB38" t="e">
        <f>IF(OR('Base Encuesta'!#REF!="",IFERROR(VALUE(LEFT('Base Encuesta'!#REF!,1)),"")&gt;=3),"",IF(W38=1,VALUE(LEFT('Base Encuesta'!#REF!,1)),""))</f>
        <v>#REF!</v>
      </c>
      <c r="AC38" t="e">
        <f>IF(OR('Base Encuesta'!#REF!="",IFERROR(VALUE(LEFT('Base Encuesta'!#REF!,1)),"")&gt;=3),"",VALUE(LEFT('Base Encuesta'!#REF!,1)))</f>
        <v>#REF!</v>
      </c>
      <c r="AD38" t="e">
        <f>IF(OR('Base Encuesta'!#REF!="",IFERROR(VALUE(LEFT('Base Encuesta'!#REF!,1)),"")&gt;=3),"",VALUE(LEFT('Base Encuesta'!#REF!,1)))</f>
        <v>#REF!</v>
      </c>
      <c r="AE38" t="e">
        <f>IF(OR('Base Encuesta'!#REF!="",IFERROR(VALUE(LEFT('Base Encuesta'!#REF!,1)),"")&gt;=3),"",VALUE(LEFT('Base Encuesta'!#REF!,1)))</f>
        <v>#REF!</v>
      </c>
      <c r="AF38" t="e">
        <f>IF(OR('Base Encuesta'!#REF!="",IFERROR(VALUE(LEFT('Base Encuesta'!#REF!,1)),"")&gt;=3),"",VALUE(LEFT('Base Encuesta'!#REF!,1)))</f>
        <v>#REF!</v>
      </c>
      <c r="AG38" t="e">
        <f>IF(OR('Base Encuesta'!#REF!="",IFERROR(VALUE(LEFT('Base Encuesta'!#REF!,1)),"")&gt;=3),"",VALUE(LEFT('Base Encuesta'!#REF!,1)))</f>
        <v>#REF!</v>
      </c>
      <c r="AH38" t="e">
        <f>IF(OR('Base Encuesta'!#REF!="",IFERROR(VALUE(LEFT('Base Encuesta'!#REF!,1)),"")&gt;=3),"",VALUE(LEFT('Base Encuesta'!#REF!,1)))</f>
        <v>#REF!</v>
      </c>
    </row>
    <row r="39" spans="1:34">
      <c r="A39" t="e">
        <f>IF('Base Encuesta'!#REF!="","",'Base Encuesta'!#REF!)</f>
        <v>#REF!</v>
      </c>
      <c r="B39" t="e">
        <f>IF('Base Encuesta'!#REF!="","",'Base Encuesta'!#REF!)</f>
        <v>#REF!</v>
      </c>
      <c r="C39" t="e">
        <f>IF('Base Encuesta'!#REF!="","",'Base Encuesta'!#REF!)</f>
        <v>#REF!</v>
      </c>
      <c r="D39" t="e">
        <f>IF('Base Encuesta'!#REF!="","",'Base Encuesta'!#REF!)</f>
        <v>#REF!</v>
      </c>
      <c r="E39" t="e">
        <f>IF('Base Encuesta'!#REF!="","",'Base Encuesta'!#REF!)</f>
        <v>#REF!</v>
      </c>
      <c r="F39" t="e">
        <f>IF('Base Encuesta'!#REF!="","",'Base Encuesta'!#REF!)</f>
        <v>#REF!</v>
      </c>
      <c r="G39" t="e">
        <f>IF('Base Encuesta'!#REF!="","",'Base Encuesta'!#REF!)</f>
        <v>#REF!</v>
      </c>
      <c r="H39" t="e">
        <f>IF('Base Encuesta'!#REF!="","",'Base Encuesta'!#REF!)</f>
        <v>#REF!</v>
      </c>
      <c r="I39" t="e">
        <f>IF('Base Encuesta'!#REF!="","",'Base Encuesta'!#REF!)</f>
        <v>#REF!</v>
      </c>
      <c r="J39" t="e">
        <f>IF(OR('Base Encuesta'!#REF!="",IFERROR(VALUE(LEFT('Base Encuesta'!#REF!,1)),"")&gt;=3),"",PROPER(TRIM('Base Encuesta'!#REF!)))</f>
        <v>#REF!</v>
      </c>
      <c r="K39" t="e">
        <f>IF(OR('Base Encuesta'!#REF!="",IFERROR(VALUE(LEFT('Base Encuesta'!#REF!,1)),"")&gt;=3),"",'Base Encuesta'!#REF!)</f>
        <v>#REF!</v>
      </c>
      <c r="L39" t="e">
        <f>IF(OR('Base Encuesta'!#REF!="",IFERROR(VALUE(LEFT('Base Encuesta'!#REF!,1)),"")&gt;=3),"",VALUE(LEFT('Base Encuesta'!#REF!,1)))</f>
        <v>#REF!</v>
      </c>
      <c r="M39" t="e">
        <f>IF(OR('Base Encuesta'!#REF!="",IFERROR(VALUE(LEFT('Base Encuesta'!#REF!,1)),"")&gt;=3),"",VALUE(LEFT('Base Encuesta'!#REF!,1)))</f>
        <v>#REF!</v>
      </c>
      <c r="N39" t="e">
        <f>IF(OR('Base Encuesta'!#REF!="",IFERROR(VALUE(LEFT('Base Encuesta'!#REF!,1)),"")&gt;=3),"",VALUE(LEFT('Base Encuesta'!#REF!,1)))</f>
        <v>#REF!</v>
      </c>
      <c r="O39" t="e">
        <f>IF(OR('Base Encuesta'!#REF!="",IFERROR(VALUE(LEFT('Base Encuesta'!#REF!,1)),"")&gt;=3),"",VALUE(LEFT('Base Encuesta'!#REF!,1)))</f>
        <v>#REF!</v>
      </c>
      <c r="P39" t="e">
        <f>IF(OR('Base Encuesta'!#REF!="",IFERROR(VALUE(LEFT('Base Encuesta'!#REF!,1)),"")&gt;=3),"",VALUE(LEFT('Base Encuesta'!#REF!,1)))</f>
        <v>#REF!</v>
      </c>
      <c r="Q39" t="e">
        <f>IF(OR('Base Encuesta'!#REF!="",IFERROR(VALUE(LEFT('Base Encuesta'!#REF!,1)),"")&gt;=3),"",VALUE(LEFT('Base Encuesta'!#REF!,1)))</f>
        <v>#REF!</v>
      </c>
      <c r="R39" t="e">
        <f>IF(OR('Base Encuesta'!#REF!="",IFERROR(VALUE(LEFT('Base Encuesta'!#REF!,1)),"")&gt;=3),"",VALUE(LEFT('Base Encuesta'!#REF!,1)))</f>
        <v>#REF!</v>
      </c>
      <c r="S39" t="e">
        <f>IF(OR('Base Encuesta'!#REF!="",IFERROR(VALUE(LEFT('Base Encuesta'!#REF!,1)),"")&gt;=3),"",VALUE(LEFT('Base Encuesta'!#REF!,1)))</f>
        <v>#REF!</v>
      </c>
      <c r="T39" t="e">
        <f>IF(OR('Base Encuesta'!#REF!="",IFERROR(VALUE(LEFT('Base Encuesta'!#REF!,1)),"")&gt;=3),"",VALUE(LEFT('Base Encuesta'!#REF!,1)))</f>
        <v>#REF!</v>
      </c>
      <c r="U39" t="e">
        <f>IF(OR('Base Encuesta'!#REF!="",IFERROR(VALUE(LEFT('Base Encuesta'!#REF!,1)),"")&gt;=3),"",VALUE(LEFT('Base Encuesta'!#REF!,1)))</f>
        <v>#REF!</v>
      </c>
      <c r="V39" t="e">
        <f>IF(OR('Base Encuesta'!#REF!="",IFERROR(VALUE(LEFT('Base Encuesta'!#REF!,1)),"")&gt;=3),"",VALUE(LEFT('Base Encuesta'!#REF!,1)))</f>
        <v>#REF!</v>
      </c>
      <c r="W39" t="e">
        <f>IF(OR('Base Encuesta'!#REF!="",IFERROR(VALUE(LEFT('Base Encuesta'!#REF!,1)),"")&gt;=3),"",VALUE(LEFT('Base Encuesta'!#REF!,1)))</f>
        <v>#REF!</v>
      </c>
      <c r="X39" t="e">
        <f>IF(OR('Base Encuesta'!#REF!="",IFERROR(VALUE(LEFT('Base Encuesta'!#REF!,1)),"")&gt;=3),"",IF(W39=1,VALUE(LEFT('Base Encuesta'!#REF!,1)),""))</f>
        <v>#REF!</v>
      </c>
      <c r="Y39" t="e">
        <f>IF(OR('Base Encuesta'!#REF!="",IFERROR(VALUE(LEFT('Base Encuesta'!#REF!,1)),"")&gt;=3),"",IF(W39=1,VALUE(LEFT('Base Encuesta'!#REF!,1)),""))</f>
        <v>#REF!</v>
      </c>
      <c r="Z39" t="e">
        <f>IF(OR('Base Encuesta'!#REF!="",IFERROR(VALUE(LEFT('Base Encuesta'!#REF!,1)),"")&gt;=3),"",IF(W39=1,VALUE(LEFT('Base Encuesta'!#REF!,1)),""))</f>
        <v>#REF!</v>
      </c>
      <c r="AA39" t="e">
        <f>IF(OR('Base Encuesta'!#REF!="",IFERROR(VALUE(LEFT('Base Encuesta'!#REF!,1)),"")&gt;=3),"",IF(W39=1,VALUE(LEFT('Base Encuesta'!#REF!,1)),""))</f>
        <v>#REF!</v>
      </c>
      <c r="AB39" t="e">
        <f>IF(OR('Base Encuesta'!#REF!="",IFERROR(VALUE(LEFT('Base Encuesta'!#REF!,1)),"")&gt;=3),"",IF(W39=1,VALUE(LEFT('Base Encuesta'!#REF!,1)),""))</f>
        <v>#REF!</v>
      </c>
      <c r="AC39" t="e">
        <f>IF(OR('Base Encuesta'!#REF!="",IFERROR(VALUE(LEFT('Base Encuesta'!#REF!,1)),"")&gt;=3),"",VALUE(LEFT('Base Encuesta'!#REF!,1)))</f>
        <v>#REF!</v>
      </c>
      <c r="AD39" t="e">
        <f>IF(OR('Base Encuesta'!#REF!="",IFERROR(VALUE(LEFT('Base Encuesta'!#REF!,1)),"")&gt;=3),"",VALUE(LEFT('Base Encuesta'!#REF!,1)))</f>
        <v>#REF!</v>
      </c>
      <c r="AE39" t="e">
        <f>IF(OR('Base Encuesta'!#REF!="",IFERROR(VALUE(LEFT('Base Encuesta'!#REF!,1)),"")&gt;=3),"",VALUE(LEFT('Base Encuesta'!#REF!,1)))</f>
        <v>#REF!</v>
      </c>
      <c r="AF39" t="e">
        <f>IF(OR('Base Encuesta'!#REF!="",IFERROR(VALUE(LEFT('Base Encuesta'!#REF!,1)),"")&gt;=3),"",VALUE(LEFT('Base Encuesta'!#REF!,1)))</f>
        <v>#REF!</v>
      </c>
      <c r="AG39" t="e">
        <f>IF(OR('Base Encuesta'!#REF!="",IFERROR(VALUE(LEFT('Base Encuesta'!#REF!,1)),"")&gt;=3),"",VALUE(LEFT('Base Encuesta'!#REF!,1)))</f>
        <v>#REF!</v>
      </c>
      <c r="AH39" t="e">
        <f>IF(OR('Base Encuesta'!#REF!="",IFERROR(VALUE(LEFT('Base Encuesta'!#REF!,1)),"")&gt;=3),"",VALUE(LEFT('Base Encuesta'!#REF!,1)))</f>
        <v>#REF!</v>
      </c>
    </row>
    <row r="40" spans="1:34">
      <c r="A40" t="e">
        <f>IF('Base Encuesta'!#REF!="","",'Base Encuesta'!#REF!)</f>
        <v>#REF!</v>
      </c>
      <c r="B40" t="e">
        <f>IF('Base Encuesta'!#REF!="","",'Base Encuesta'!#REF!)</f>
        <v>#REF!</v>
      </c>
      <c r="C40" t="e">
        <f>IF('Base Encuesta'!#REF!="","",'Base Encuesta'!#REF!)</f>
        <v>#REF!</v>
      </c>
      <c r="D40" t="e">
        <f>IF('Base Encuesta'!#REF!="","",'Base Encuesta'!#REF!)</f>
        <v>#REF!</v>
      </c>
      <c r="E40" t="e">
        <f>IF('Base Encuesta'!#REF!="","",'Base Encuesta'!#REF!)</f>
        <v>#REF!</v>
      </c>
      <c r="F40" t="e">
        <f>IF('Base Encuesta'!#REF!="","",'Base Encuesta'!#REF!)</f>
        <v>#REF!</v>
      </c>
      <c r="G40" t="e">
        <f>IF('Base Encuesta'!#REF!="","",'Base Encuesta'!#REF!)</f>
        <v>#REF!</v>
      </c>
      <c r="H40" t="e">
        <f>IF('Base Encuesta'!#REF!="","",'Base Encuesta'!#REF!)</f>
        <v>#REF!</v>
      </c>
      <c r="I40" t="e">
        <f>IF('Base Encuesta'!#REF!="","",'Base Encuesta'!#REF!)</f>
        <v>#REF!</v>
      </c>
      <c r="J40" t="e">
        <f>IF(OR('Base Encuesta'!#REF!="",IFERROR(VALUE(LEFT('Base Encuesta'!#REF!,1)),"")&gt;=3),"",PROPER(TRIM('Base Encuesta'!#REF!)))</f>
        <v>#REF!</v>
      </c>
      <c r="K40" t="e">
        <f>IF(OR('Base Encuesta'!#REF!="",IFERROR(VALUE(LEFT('Base Encuesta'!#REF!,1)),"")&gt;=3),"",'Base Encuesta'!#REF!)</f>
        <v>#REF!</v>
      </c>
      <c r="L40" t="e">
        <f>IF(OR('Base Encuesta'!#REF!="",IFERROR(VALUE(LEFT('Base Encuesta'!#REF!,1)),"")&gt;=3),"",VALUE(LEFT('Base Encuesta'!#REF!,1)))</f>
        <v>#REF!</v>
      </c>
      <c r="M40" t="e">
        <f>IF(OR('Base Encuesta'!#REF!="",IFERROR(VALUE(LEFT('Base Encuesta'!#REF!,1)),"")&gt;=3),"",VALUE(LEFT('Base Encuesta'!#REF!,1)))</f>
        <v>#REF!</v>
      </c>
      <c r="N40" t="e">
        <f>IF(OR('Base Encuesta'!#REF!="",IFERROR(VALUE(LEFT('Base Encuesta'!#REF!,1)),"")&gt;=3),"",VALUE(LEFT('Base Encuesta'!#REF!,1)))</f>
        <v>#REF!</v>
      </c>
      <c r="O40" t="e">
        <f>IF(OR('Base Encuesta'!#REF!="",IFERROR(VALUE(LEFT('Base Encuesta'!#REF!,1)),"")&gt;=3),"",VALUE(LEFT('Base Encuesta'!#REF!,1)))</f>
        <v>#REF!</v>
      </c>
      <c r="P40" t="e">
        <f>IF(OR('Base Encuesta'!#REF!="",IFERROR(VALUE(LEFT('Base Encuesta'!#REF!,1)),"")&gt;=3),"",VALUE(LEFT('Base Encuesta'!#REF!,1)))</f>
        <v>#REF!</v>
      </c>
      <c r="Q40" t="e">
        <f>IF(OR('Base Encuesta'!#REF!="",IFERROR(VALUE(LEFT('Base Encuesta'!#REF!,1)),"")&gt;=3),"",VALUE(LEFT('Base Encuesta'!#REF!,1)))</f>
        <v>#REF!</v>
      </c>
      <c r="R40" t="e">
        <f>IF(OR('Base Encuesta'!#REF!="",IFERROR(VALUE(LEFT('Base Encuesta'!#REF!,1)),"")&gt;=3),"",VALUE(LEFT('Base Encuesta'!#REF!,1)))</f>
        <v>#REF!</v>
      </c>
      <c r="S40" t="e">
        <f>IF(OR('Base Encuesta'!#REF!="",IFERROR(VALUE(LEFT('Base Encuesta'!#REF!,1)),"")&gt;=3),"",VALUE(LEFT('Base Encuesta'!#REF!,1)))</f>
        <v>#REF!</v>
      </c>
      <c r="T40" t="e">
        <f>IF(OR('Base Encuesta'!#REF!="",IFERROR(VALUE(LEFT('Base Encuesta'!#REF!,1)),"")&gt;=3),"",VALUE(LEFT('Base Encuesta'!#REF!,1)))</f>
        <v>#REF!</v>
      </c>
      <c r="U40" t="e">
        <f>IF(OR('Base Encuesta'!#REF!="",IFERROR(VALUE(LEFT('Base Encuesta'!#REF!,1)),"")&gt;=3),"",VALUE(LEFT('Base Encuesta'!#REF!,1)))</f>
        <v>#REF!</v>
      </c>
      <c r="V40" t="e">
        <f>IF(OR('Base Encuesta'!#REF!="",IFERROR(VALUE(LEFT('Base Encuesta'!#REF!,1)),"")&gt;=3),"",VALUE(LEFT('Base Encuesta'!#REF!,1)))</f>
        <v>#REF!</v>
      </c>
      <c r="W40" t="e">
        <f>IF(OR('Base Encuesta'!#REF!="",IFERROR(VALUE(LEFT('Base Encuesta'!#REF!,1)),"")&gt;=3),"",VALUE(LEFT('Base Encuesta'!#REF!,1)))</f>
        <v>#REF!</v>
      </c>
      <c r="X40" t="e">
        <f>IF(OR('Base Encuesta'!#REF!="",IFERROR(VALUE(LEFT('Base Encuesta'!#REF!,1)),"")&gt;=3),"",IF(W40=1,VALUE(LEFT('Base Encuesta'!#REF!,1)),""))</f>
        <v>#REF!</v>
      </c>
      <c r="Y40" t="e">
        <f>IF(OR('Base Encuesta'!#REF!="",IFERROR(VALUE(LEFT('Base Encuesta'!#REF!,1)),"")&gt;=3),"",IF(W40=1,VALUE(LEFT('Base Encuesta'!#REF!,1)),""))</f>
        <v>#REF!</v>
      </c>
      <c r="Z40" t="e">
        <f>IF(OR('Base Encuesta'!#REF!="",IFERROR(VALUE(LEFT('Base Encuesta'!#REF!,1)),"")&gt;=3),"",IF(W40=1,VALUE(LEFT('Base Encuesta'!#REF!,1)),""))</f>
        <v>#REF!</v>
      </c>
      <c r="AA40" t="e">
        <f>IF(OR('Base Encuesta'!#REF!="",IFERROR(VALUE(LEFT('Base Encuesta'!#REF!,1)),"")&gt;=3),"",IF(W40=1,VALUE(LEFT('Base Encuesta'!#REF!,1)),""))</f>
        <v>#REF!</v>
      </c>
      <c r="AB40" t="e">
        <f>IF(OR('Base Encuesta'!#REF!="",IFERROR(VALUE(LEFT('Base Encuesta'!#REF!,1)),"")&gt;=3),"",IF(W40=1,VALUE(LEFT('Base Encuesta'!#REF!,1)),""))</f>
        <v>#REF!</v>
      </c>
      <c r="AC40" t="e">
        <f>IF(OR('Base Encuesta'!#REF!="",IFERROR(VALUE(LEFT('Base Encuesta'!#REF!,1)),"")&gt;=3),"",VALUE(LEFT('Base Encuesta'!#REF!,1)))</f>
        <v>#REF!</v>
      </c>
      <c r="AD40" t="e">
        <f>IF(OR('Base Encuesta'!#REF!="",IFERROR(VALUE(LEFT('Base Encuesta'!#REF!,1)),"")&gt;=3),"",VALUE(LEFT('Base Encuesta'!#REF!,1)))</f>
        <v>#REF!</v>
      </c>
      <c r="AE40" t="e">
        <f>IF(OR('Base Encuesta'!#REF!="",IFERROR(VALUE(LEFT('Base Encuesta'!#REF!,1)),"")&gt;=3),"",VALUE(LEFT('Base Encuesta'!#REF!,1)))</f>
        <v>#REF!</v>
      </c>
      <c r="AF40" t="e">
        <f>IF(OR('Base Encuesta'!#REF!="",IFERROR(VALUE(LEFT('Base Encuesta'!#REF!,1)),"")&gt;=3),"",VALUE(LEFT('Base Encuesta'!#REF!,1)))</f>
        <v>#REF!</v>
      </c>
      <c r="AG40" t="e">
        <f>IF(OR('Base Encuesta'!#REF!="",IFERROR(VALUE(LEFT('Base Encuesta'!#REF!,1)),"")&gt;=3),"",VALUE(LEFT('Base Encuesta'!#REF!,1)))</f>
        <v>#REF!</v>
      </c>
      <c r="AH40" t="e">
        <f>IF(OR('Base Encuesta'!#REF!="",IFERROR(VALUE(LEFT('Base Encuesta'!#REF!,1)),"")&gt;=3),"",VALUE(LEFT('Base Encuesta'!#REF!,1)))</f>
        <v>#REF!</v>
      </c>
    </row>
    <row r="41" spans="1:34">
      <c r="A41" t="e">
        <f>IF('Base Encuesta'!#REF!="","",'Base Encuesta'!#REF!)</f>
        <v>#REF!</v>
      </c>
      <c r="B41" t="e">
        <f>IF('Base Encuesta'!#REF!="","",'Base Encuesta'!#REF!)</f>
        <v>#REF!</v>
      </c>
      <c r="C41" t="e">
        <f>IF('Base Encuesta'!#REF!="","",'Base Encuesta'!#REF!)</f>
        <v>#REF!</v>
      </c>
      <c r="D41" t="e">
        <f>IF('Base Encuesta'!#REF!="","",'Base Encuesta'!#REF!)</f>
        <v>#REF!</v>
      </c>
      <c r="E41" t="e">
        <f>IF('Base Encuesta'!#REF!="","",'Base Encuesta'!#REF!)</f>
        <v>#REF!</v>
      </c>
      <c r="F41" t="e">
        <f>IF('Base Encuesta'!#REF!="","",'Base Encuesta'!#REF!)</f>
        <v>#REF!</v>
      </c>
      <c r="G41" t="e">
        <f>IF('Base Encuesta'!#REF!="","",'Base Encuesta'!#REF!)</f>
        <v>#REF!</v>
      </c>
      <c r="H41" t="e">
        <f>IF('Base Encuesta'!#REF!="","",'Base Encuesta'!#REF!)</f>
        <v>#REF!</v>
      </c>
      <c r="I41" t="e">
        <f>IF('Base Encuesta'!#REF!="","",'Base Encuesta'!#REF!)</f>
        <v>#REF!</v>
      </c>
      <c r="J41" t="e">
        <f>IF(OR('Base Encuesta'!#REF!="",IFERROR(VALUE(LEFT('Base Encuesta'!#REF!,1)),"")&gt;=3),"",PROPER(TRIM('Base Encuesta'!#REF!)))</f>
        <v>#REF!</v>
      </c>
      <c r="K41" t="e">
        <f>IF(OR('Base Encuesta'!#REF!="",IFERROR(VALUE(LEFT('Base Encuesta'!#REF!,1)),"")&gt;=3),"",'Base Encuesta'!#REF!)</f>
        <v>#REF!</v>
      </c>
      <c r="L41" t="e">
        <f>IF(OR('Base Encuesta'!#REF!="",IFERROR(VALUE(LEFT('Base Encuesta'!#REF!,1)),"")&gt;=3),"",VALUE(LEFT('Base Encuesta'!#REF!,1)))</f>
        <v>#REF!</v>
      </c>
      <c r="M41" t="e">
        <f>IF(OR('Base Encuesta'!#REF!="",IFERROR(VALUE(LEFT('Base Encuesta'!#REF!,1)),"")&gt;=3),"",VALUE(LEFT('Base Encuesta'!#REF!,1)))</f>
        <v>#REF!</v>
      </c>
      <c r="N41" t="e">
        <f>IF(OR('Base Encuesta'!#REF!="",IFERROR(VALUE(LEFT('Base Encuesta'!#REF!,1)),"")&gt;=3),"",VALUE(LEFT('Base Encuesta'!#REF!,1)))</f>
        <v>#REF!</v>
      </c>
      <c r="O41" t="e">
        <f>IF(OR('Base Encuesta'!#REF!="",IFERROR(VALUE(LEFT('Base Encuesta'!#REF!,1)),"")&gt;=3),"",VALUE(LEFT('Base Encuesta'!#REF!,1)))</f>
        <v>#REF!</v>
      </c>
      <c r="P41" t="e">
        <f>IF(OR('Base Encuesta'!#REF!="",IFERROR(VALUE(LEFT('Base Encuesta'!#REF!,1)),"")&gt;=3),"",VALUE(LEFT('Base Encuesta'!#REF!,1)))</f>
        <v>#REF!</v>
      </c>
      <c r="Q41" t="e">
        <f>IF(OR('Base Encuesta'!#REF!="",IFERROR(VALUE(LEFT('Base Encuesta'!#REF!,1)),"")&gt;=3),"",VALUE(LEFT('Base Encuesta'!#REF!,1)))</f>
        <v>#REF!</v>
      </c>
      <c r="R41" t="e">
        <f>IF(OR('Base Encuesta'!#REF!="",IFERROR(VALUE(LEFT('Base Encuesta'!#REF!,1)),"")&gt;=3),"",VALUE(LEFT('Base Encuesta'!#REF!,1)))</f>
        <v>#REF!</v>
      </c>
      <c r="S41" t="e">
        <f>IF(OR('Base Encuesta'!#REF!="",IFERROR(VALUE(LEFT('Base Encuesta'!#REF!,1)),"")&gt;=3),"",VALUE(LEFT('Base Encuesta'!#REF!,1)))</f>
        <v>#REF!</v>
      </c>
      <c r="T41" t="e">
        <f>IF(OR('Base Encuesta'!#REF!="",IFERROR(VALUE(LEFT('Base Encuesta'!#REF!,1)),"")&gt;=3),"",VALUE(LEFT('Base Encuesta'!#REF!,1)))</f>
        <v>#REF!</v>
      </c>
      <c r="U41" t="e">
        <f>IF(OR('Base Encuesta'!#REF!="",IFERROR(VALUE(LEFT('Base Encuesta'!#REF!,1)),"")&gt;=3),"",VALUE(LEFT('Base Encuesta'!#REF!,1)))</f>
        <v>#REF!</v>
      </c>
      <c r="V41" t="e">
        <f>IF(OR('Base Encuesta'!#REF!="",IFERROR(VALUE(LEFT('Base Encuesta'!#REF!,1)),"")&gt;=3),"",VALUE(LEFT('Base Encuesta'!#REF!,1)))</f>
        <v>#REF!</v>
      </c>
      <c r="W41" t="e">
        <f>IF(OR('Base Encuesta'!#REF!="",IFERROR(VALUE(LEFT('Base Encuesta'!#REF!,1)),"")&gt;=3),"",VALUE(LEFT('Base Encuesta'!#REF!,1)))</f>
        <v>#REF!</v>
      </c>
      <c r="X41" t="e">
        <f>IF(OR('Base Encuesta'!#REF!="",IFERROR(VALUE(LEFT('Base Encuesta'!#REF!,1)),"")&gt;=3),"",IF(W41=1,VALUE(LEFT('Base Encuesta'!#REF!,1)),""))</f>
        <v>#REF!</v>
      </c>
      <c r="Y41" t="e">
        <f>IF(OR('Base Encuesta'!#REF!="",IFERROR(VALUE(LEFT('Base Encuesta'!#REF!,1)),"")&gt;=3),"",IF(W41=1,VALUE(LEFT('Base Encuesta'!#REF!,1)),""))</f>
        <v>#REF!</v>
      </c>
      <c r="Z41" t="e">
        <f>IF(OR('Base Encuesta'!#REF!="",IFERROR(VALUE(LEFT('Base Encuesta'!#REF!,1)),"")&gt;=3),"",IF(W41=1,VALUE(LEFT('Base Encuesta'!#REF!,1)),""))</f>
        <v>#REF!</v>
      </c>
      <c r="AA41" t="e">
        <f>IF(OR('Base Encuesta'!#REF!="",IFERROR(VALUE(LEFT('Base Encuesta'!#REF!,1)),"")&gt;=3),"",IF(W41=1,VALUE(LEFT('Base Encuesta'!#REF!,1)),""))</f>
        <v>#REF!</v>
      </c>
      <c r="AB41" t="e">
        <f>IF(OR('Base Encuesta'!#REF!="",IFERROR(VALUE(LEFT('Base Encuesta'!#REF!,1)),"")&gt;=3),"",IF(W41=1,VALUE(LEFT('Base Encuesta'!#REF!,1)),""))</f>
        <v>#REF!</v>
      </c>
      <c r="AC41" t="e">
        <f>IF(OR('Base Encuesta'!#REF!="",IFERROR(VALUE(LEFT('Base Encuesta'!#REF!,1)),"")&gt;=3),"",VALUE(LEFT('Base Encuesta'!#REF!,1)))</f>
        <v>#REF!</v>
      </c>
      <c r="AD41" t="e">
        <f>IF(OR('Base Encuesta'!#REF!="",IFERROR(VALUE(LEFT('Base Encuesta'!#REF!,1)),"")&gt;=3),"",VALUE(LEFT('Base Encuesta'!#REF!,1)))</f>
        <v>#REF!</v>
      </c>
      <c r="AE41" t="e">
        <f>IF(OR('Base Encuesta'!#REF!="",IFERROR(VALUE(LEFT('Base Encuesta'!#REF!,1)),"")&gt;=3),"",VALUE(LEFT('Base Encuesta'!#REF!,1)))</f>
        <v>#REF!</v>
      </c>
      <c r="AF41" t="e">
        <f>IF(OR('Base Encuesta'!#REF!="",IFERROR(VALUE(LEFT('Base Encuesta'!#REF!,1)),"")&gt;=3),"",VALUE(LEFT('Base Encuesta'!#REF!,1)))</f>
        <v>#REF!</v>
      </c>
      <c r="AG41" t="e">
        <f>IF(OR('Base Encuesta'!#REF!="",IFERROR(VALUE(LEFT('Base Encuesta'!#REF!,1)),"")&gt;=3),"",VALUE(LEFT('Base Encuesta'!#REF!,1)))</f>
        <v>#REF!</v>
      </c>
      <c r="AH41" t="e">
        <f>IF(OR('Base Encuesta'!#REF!="",IFERROR(VALUE(LEFT('Base Encuesta'!#REF!,1)),"")&gt;=3),"",VALUE(LEFT('Base Encuesta'!#REF!,1)))</f>
        <v>#REF!</v>
      </c>
    </row>
    <row r="42" spans="1:34">
      <c r="A42" t="e">
        <f>IF('Base Encuesta'!#REF!="","",'Base Encuesta'!#REF!)</f>
        <v>#REF!</v>
      </c>
      <c r="B42" t="e">
        <f>IF('Base Encuesta'!#REF!="","",'Base Encuesta'!#REF!)</f>
        <v>#REF!</v>
      </c>
      <c r="C42" t="e">
        <f>IF('Base Encuesta'!#REF!="","",'Base Encuesta'!#REF!)</f>
        <v>#REF!</v>
      </c>
      <c r="D42" t="e">
        <f>IF('Base Encuesta'!#REF!="","",'Base Encuesta'!#REF!)</f>
        <v>#REF!</v>
      </c>
      <c r="E42" t="e">
        <f>IF('Base Encuesta'!#REF!="","",'Base Encuesta'!#REF!)</f>
        <v>#REF!</v>
      </c>
      <c r="F42" t="e">
        <f>IF('Base Encuesta'!#REF!="","",'Base Encuesta'!#REF!)</f>
        <v>#REF!</v>
      </c>
      <c r="G42" t="e">
        <f>IF('Base Encuesta'!#REF!="","",'Base Encuesta'!#REF!)</f>
        <v>#REF!</v>
      </c>
      <c r="H42" t="e">
        <f>IF('Base Encuesta'!#REF!="","",'Base Encuesta'!#REF!)</f>
        <v>#REF!</v>
      </c>
      <c r="I42" t="e">
        <f>IF('Base Encuesta'!#REF!="","",'Base Encuesta'!#REF!)</f>
        <v>#REF!</v>
      </c>
      <c r="J42" t="e">
        <f>IF(OR('Base Encuesta'!#REF!="",IFERROR(VALUE(LEFT('Base Encuesta'!#REF!,1)),"")&gt;=3),"",PROPER(TRIM('Base Encuesta'!#REF!)))</f>
        <v>#REF!</v>
      </c>
      <c r="K42" t="e">
        <f>IF(OR('Base Encuesta'!#REF!="",IFERROR(VALUE(LEFT('Base Encuesta'!#REF!,1)),"")&gt;=3),"",'Base Encuesta'!#REF!)</f>
        <v>#REF!</v>
      </c>
      <c r="L42" t="e">
        <f>IF(OR('Base Encuesta'!#REF!="",IFERROR(VALUE(LEFT('Base Encuesta'!#REF!,1)),"")&gt;=3),"",VALUE(LEFT('Base Encuesta'!#REF!,1)))</f>
        <v>#REF!</v>
      </c>
      <c r="M42" t="e">
        <f>IF(OR('Base Encuesta'!#REF!="",IFERROR(VALUE(LEFT('Base Encuesta'!#REF!,1)),"")&gt;=3),"",VALUE(LEFT('Base Encuesta'!#REF!,1)))</f>
        <v>#REF!</v>
      </c>
      <c r="N42" t="e">
        <f>IF(OR('Base Encuesta'!#REF!="",IFERROR(VALUE(LEFT('Base Encuesta'!#REF!,1)),"")&gt;=3),"",VALUE(LEFT('Base Encuesta'!#REF!,1)))</f>
        <v>#REF!</v>
      </c>
      <c r="O42" t="e">
        <f>IF(OR('Base Encuesta'!#REF!="",IFERROR(VALUE(LEFT('Base Encuesta'!#REF!,1)),"")&gt;=3),"",VALUE(LEFT('Base Encuesta'!#REF!,1)))</f>
        <v>#REF!</v>
      </c>
      <c r="P42" t="e">
        <f>IF(OR('Base Encuesta'!#REF!="",IFERROR(VALUE(LEFT('Base Encuesta'!#REF!,1)),"")&gt;=3),"",VALUE(LEFT('Base Encuesta'!#REF!,1)))</f>
        <v>#REF!</v>
      </c>
      <c r="Q42" t="e">
        <f>IF(OR('Base Encuesta'!#REF!="",IFERROR(VALUE(LEFT('Base Encuesta'!#REF!,1)),"")&gt;=3),"",VALUE(LEFT('Base Encuesta'!#REF!,1)))</f>
        <v>#REF!</v>
      </c>
      <c r="R42" t="e">
        <f>IF(OR('Base Encuesta'!#REF!="",IFERROR(VALUE(LEFT('Base Encuesta'!#REF!,1)),"")&gt;=3),"",VALUE(LEFT('Base Encuesta'!#REF!,1)))</f>
        <v>#REF!</v>
      </c>
      <c r="S42" t="e">
        <f>IF(OR('Base Encuesta'!#REF!="",IFERROR(VALUE(LEFT('Base Encuesta'!#REF!,1)),"")&gt;=3),"",VALUE(LEFT('Base Encuesta'!#REF!,1)))</f>
        <v>#REF!</v>
      </c>
      <c r="T42" t="e">
        <f>IF(OR('Base Encuesta'!#REF!="",IFERROR(VALUE(LEFT('Base Encuesta'!#REF!,1)),"")&gt;=3),"",VALUE(LEFT('Base Encuesta'!#REF!,1)))</f>
        <v>#REF!</v>
      </c>
      <c r="U42" t="e">
        <f>IF(OR('Base Encuesta'!#REF!="",IFERROR(VALUE(LEFT('Base Encuesta'!#REF!,1)),"")&gt;=3),"",VALUE(LEFT('Base Encuesta'!#REF!,1)))</f>
        <v>#REF!</v>
      </c>
      <c r="V42" t="e">
        <f>IF(OR('Base Encuesta'!#REF!="",IFERROR(VALUE(LEFT('Base Encuesta'!#REF!,1)),"")&gt;=3),"",VALUE(LEFT('Base Encuesta'!#REF!,1)))</f>
        <v>#REF!</v>
      </c>
      <c r="W42" t="e">
        <f>IF(OR('Base Encuesta'!#REF!="",IFERROR(VALUE(LEFT('Base Encuesta'!#REF!,1)),"")&gt;=3),"",VALUE(LEFT('Base Encuesta'!#REF!,1)))</f>
        <v>#REF!</v>
      </c>
      <c r="X42" t="e">
        <f>IF(OR('Base Encuesta'!#REF!="",IFERROR(VALUE(LEFT('Base Encuesta'!#REF!,1)),"")&gt;=3),"",IF(W42=1,VALUE(LEFT('Base Encuesta'!#REF!,1)),""))</f>
        <v>#REF!</v>
      </c>
      <c r="Y42" t="e">
        <f>IF(OR('Base Encuesta'!#REF!="",IFERROR(VALUE(LEFT('Base Encuesta'!#REF!,1)),"")&gt;=3),"",IF(W42=1,VALUE(LEFT('Base Encuesta'!#REF!,1)),""))</f>
        <v>#REF!</v>
      </c>
      <c r="Z42" t="e">
        <f>IF(OR('Base Encuesta'!#REF!="",IFERROR(VALUE(LEFT('Base Encuesta'!#REF!,1)),"")&gt;=3),"",IF(W42=1,VALUE(LEFT('Base Encuesta'!#REF!,1)),""))</f>
        <v>#REF!</v>
      </c>
      <c r="AA42" t="e">
        <f>IF(OR('Base Encuesta'!#REF!="",IFERROR(VALUE(LEFT('Base Encuesta'!#REF!,1)),"")&gt;=3),"",IF(W42=1,VALUE(LEFT('Base Encuesta'!#REF!,1)),""))</f>
        <v>#REF!</v>
      </c>
      <c r="AB42" t="e">
        <f>IF(OR('Base Encuesta'!#REF!="",IFERROR(VALUE(LEFT('Base Encuesta'!#REF!,1)),"")&gt;=3),"",IF(W42=1,VALUE(LEFT('Base Encuesta'!#REF!,1)),""))</f>
        <v>#REF!</v>
      </c>
      <c r="AC42" t="e">
        <f>IF(OR('Base Encuesta'!#REF!="",IFERROR(VALUE(LEFT('Base Encuesta'!#REF!,1)),"")&gt;=3),"",VALUE(LEFT('Base Encuesta'!#REF!,1)))</f>
        <v>#REF!</v>
      </c>
      <c r="AD42" t="e">
        <f>IF(OR('Base Encuesta'!#REF!="",IFERROR(VALUE(LEFT('Base Encuesta'!#REF!,1)),"")&gt;=3),"",VALUE(LEFT('Base Encuesta'!#REF!,1)))</f>
        <v>#REF!</v>
      </c>
      <c r="AE42" t="e">
        <f>IF(OR('Base Encuesta'!#REF!="",IFERROR(VALUE(LEFT('Base Encuesta'!#REF!,1)),"")&gt;=3),"",VALUE(LEFT('Base Encuesta'!#REF!,1)))</f>
        <v>#REF!</v>
      </c>
      <c r="AF42" t="e">
        <f>IF(OR('Base Encuesta'!#REF!="",IFERROR(VALUE(LEFT('Base Encuesta'!#REF!,1)),"")&gt;=3),"",VALUE(LEFT('Base Encuesta'!#REF!,1)))</f>
        <v>#REF!</v>
      </c>
      <c r="AG42" t="e">
        <f>IF(OR('Base Encuesta'!#REF!="",IFERROR(VALUE(LEFT('Base Encuesta'!#REF!,1)),"")&gt;=3),"",VALUE(LEFT('Base Encuesta'!#REF!,1)))</f>
        <v>#REF!</v>
      </c>
      <c r="AH42" t="e">
        <f>IF(OR('Base Encuesta'!#REF!="",IFERROR(VALUE(LEFT('Base Encuesta'!#REF!,1)),"")&gt;=3),"",VALUE(LEFT('Base Encuesta'!#REF!,1)))</f>
        <v>#REF!</v>
      </c>
    </row>
    <row r="43" spans="1:34">
      <c r="A43" t="e">
        <f>IF('Base Encuesta'!#REF!="","",'Base Encuesta'!#REF!)</f>
        <v>#REF!</v>
      </c>
      <c r="B43" t="e">
        <f>IF('Base Encuesta'!#REF!="","",'Base Encuesta'!#REF!)</f>
        <v>#REF!</v>
      </c>
      <c r="C43" t="e">
        <f>IF('Base Encuesta'!#REF!="","",'Base Encuesta'!#REF!)</f>
        <v>#REF!</v>
      </c>
      <c r="D43" t="e">
        <f>IF('Base Encuesta'!#REF!="","",'Base Encuesta'!#REF!)</f>
        <v>#REF!</v>
      </c>
      <c r="E43" t="e">
        <f>IF('Base Encuesta'!#REF!="","",'Base Encuesta'!#REF!)</f>
        <v>#REF!</v>
      </c>
      <c r="F43" t="e">
        <f>IF('Base Encuesta'!#REF!="","",'Base Encuesta'!#REF!)</f>
        <v>#REF!</v>
      </c>
      <c r="G43" t="e">
        <f>IF('Base Encuesta'!#REF!="","",'Base Encuesta'!#REF!)</f>
        <v>#REF!</v>
      </c>
      <c r="H43" t="e">
        <f>IF('Base Encuesta'!#REF!="","",'Base Encuesta'!#REF!)</f>
        <v>#REF!</v>
      </c>
      <c r="I43" t="e">
        <f>IF('Base Encuesta'!#REF!="","",'Base Encuesta'!#REF!)</f>
        <v>#REF!</v>
      </c>
      <c r="J43" t="e">
        <f>IF(OR('Base Encuesta'!#REF!="",IFERROR(VALUE(LEFT('Base Encuesta'!#REF!,1)),"")&gt;=3),"",PROPER(TRIM('Base Encuesta'!#REF!)))</f>
        <v>#REF!</v>
      </c>
      <c r="K43" t="e">
        <f>IF(OR('Base Encuesta'!#REF!="",IFERROR(VALUE(LEFT('Base Encuesta'!#REF!,1)),"")&gt;=3),"",'Base Encuesta'!#REF!)</f>
        <v>#REF!</v>
      </c>
      <c r="L43" t="e">
        <f>IF(OR('Base Encuesta'!#REF!="",IFERROR(VALUE(LEFT('Base Encuesta'!#REF!,1)),"")&gt;=3),"",VALUE(LEFT('Base Encuesta'!#REF!,1)))</f>
        <v>#REF!</v>
      </c>
      <c r="M43" t="e">
        <f>IF(OR('Base Encuesta'!#REF!="",IFERROR(VALUE(LEFT('Base Encuesta'!#REF!,1)),"")&gt;=3),"",VALUE(LEFT('Base Encuesta'!#REF!,1)))</f>
        <v>#REF!</v>
      </c>
      <c r="N43" t="e">
        <f>IF(OR('Base Encuesta'!#REF!="",IFERROR(VALUE(LEFT('Base Encuesta'!#REF!,1)),"")&gt;=3),"",VALUE(LEFT('Base Encuesta'!#REF!,1)))</f>
        <v>#REF!</v>
      </c>
      <c r="O43" t="e">
        <f>IF(OR('Base Encuesta'!#REF!="",IFERROR(VALUE(LEFT('Base Encuesta'!#REF!,1)),"")&gt;=3),"",VALUE(LEFT('Base Encuesta'!#REF!,1)))</f>
        <v>#REF!</v>
      </c>
      <c r="P43" t="e">
        <f>IF(OR('Base Encuesta'!#REF!="",IFERROR(VALUE(LEFT('Base Encuesta'!#REF!,1)),"")&gt;=3),"",VALUE(LEFT('Base Encuesta'!#REF!,1)))</f>
        <v>#REF!</v>
      </c>
      <c r="Q43" t="e">
        <f>IF(OR('Base Encuesta'!#REF!="",IFERROR(VALUE(LEFT('Base Encuesta'!#REF!,1)),"")&gt;=3),"",VALUE(LEFT('Base Encuesta'!#REF!,1)))</f>
        <v>#REF!</v>
      </c>
      <c r="R43" t="e">
        <f>IF(OR('Base Encuesta'!#REF!="",IFERROR(VALUE(LEFT('Base Encuesta'!#REF!,1)),"")&gt;=3),"",VALUE(LEFT('Base Encuesta'!#REF!,1)))</f>
        <v>#REF!</v>
      </c>
      <c r="S43" t="e">
        <f>IF(OR('Base Encuesta'!#REF!="",IFERROR(VALUE(LEFT('Base Encuesta'!#REF!,1)),"")&gt;=3),"",VALUE(LEFT('Base Encuesta'!#REF!,1)))</f>
        <v>#REF!</v>
      </c>
      <c r="T43" t="e">
        <f>IF(OR('Base Encuesta'!#REF!="",IFERROR(VALUE(LEFT('Base Encuesta'!#REF!,1)),"")&gt;=3),"",VALUE(LEFT('Base Encuesta'!#REF!,1)))</f>
        <v>#REF!</v>
      </c>
      <c r="U43" t="e">
        <f>IF(OR('Base Encuesta'!#REF!="",IFERROR(VALUE(LEFT('Base Encuesta'!#REF!,1)),"")&gt;=3),"",VALUE(LEFT('Base Encuesta'!#REF!,1)))</f>
        <v>#REF!</v>
      </c>
      <c r="V43" t="e">
        <f>IF(OR('Base Encuesta'!#REF!="",IFERROR(VALUE(LEFT('Base Encuesta'!#REF!,1)),"")&gt;=3),"",VALUE(LEFT('Base Encuesta'!#REF!,1)))</f>
        <v>#REF!</v>
      </c>
      <c r="W43" t="e">
        <f>IF(OR('Base Encuesta'!#REF!="",IFERROR(VALUE(LEFT('Base Encuesta'!#REF!,1)),"")&gt;=3),"",VALUE(LEFT('Base Encuesta'!#REF!,1)))</f>
        <v>#REF!</v>
      </c>
      <c r="X43" t="e">
        <f>IF(OR('Base Encuesta'!#REF!="",IFERROR(VALUE(LEFT('Base Encuesta'!#REF!,1)),"")&gt;=3),"",IF(W43=1,VALUE(LEFT('Base Encuesta'!#REF!,1)),""))</f>
        <v>#REF!</v>
      </c>
      <c r="Y43" t="e">
        <f>IF(OR('Base Encuesta'!#REF!="",IFERROR(VALUE(LEFT('Base Encuesta'!#REF!,1)),"")&gt;=3),"",IF(W43=1,VALUE(LEFT('Base Encuesta'!#REF!,1)),""))</f>
        <v>#REF!</v>
      </c>
      <c r="Z43" t="e">
        <f>IF(OR('Base Encuesta'!#REF!="",IFERROR(VALUE(LEFT('Base Encuesta'!#REF!,1)),"")&gt;=3),"",IF(W43=1,VALUE(LEFT('Base Encuesta'!#REF!,1)),""))</f>
        <v>#REF!</v>
      </c>
      <c r="AA43" t="e">
        <f>IF(OR('Base Encuesta'!#REF!="",IFERROR(VALUE(LEFT('Base Encuesta'!#REF!,1)),"")&gt;=3),"",IF(W43=1,VALUE(LEFT('Base Encuesta'!#REF!,1)),""))</f>
        <v>#REF!</v>
      </c>
      <c r="AB43" t="e">
        <f>IF(OR('Base Encuesta'!#REF!="",IFERROR(VALUE(LEFT('Base Encuesta'!#REF!,1)),"")&gt;=3),"",IF(W43=1,VALUE(LEFT('Base Encuesta'!#REF!,1)),""))</f>
        <v>#REF!</v>
      </c>
      <c r="AC43" t="e">
        <f>IF(OR('Base Encuesta'!#REF!="",IFERROR(VALUE(LEFT('Base Encuesta'!#REF!,1)),"")&gt;=3),"",VALUE(LEFT('Base Encuesta'!#REF!,1)))</f>
        <v>#REF!</v>
      </c>
      <c r="AD43" t="e">
        <f>IF(OR('Base Encuesta'!#REF!="",IFERROR(VALUE(LEFT('Base Encuesta'!#REF!,1)),"")&gt;=3),"",VALUE(LEFT('Base Encuesta'!#REF!,1)))</f>
        <v>#REF!</v>
      </c>
      <c r="AE43" t="e">
        <f>IF(OR('Base Encuesta'!#REF!="",IFERROR(VALUE(LEFT('Base Encuesta'!#REF!,1)),"")&gt;=3),"",VALUE(LEFT('Base Encuesta'!#REF!,1)))</f>
        <v>#REF!</v>
      </c>
      <c r="AF43" t="e">
        <f>IF(OR('Base Encuesta'!#REF!="",IFERROR(VALUE(LEFT('Base Encuesta'!#REF!,1)),"")&gt;=3),"",VALUE(LEFT('Base Encuesta'!#REF!,1)))</f>
        <v>#REF!</v>
      </c>
      <c r="AG43" t="e">
        <f>IF(OR('Base Encuesta'!#REF!="",IFERROR(VALUE(LEFT('Base Encuesta'!#REF!,1)),"")&gt;=3),"",VALUE(LEFT('Base Encuesta'!#REF!,1)))</f>
        <v>#REF!</v>
      </c>
      <c r="AH43" t="e">
        <f>IF(OR('Base Encuesta'!#REF!="",IFERROR(VALUE(LEFT('Base Encuesta'!#REF!,1)),"")&gt;=3),"",VALUE(LEFT('Base Encuesta'!#REF!,1)))</f>
        <v>#REF!</v>
      </c>
    </row>
    <row r="44" spans="1:34">
      <c r="A44" t="e">
        <f>IF('Base Encuesta'!#REF!="","",'Base Encuesta'!#REF!)</f>
        <v>#REF!</v>
      </c>
      <c r="B44" t="e">
        <f>IF('Base Encuesta'!#REF!="","",'Base Encuesta'!#REF!)</f>
        <v>#REF!</v>
      </c>
      <c r="C44" t="e">
        <f>IF('Base Encuesta'!#REF!="","",'Base Encuesta'!#REF!)</f>
        <v>#REF!</v>
      </c>
      <c r="D44" t="e">
        <f>IF('Base Encuesta'!#REF!="","",'Base Encuesta'!#REF!)</f>
        <v>#REF!</v>
      </c>
      <c r="E44" t="e">
        <f>IF('Base Encuesta'!#REF!="","",'Base Encuesta'!#REF!)</f>
        <v>#REF!</v>
      </c>
      <c r="F44" t="e">
        <f>IF('Base Encuesta'!#REF!="","",'Base Encuesta'!#REF!)</f>
        <v>#REF!</v>
      </c>
      <c r="G44" t="e">
        <f>IF('Base Encuesta'!#REF!="","",'Base Encuesta'!#REF!)</f>
        <v>#REF!</v>
      </c>
      <c r="H44" t="e">
        <f>IF('Base Encuesta'!#REF!="","",'Base Encuesta'!#REF!)</f>
        <v>#REF!</v>
      </c>
      <c r="I44" t="e">
        <f>IF('Base Encuesta'!#REF!="","",'Base Encuesta'!#REF!)</f>
        <v>#REF!</v>
      </c>
      <c r="J44" t="e">
        <f>IF(OR('Base Encuesta'!#REF!="",IFERROR(VALUE(LEFT('Base Encuesta'!#REF!,1)),"")&gt;=3),"",PROPER(TRIM('Base Encuesta'!#REF!)))</f>
        <v>#REF!</v>
      </c>
      <c r="K44" t="e">
        <f>IF(OR('Base Encuesta'!#REF!="",IFERROR(VALUE(LEFT('Base Encuesta'!#REF!,1)),"")&gt;=3),"",'Base Encuesta'!#REF!)</f>
        <v>#REF!</v>
      </c>
      <c r="L44" t="e">
        <f>IF(OR('Base Encuesta'!#REF!="",IFERROR(VALUE(LEFT('Base Encuesta'!#REF!,1)),"")&gt;=3),"",VALUE(LEFT('Base Encuesta'!#REF!,1)))</f>
        <v>#REF!</v>
      </c>
      <c r="M44" t="e">
        <f>IF(OR('Base Encuesta'!#REF!="",IFERROR(VALUE(LEFT('Base Encuesta'!#REF!,1)),"")&gt;=3),"",VALUE(LEFT('Base Encuesta'!#REF!,1)))</f>
        <v>#REF!</v>
      </c>
      <c r="N44" t="e">
        <f>IF(OR('Base Encuesta'!#REF!="",IFERROR(VALUE(LEFT('Base Encuesta'!#REF!,1)),"")&gt;=3),"",VALUE(LEFT('Base Encuesta'!#REF!,1)))</f>
        <v>#REF!</v>
      </c>
      <c r="O44" t="e">
        <f>IF(OR('Base Encuesta'!#REF!="",IFERROR(VALUE(LEFT('Base Encuesta'!#REF!,1)),"")&gt;=3),"",VALUE(LEFT('Base Encuesta'!#REF!,1)))</f>
        <v>#REF!</v>
      </c>
      <c r="P44" t="e">
        <f>IF(OR('Base Encuesta'!#REF!="",IFERROR(VALUE(LEFT('Base Encuesta'!#REF!,1)),"")&gt;=3),"",VALUE(LEFT('Base Encuesta'!#REF!,1)))</f>
        <v>#REF!</v>
      </c>
      <c r="Q44" t="e">
        <f>IF(OR('Base Encuesta'!#REF!="",IFERROR(VALUE(LEFT('Base Encuesta'!#REF!,1)),"")&gt;=3),"",VALUE(LEFT('Base Encuesta'!#REF!,1)))</f>
        <v>#REF!</v>
      </c>
      <c r="R44" t="e">
        <f>IF(OR('Base Encuesta'!#REF!="",IFERROR(VALUE(LEFT('Base Encuesta'!#REF!,1)),"")&gt;=3),"",VALUE(LEFT('Base Encuesta'!#REF!,1)))</f>
        <v>#REF!</v>
      </c>
      <c r="S44" t="e">
        <f>IF(OR('Base Encuesta'!#REF!="",IFERROR(VALUE(LEFT('Base Encuesta'!#REF!,1)),"")&gt;=3),"",VALUE(LEFT('Base Encuesta'!#REF!,1)))</f>
        <v>#REF!</v>
      </c>
      <c r="T44" t="e">
        <f>IF(OR('Base Encuesta'!#REF!="",IFERROR(VALUE(LEFT('Base Encuesta'!#REF!,1)),"")&gt;=3),"",VALUE(LEFT('Base Encuesta'!#REF!,1)))</f>
        <v>#REF!</v>
      </c>
      <c r="U44" t="e">
        <f>IF(OR('Base Encuesta'!#REF!="",IFERROR(VALUE(LEFT('Base Encuesta'!#REF!,1)),"")&gt;=3),"",VALUE(LEFT('Base Encuesta'!#REF!,1)))</f>
        <v>#REF!</v>
      </c>
      <c r="V44" t="e">
        <f>IF(OR('Base Encuesta'!#REF!="",IFERROR(VALUE(LEFT('Base Encuesta'!#REF!,1)),"")&gt;=3),"",VALUE(LEFT('Base Encuesta'!#REF!,1)))</f>
        <v>#REF!</v>
      </c>
      <c r="W44" t="e">
        <f>IF(OR('Base Encuesta'!#REF!="",IFERROR(VALUE(LEFT('Base Encuesta'!#REF!,1)),"")&gt;=3),"",VALUE(LEFT('Base Encuesta'!#REF!,1)))</f>
        <v>#REF!</v>
      </c>
      <c r="X44" t="e">
        <f>IF(OR('Base Encuesta'!#REF!="",IFERROR(VALUE(LEFT('Base Encuesta'!#REF!,1)),"")&gt;=3),"",IF(W44=1,VALUE(LEFT('Base Encuesta'!#REF!,1)),""))</f>
        <v>#REF!</v>
      </c>
      <c r="Y44" t="e">
        <f>IF(OR('Base Encuesta'!#REF!="",IFERROR(VALUE(LEFT('Base Encuesta'!#REF!,1)),"")&gt;=3),"",IF(W44=1,VALUE(LEFT('Base Encuesta'!#REF!,1)),""))</f>
        <v>#REF!</v>
      </c>
      <c r="Z44" t="e">
        <f>IF(OR('Base Encuesta'!#REF!="",IFERROR(VALUE(LEFT('Base Encuesta'!#REF!,1)),"")&gt;=3),"",IF(W44=1,VALUE(LEFT('Base Encuesta'!#REF!,1)),""))</f>
        <v>#REF!</v>
      </c>
      <c r="AA44" t="e">
        <f>IF(OR('Base Encuesta'!#REF!="",IFERROR(VALUE(LEFT('Base Encuesta'!#REF!,1)),"")&gt;=3),"",IF(W44=1,VALUE(LEFT('Base Encuesta'!#REF!,1)),""))</f>
        <v>#REF!</v>
      </c>
      <c r="AB44" t="e">
        <f>IF(OR('Base Encuesta'!#REF!="",IFERROR(VALUE(LEFT('Base Encuesta'!#REF!,1)),"")&gt;=3),"",IF(W44=1,VALUE(LEFT('Base Encuesta'!#REF!,1)),""))</f>
        <v>#REF!</v>
      </c>
      <c r="AC44" t="e">
        <f>IF(OR('Base Encuesta'!#REF!="",IFERROR(VALUE(LEFT('Base Encuesta'!#REF!,1)),"")&gt;=3),"",VALUE(LEFT('Base Encuesta'!#REF!,1)))</f>
        <v>#REF!</v>
      </c>
      <c r="AD44" t="e">
        <f>IF(OR('Base Encuesta'!#REF!="",IFERROR(VALUE(LEFT('Base Encuesta'!#REF!,1)),"")&gt;=3),"",VALUE(LEFT('Base Encuesta'!#REF!,1)))</f>
        <v>#REF!</v>
      </c>
      <c r="AE44" t="e">
        <f>IF(OR('Base Encuesta'!#REF!="",IFERROR(VALUE(LEFT('Base Encuesta'!#REF!,1)),"")&gt;=3),"",VALUE(LEFT('Base Encuesta'!#REF!,1)))</f>
        <v>#REF!</v>
      </c>
      <c r="AF44" t="e">
        <f>IF(OR('Base Encuesta'!#REF!="",IFERROR(VALUE(LEFT('Base Encuesta'!#REF!,1)),"")&gt;=3),"",VALUE(LEFT('Base Encuesta'!#REF!,1)))</f>
        <v>#REF!</v>
      </c>
      <c r="AG44" t="e">
        <f>IF(OR('Base Encuesta'!#REF!="",IFERROR(VALUE(LEFT('Base Encuesta'!#REF!,1)),"")&gt;=3),"",VALUE(LEFT('Base Encuesta'!#REF!,1)))</f>
        <v>#REF!</v>
      </c>
      <c r="AH44" t="e">
        <f>IF(OR('Base Encuesta'!#REF!="",IFERROR(VALUE(LEFT('Base Encuesta'!#REF!,1)),"")&gt;=3),"",VALUE(LEFT('Base Encuesta'!#REF!,1)))</f>
        <v>#REF!</v>
      </c>
    </row>
    <row r="45" spans="1:34">
      <c r="A45" t="e">
        <f>IF('Base Encuesta'!#REF!="","",'Base Encuesta'!#REF!)</f>
        <v>#REF!</v>
      </c>
      <c r="B45" t="e">
        <f>IF('Base Encuesta'!#REF!="","",'Base Encuesta'!#REF!)</f>
        <v>#REF!</v>
      </c>
      <c r="C45" t="e">
        <f>IF('Base Encuesta'!#REF!="","",'Base Encuesta'!#REF!)</f>
        <v>#REF!</v>
      </c>
      <c r="D45" t="e">
        <f>IF('Base Encuesta'!#REF!="","",'Base Encuesta'!#REF!)</f>
        <v>#REF!</v>
      </c>
      <c r="E45" t="e">
        <f>IF('Base Encuesta'!#REF!="","",'Base Encuesta'!#REF!)</f>
        <v>#REF!</v>
      </c>
      <c r="F45" t="e">
        <f>IF('Base Encuesta'!#REF!="","",'Base Encuesta'!#REF!)</f>
        <v>#REF!</v>
      </c>
      <c r="G45" t="e">
        <f>IF('Base Encuesta'!#REF!="","",'Base Encuesta'!#REF!)</f>
        <v>#REF!</v>
      </c>
      <c r="H45" t="e">
        <f>IF('Base Encuesta'!#REF!="","",'Base Encuesta'!#REF!)</f>
        <v>#REF!</v>
      </c>
      <c r="I45" t="e">
        <f>IF('Base Encuesta'!#REF!="","",'Base Encuesta'!#REF!)</f>
        <v>#REF!</v>
      </c>
      <c r="J45" t="e">
        <f>IF(OR('Base Encuesta'!#REF!="",IFERROR(VALUE(LEFT('Base Encuesta'!#REF!,1)),"")&gt;=3),"",PROPER(TRIM('Base Encuesta'!#REF!)))</f>
        <v>#REF!</v>
      </c>
      <c r="K45" t="e">
        <f>IF(OR('Base Encuesta'!#REF!="",IFERROR(VALUE(LEFT('Base Encuesta'!#REF!,1)),"")&gt;=3),"",'Base Encuesta'!#REF!)</f>
        <v>#REF!</v>
      </c>
      <c r="L45" t="e">
        <f>IF(OR('Base Encuesta'!#REF!="",IFERROR(VALUE(LEFT('Base Encuesta'!#REF!,1)),"")&gt;=3),"",VALUE(LEFT('Base Encuesta'!#REF!,1)))</f>
        <v>#REF!</v>
      </c>
      <c r="M45" t="e">
        <f>IF(OR('Base Encuesta'!#REF!="",IFERROR(VALUE(LEFT('Base Encuesta'!#REF!,1)),"")&gt;=3),"",VALUE(LEFT('Base Encuesta'!#REF!,1)))</f>
        <v>#REF!</v>
      </c>
      <c r="N45" t="e">
        <f>IF(OR('Base Encuesta'!#REF!="",IFERROR(VALUE(LEFT('Base Encuesta'!#REF!,1)),"")&gt;=3),"",VALUE(LEFT('Base Encuesta'!#REF!,1)))</f>
        <v>#REF!</v>
      </c>
      <c r="O45" t="e">
        <f>IF(OR('Base Encuesta'!#REF!="",IFERROR(VALUE(LEFT('Base Encuesta'!#REF!,1)),"")&gt;=3),"",VALUE(LEFT('Base Encuesta'!#REF!,1)))</f>
        <v>#REF!</v>
      </c>
      <c r="P45" t="e">
        <f>IF(OR('Base Encuesta'!#REF!="",IFERROR(VALUE(LEFT('Base Encuesta'!#REF!,1)),"")&gt;=3),"",VALUE(LEFT('Base Encuesta'!#REF!,1)))</f>
        <v>#REF!</v>
      </c>
      <c r="Q45" t="e">
        <f>IF(OR('Base Encuesta'!#REF!="",IFERROR(VALUE(LEFT('Base Encuesta'!#REF!,1)),"")&gt;=3),"",VALUE(LEFT('Base Encuesta'!#REF!,1)))</f>
        <v>#REF!</v>
      </c>
      <c r="R45" t="e">
        <f>IF(OR('Base Encuesta'!#REF!="",IFERROR(VALUE(LEFT('Base Encuesta'!#REF!,1)),"")&gt;=3),"",VALUE(LEFT('Base Encuesta'!#REF!,1)))</f>
        <v>#REF!</v>
      </c>
      <c r="S45" t="e">
        <f>IF(OR('Base Encuesta'!#REF!="",IFERROR(VALUE(LEFT('Base Encuesta'!#REF!,1)),"")&gt;=3),"",VALUE(LEFT('Base Encuesta'!#REF!,1)))</f>
        <v>#REF!</v>
      </c>
      <c r="T45" t="e">
        <f>IF(OR('Base Encuesta'!#REF!="",IFERROR(VALUE(LEFT('Base Encuesta'!#REF!,1)),"")&gt;=3),"",VALUE(LEFT('Base Encuesta'!#REF!,1)))</f>
        <v>#REF!</v>
      </c>
      <c r="U45" t="e">
        <f>IF(OR('Base Encuesta'!#REF!="",IFERROR(VALUE(LEFT('Base Encuesta'!#REF!,1)),"")&gt;=3),"",VALUE(LEFT('Base Encuesta'!#REF!,1)))</f>
        <v>#REF!</v>
      </c>
      <c r="V45" t="e">
        <f>IF(OR('Base Encuesta'!#REF!="",IFERROR(VALUE(LEFT('Base Encuesta'!#REF!,1)),"")&gt;=3),"",VALUE(LEFT('Base Encuesta'!#REF!,1)))</f>
        <v>#REF!</v>
      </c>
      <c r="W45" t="e">
        <f>IF(OR('Base Encuesta'!#REF!="",IFERROR(VALUE(LEFT('Base Encuesta'!#REF!,1)),"")&gt;=3),"",VALUE(LEFT('Base Encuesta'!#REF!,1)))</f>
        <v>#REF!</v>
      </c>
      <c r="X45" t="e">
        <f>IF(OR('Base Encuesta'!#REF!="",IFERROR(VALUE(LEFT('Base Encuesta'!#REF!,1)),"")&gt;=3),"",IF(W45=1,VALUE(LEFT('Base Encuesta'!#REF!,1)),""))</f>
        <v>#REF!</v>
      </c>
      <c r="Y45" t="e">
        <f>IF(OR('Base Encuesta'!#REF!="",IFERROR(VALUE(LEFT('Base Encuesta'!#REF!,1)),"")&gt;=3),"",IF(W45=1,VALUE(LEFT('Base Encuesta'!#REF!,1)),""))</f>
        <v>#REF!</v>
      </c>
      <c r="Z45" t="e">
        <f>IF(OR('Base Encuesta'!#REF!="",IFERROR(VALUE(LEFT('Base Encuesta'!#REF!,1)),"")&gt;=3),"",IF(W45=1,VALUE(LEFT('Base Encuesta'!#REF!,1)),""))</f>
        <v>#REF!</v>
      </c>
      <c r="AA45" t="e">
        <f>IF(OR('Base Encuesta'!#REF!="",IFERROR(VALUE(LEFT('Base Encuesta'!#REF!,1)),"")&gt;=3),"",IF(W45=1,VALUE(LEFT('Base Encuesta'!#REF!,1)),""))</f>
        <v>#REF!</v>
      </c>
      <c r="AB45" t="e">
        <f>IF(OR('Base Encuesta'!#REF!="",IFERROR(VALUE(LEFT('Base Encuesta'!#REF!,1)),"")&gt;=3),"",IF(W45=1,VALUE(LEFT('Base Encuesta'!#REF!,1)),""))</f>
        <v>#REF!</v>
      </c>
      <c r="AC45" t="e">
        <f>IF(OR('Base Encuesta'!#REF!="",IFERROR(VALUE(LEFT('Base Encuesta'!#REF!,1)),"")&gt;=3),"",VALUE(LEFT('Base Encuesta'!#REF!,1)))</f>
        <v>#REF!</v>
      </c>
      <c r="AD45" t="e">
        <f>IF(OR('Base Encuesta'!#REF!="",IFERROR(VALUE(LEFT('Base Encuesta'!#REF!,1)),"")&gt;=3),"",VALUE(LEFT('Base Encuesta'!#REF!,1)))</f>
        <v>#REF!</v>
      </c>
      <c r="AE45" t="e">
        <f>IF(OR('Base Encuesta'!#REF!="",IFERROR(VALUE(LEFT('Base Encuesta'!#REF!,1)),"")&gt;=3),"",VALUE(LEFT('Base Encuesta'!#REF!,1)))</f>
        <v>#REF!</v>
      </c>
      <c r="AF45" t="e">
        <f>IF(OR('Base Encuesta'!#REF!="",IFERROR(VALUE(LEFT('Base Encuesta'!#REF!,1)),"")&gt;=3),"",VALUE(LEFT('Base Encuesta'!#REF!,1)))</f>
        <v>#REF!</v>
      </c>
      <c r="AG45" t="e">
        <f>IF(OR('Base Encuesta'!#REF!="",IFERROR(VALUE(LEFT('Base Encuesta'!#REF!,1)),"")&gt;=3),"",VALUE(LEFT('Base Encuesta'!#REF!,1)))</f>
        <v>#REF!</v>
      </c>
      <c r="AH45" t="e">
        <f>IF(OR('Base Encuesta'!#REF!="",IFERROR(VALUE(LEFT('Base Encuesta'!#REF!,1)),"")&gt;=3),"",VALUE(LEFT('Base Encuesta'!#REF!,1)))</f>
        <v>#REF!</v>
      </c>
    </row>
    <row r="46" spans="1:34">
      <c r="A46" t="e">
        <f>IF('Base Encuesta'!#REF!="","",'Base Encuesta'!#REF!)</f>
        <v>#REF!</v>
      </c>
      <c r="B46" t="e">
        <f>IF('Base Encuesta'!#REF!="","",'Base Encuesta'!#REF!)</f>
        <v>#REF!</v>
      </c>
      <c r="C46" t="e">
        <f>IF('Base Encuesta'!#REF!="","",'Base Encuesta'!#REF!)</f>
        <v>#REF!</v>
      </c>
      <c r="D46" t="e">
        <f>IF('Base Encuesta'!#REF!="","",'Base Encuesta'!#REF!)</f>
        <v>#REF!</v>
      </c>
      <c r="E46" t="e">
        <f>IF('Base Encuesta'!#REF!="","",'Base Encuesta'!#REF!)</f>
        <v>#REF!</v>
      </c>
      <c r="F46" t="e">
        <f>IF('Base Encuesta'!#REF!="","",'Base Encuesta'!#REF!)</f>
        <v>#REF!</v>
      </c>
      <c r="G46" t="e">
        <f>IF('Base Encuesta'!#REF!="","",'Base Encuesta'!#REF!)</f>
        <v>#REF!</v>
      </c>
      <c r="H46" t="e">
        <f>IF('Base Encuesta'!#REF!="","",'Base Encuesta'!#REF!)</f>
        <v>#REF!</v>
      </c>
      <c r="I46" t="e">
        <f>IF('Base Encuesta'!#REF!="","",'Base Encuesta'!#REF!)</f>
        <v>#REF!</v>
      </c>
      <c r="J46" t="e">
        <f>IF(OR('Base Encuesta'!#REF!="",IFERROR(VALUE(LEFT('Base Encuesta'!#REF!,1)),"")&gt;=3),"",PROPER(TRIM('Base Encuesta'!#REF!)))</f>
        <v>#REF!</v>
      </c>
      <c r="K46" t="e">
        <f>IF(OR('Base Encuesta'!#REF!="",IFERROR(VALUE(LEFT('Base Encuesta'!#REF!,1)),"")&gt;=3),"",'Base Encuesta'!#REF!)</f>
        <v>#REF!</v>
      </c>
      <c r="L46" t="e">
        <f>IF(OR('Base Encuesta'!#REF!="",IFERROR(VALUE(LEFT('Base Encuesta'!#REF!,1)),"")&gt;=3),"",VALUE(LEFT('Base Encuesta'!#REF!,1)))</f>
        <v>#REF!</v>
      </c>
      <c r="M46" t="e">
        <f>IF(OR('Base Encuesta'!#REF!="",IFERROR(VALUE(LEFT('Base Encuesta'!#REF!,1)),"")&gt;=3),"",VALUE(LEFT('Base Encuesta'!#REF!,1)))</f>
        <v>#REF!</v>
      </c>
      <c r="N46" t="e">
        <f>IF(OR('Base Encuesta'!#REF!="",IFERROR(VALUE(LEFT('Base Encuesta'!#REF!,1)),"")&gt;=3),"",VALUE(LEFT('Base Encuesta'!#REF!,1)))</f>
        <v>#REF!</v>
      </c>
      <c r="O46" t="e">
        <f>IF(OR('Base Encuesta'!#REF!="",IFERROR(VALUE(LEFT('Base Encuesta'!#REF!,1)),"")&gt;=3),"",VALUE(LEFT('Base Encuesta'!#REF!,1)))</f>
        <v>#REF!</v>
      </c>
      <c r="P46" t="e">
        <f>IF(OR('Base Encuesta'!#REF!="",IFERROR(VALUE(LEFT('Base Encuesta'!#REF!,1)),"")&gt;=3),"",VALUE(LEFT('Base Encuesta'!#REF!,1)))</f>
        <v>#REF!</v>
      </c>
      <c r="Q46" t="e">
        <f>IF(OR('Base Encuesta'!#REF!="",IFERROR(VALUE(LEFT('Base Encuesta'!#REF!,1)),"")&gt;=3),"",VALUE(LEFT('Base Encuesta'!#REF!,1)))</f>
        <v>#REF!</v>
      </c>
      <c r="R46" t="e">
        <f>IF(OR('Base Encuesta'!#REF!="",IFERROR(VALUE(LEFT('Base Encuesta'!#REF!,1)),"")&gt;=3),"",VALUE(LEFT('Base Encuesta'!#REF!,1)))</f>
        <v>#REF!</v>
      </c>
      <c r="S46" t="e">
        <f>IF(OR('Base Encuesta'!#REF!="",IFERROR(VALUE(LEFT('Base Encuesta'!#REF!,1)),"")&gt;=3),"",VALUE(LEFT('Base Encuesta'!#REF!,1)))</f>
        <v>#REF!</v>
      </c>
      <c r="T46" t="e">
        <f>IF(OR('Base Encuesta'!#REF!="",IFERROR(VALUE(LEFT('Base Encuesta'!#REF!,1)),"")&gt;=3),"",VALUE(LEFT('Base Encuesta'!#REF!,1)))</f>
        <v>#REF!</v>
      </c>
      <c r="U46" t="e">
        <f>IF(OR('Base Encuesta'!#REF!="",IFERROR(VALUE(LEFT('Base Encuesta'!#REF!,1)),"")&gt;=3),"",VALUE(LEFT('Base Encuesta'!#REF!,1)))</f>
        <v>#REF!</v>
      </c>
      <c r="V46" t="e">
        <f>IF(OR('Base Encuesta'!#REF!="",IFERROR(VALUE(LEFT('Base Encuesta'!#REF!,1)),"")&gt;=3),"",VALUE(LEFT('Base Encuesta'!#REF!,1)))</f>
        <v>#REF!</v>
      </c>
      <c r="W46" t="e">
        <f>IF(OR('Base Encuesta'!#REF!="",IFERROR(VALUE(LEFT('Base Encuesta'!#REF!,1)),"")&gt;=3),"",VALUE(LEFT('Base Encuesta'!#REF!,1)))</f>
        <v>#REF!</v>
      </c>
      <c r="X46" t="e">
        <f>IF(OR('Base Encuesta'!#REF!="",IFERROR(VALUE(LEFT('Base Encuesta'!#REF!,1)),"")&gt;=3),"",IF(W46=1,VALUE(LEFT('Base Encuesta'!#REF!,1)),""))</f>
        <v>#REF!</v>
      </c>
      <c r="Y46" t="e">
        <f>IF(OR('Base Encuesta'!#REF!="",IFERROR(VALUE(LEFT('Base Encuesta'!#REF!,1)),"")&gt;=3),"",IF(W46=1,VALUE(LEFT('Base Encuesta'!#REF!,1)),""))</f>
        <v>#REF!</v>
      </c>
      <c r="Z46" t="e">
        <f>IF(OR('Base Encuesta'!#REF!="",IFERROR(VALUE(LEFT('Base Encuesta'!#REF!,1)),"")&gt;=3),"",IF(W46=1,VALUE(LEFT('Base Encuesta'!#REF!,1)),""))</f>
        <v>#REF!</v>
      </c>
      <c r="AA46" t="e">
        <f>IF(OR('Base Encuesta'!#REF!="",IFERROR(VALUE(LEFT('Base Encuesta'!#REF!,1)),"")&gt;=3),"",IF(W46=1,VALUE(LEFT('Base Encuesta'!#REF!,1)),""))</f>
        <v>#REF!</v>
      </c>
      <c r="AB46" t="e">
        <f>IF(OR('Base Encuesta'!#REF!="",IFERROR(VALUE(LEFT('Base Encuesta'!#REF!,1)),"")&gt;=3),"",IF(W46=1,VALUE(LEFT('Base Encuesta'!#REF!,1)),""))</f>
        <v>#REF!</v>
      </c>
      <c r="AC46" t="e">
        <f>IF(OR('Base Encuesta'!#REF!="",IFERROR(VALUE(LEFT('Base Encuesta'!#REF!,1)),"")&gt;=3),"",VALUE(LEFT('Base Encuesta'!#REF!,1)))</f>
        <v>#REF!</v>
      </c>
      <c r="AD46" t="e">
        <f>IF(OR('Base Encuesta'!#REF!="",IFERROR(VALUE(LEFT('Base Encuesta'!#REF!,1)),"")&gt;=3),"",VALUE(LEFT('Base Encuesta'!#REF!,1)))</f>
        <v>#REF!</v>
      </c>
      <c r="AE46" t="e">
        <f>IF(OR('Base Encuesta'!#REF!="",IFERROR(VALUE(LEFT('Base Encuesta'!#REF!,1)),"")&gt;=3),"",VALUE(LEFT('Base Encuesta'!#REF!,1)))</f>
        <v>#REF!</v>
      </c>
      <c r="AF46" t="e">
        <f>IF(OR('Base Encuesta'!#REF!="",IFERROR(VALUE(LEFT('Base Encuesta'!#REF!,1)),"")&gt;=3),"",VALUE(LEFT('Base Encuesta'!#REF!,1)))</f>
        <v>#REF!</v>
      </c>
      <c r="AG46" t="e">
        <f>IF(OR('Base Encuesta'!#REF!="",IFERROR(VALUE(LEFT('Base Encuesta'!#REF!,1)),"")&gt;=3),"",VALUE(LEFT('Base Encuesta'!#REF!,1)))</f>
        <v>#REF!</v>
      </c>
      <c r="AH46" t="e">
        <f>IF(OR('Base Encuesta'!#REF!="",IFERROR(VALUE(LEFT('Base Encuesta'!#REF!,1)),"")&gt;=3),"",VALUE(LEFT('Base Encuesta'!#REF!,1)))</f>
        <v>#REF!</v>
      </c>
    </row>
    <row r="47" spans="1:34">
      <c r="A47" t="n">
        <f>IF('Base Encuesta'!C21="","",'Base Encuesta'!C21)</f>
        <v>31008.0</v>
      </c>
      <c r="B47" t="str">
        <f>IF('Base Encuesta'!D21="","",'Base Encuesta'!D21)</f>
        <v>Escuela Interdisciplinaria de Altos Estudios Sociales</v>
      </c>
      <c r="C47" t="str">
        <f>IF('Base Encuesta'!E21="","",'Base Encuesta'!E21)</f>
        <v>MA-GN00209</v>
      </c>
      <c r="D47" t="str">
        <f>IF('Base Encuesta'!F21="","",'Base Encuesta'!F21)</f>
        <v>Laboratorio de Datos: webscraping y procesamiento de lenguaje natural</v>
      </c>
      <c r="E47" t="str">
        <f>IF('Base Encuesta'!G21="","",'Base Encuesta'!G21)</f>
        <v>82009</v>
      </c>
      <c r="F47" t="str">
        <f>IF('Base Encuesta'!H21="","",'Base Encuesta'!H21)</f>
        <v>Laboratorio de Datos tn Rosati</v>
      </c>
      <c r="G47" t="str">
        <f>IF('Base Encuesta'!I21="","",'Base Encuesta'!I21)</f>
        <v>ROSATI GERMAN FEDERICO (6114)</v>
      </c>
      <c r="H47" t="str">
        <f>IF('Base Encuesta'!J21="","",'Base Encuesta'!J21)</f>
        <v>Licenciatura en Sociología</v>
      </c>
      <c r="I47" t="str">
        <f>IF('Base Encuesta'!K21="","",'Base Encuesta'!K21)</f>
        <v>1-Finalicé la cursada (hayas aprobado o no)</v>
      </c>
      <c r="J47" t="str">
        <f>IF(OR('Base Encuesta'!P21="",IFERROR(VALUE(LEFT('Base Encuesta'!K21,1)),"")&gt;=3),"",PROPER(TRIM('Base Encuesta'!P21)))</f>
        <v>Rosati Germán</v>
      </c>
      <c r="K47" t="str">
        <f>IF(OR('Base Encuesta'!Q21="",IFERROR(VALUE(LEFT('Base Encuesta'!K21,1)),"")&gt;=3),"",'Base Encuesta'!Q21)</f>
        <v>Sin respuesta</v>
      </c>
      <c r="L47" t="n">
        <f>IF(OR('Base Encuesta'!R21="",IFERROR(VALUE(LEFT('Base Encuesta'!K21,1)),"")&gt;=3),"",VALUE(LEFT('Base Encuesta'!R21,1)))</f>
        <v>5.0</v>
      </c>
      <c r="M47" t="n">
        <f>IF(OR('Base Encuesta'!S21="",IFERROR(VALUE(LEFT('Base Encuesta'!K21,1)),"")&gt;=3),"",VALUE(LEFT('Base Encuesta'!S21,1)))</f>
        <v>5.0</v>
      </c>
      <c r="N47" t="n">
        <f>IF(OR('Base Encuesta'!T21="",IFERROR(VALUE(LEFT('Base Encuesta'!K21,1)),"")&gt;=3),"",VALUE(LEFT('Base Encuesta'!T21,1)))</f>
        <v>5.0</v>
      </c>
      <c r="O47" t="n">
        <f>IF(OR('Base Encuesta'!V21="",IFERROR(VALUE(LEFT('Base Encuesta'!K21,1)),"")&gt;=3),"",VALUE(LEFT('Base Encuesta'!V21,1)))</f>
        <v>1.0</v>
      </c>
      <c r="P47" t="n">
        <f>IF(OR('Base Encuesta'!W21="",IFERROR(VALUE(LEFT('Base Encuesta'!K21,1)),"")&gt;=3),"",VALUE(LEFT('Base Encuesta'!W21,1)))</f>
        <v>5.0</v>
      </c>
      <c r="Q47" t="n">
        <f>IF(OR('Base Encuesta'!X21="",IFERROR(VALUE(LEFT('Base Encuesta'!K21,1)),"")&gt;=3),"",VALUE(LEFT('Base Encuesta'!X21,1)))</f>
        <v>5.0</v>
      </c>
      <c r="R47" t="n">
        <f>IF(OR('Base Encuesta'!Y21="",IFERROR(VALUE(LEFT('Base Encuesta'!K21,1)),"")&gt;=3),"",VALUE(LEFT('Base Encuesta'!Y21,1)))</f>
        <v>5.0</v>
      </c>
      <c r="S47" t="n">
        <f>IF(OR('Base Encuesta'!Z21="",IFERROR(VALUE(LEFT('Base Encuesta'!K21,1)),"")&gt;=3),"",VALUE(LEFT('Base Encuesta'!Z21,1)))</f>
        <v>5.0</v>
      </c>
      <c r="T47" t="n">
        <f>IF(OR('Base Encuesta'!AA21="",IFERROR(VALUE(LEFT('Base Encuesta'!K21,1)),"")&gt;=3),"",VALUE(LEFT('Base Encuesta'!AA21,1)))</f>
        <v>5.0</v>
      </c>
      <c r="U47" t="n">
        <f>IF(OR('Base Encuesta'!AB21="",IFERROR(VALUE(LEFT('Base Encuesta'!K21,1)),"")&gt;=3),"",VALUE(LEFT('Base Encuesta'!AB21,1)))</f>
        <v>5.0</v>
      </c>
      <c r="V47" t="n">
        <f>IF(OR('Base Encuesta'!AC21="",IFERROR(VALUE(LEFT('Base Encuesta'!K21,1)),"")&gt;=3),"",VALUE(LEFT('Base Encuesta'!AC21,1)))</f>
        <v>5.0</v>
      </c>
      <c r="W47" t="n">
        <f>IF(OR('Base Encuesta'!AE21="",IFERROR(VALUE(LEFT('Base Encuesta'!K21,1)),"")&gt;=3),"",VALUE(LEFT('Base Encuesta'!AE21,1)))</f>
        <v>1.0</v>
      </c>
      <c r="X47" t="n">
        <f>IF(OR('Base Encuesta'!AF21="",IFERROR(VALUE(LEFT('Base Encuesta'!K21,1)),"")&gt;=3),"",IF(W47=1,VALUE(LEFT('Base Encuesta'!AF21,1)),""))</f>
        <v>5.0</v>
      </c>
      <c r="Y47" t="n">
        <f>IF(OR('Base Encuesta'!AG21="",IFERROR(VALUE(LEFT('Base Encuesta'!K21,1)),"")&gt;=3),"",IF(W47=1,VALUE(LEFT('Base Encuesta'!AG21,1)),""))</f>
        <v>5.0</v>
      </c>
      <c r="Z47" t="n">
        <f>IF(OR('Base Encuesta'!AH21="",IFERROR(VALUE(LEFT('Base Encuesta'!K21,1)),"")&gt;=3),"",IF(W47=1,VALUE(LEFT('Base Encuesta'!AH21,1)),""))</f>
        <v>5.0</v>
      </c>
      <c r="AA47" t="n">
        <f>IF(OR('Base Encuesta'!AI21="",IFERROR(VALUE(LEFT('Base Encuesta'!K21,1)),"")&gt;=3),"",IF(W47=1,VALUE(LEFT('Base Encuesta'!AI21,1)),""))</f>
        <v>5.0</v>
      </c>
      <c r="AB47" t="n">
        <f>IF(OR('Base Encuesta'!AJ21="",IFERROR(VALUE(LEFT('Base Encuesta'!K21,1)),"")&gt;=3),"",IF(W47=1,VALUE(LEFT('Base Encuesta'!AJ21,1)),""))</f>
        <v>5.0</v>
      </c>
      <c r="AC47" t="n">
        <f>IF(OR('Base Encuesta'!AL21="",IFERROR(VALUE(LEFT('Base Encuesta'!K21,1)),"")&gt;=3),"",VALUE(LEFT('Base Encuesta'!AL21,1)))</f>
        <v>5.0</v>
      </c>
      <c r="AD47" t="n">
        <f>IF(OR('Base Encuesta'!AM21="",IFERROR(VALUE(LEFT('Base Encuesta'!K21,1)),"")&gt;=3),"",VALUE(LEFT('Base Encuesta'!AM21,1)))</f>
        <v>5.0</v>
      </c>
      <c r="AE47" t="n">
        <f>IF(OR('Base Encuesta'!AN21="",IFERROR(VALUE(LEFT('Base Encuesta'!K21,1)),"")&gt;=3),"",VALUE(LEFT('Base Encuesta'!AN21,1)))</f>
        <v>5.0</v>
      </c>
      <c r="AF47" t="n">
        <f>IF(OR('Base Encuesta'!AO21="",IFERROR(VALUE(LEFT('Base Encuesta'!K21,1)),"")&gt;=3),"",VALUE(LEFT('Base Encuesta'!AO21,1)))</f>
        <v>5.0</v>
      </c>
      <c r="AG47" t="n">
        <f>IF(OR('Base Encuesta'!AQ21="",IFERROR(VALUE(LEFT('Base Encuesta'!K21,1)),"")&gt;=3),"",VALUE(LEFT('Base Encuesta'!AQ21,1)))</f>
        <v>5.0</v>
      </c>
      <c r="AH47" t="n">
        <f>IF(OR('Base Encuesta'!AR21="",IFERROR(VALUE(LEFT('Base Encuesta'!K21,1)),"")&gt;=3),"",VALUE(LEFT('Base Encuesta'!AR21,1)))</f>
        <v>5.0</v>
      </c>
    </row>
    <row r="48" spans="1:34">
      <c r="A48" t="n">
        <f>IF('Base Encuesta'!C22="","",'Base Encuesta'!C22)</f>
        <v>31009.0</v>
      </c>
      <c r="B48" t="str">
        <f>IF('Base Encuesta'!D22="","",'Base Encuesta'!D22)</f>
        <v>Escuela Interdisciplinaria de Altos Estudios Sociales</v>
      </c>
      <c r="C48" t="str">
        <f>IF('Base Encuesta'!E22="","",'Base Encuesta'!E22)</f>
        <v>MA-GN00209</v>
      </c>
      <c r="D48" t="str">
        <f>IF('Base Encuesta'!F22="","",'Base Encuesta'!F22)</f>
        <v>Laboratorio de Datos: webscraping y procesamiento de lenguaje natural</v>
      </c>
      <c r="E48" t="str">
        <f>IF('Base Encuesta'!G22="","",'Base Encuesta'!G22)</f>
        <v>82009</v>
      </c>
      <c r="F48" t="str">
        <f>IF('Base Encuesta'!H22="","",'Base Encuesta'!H22)</f>
        <v>Laboratorio de Datos tn Rosati</v>
      </c>
      <c r="G48" t="str">
        <f>IF('Base Encuesta'!I22="","",'Base Encuesta'!I22)</f>
        <v>ROSATI GERMAN FEDERICO (6114)</v>
      </c>
      <c r="H48" t="str">
        <f>IF('Base Encuesta'!J22="","",'Base Encuesta'!J22)</f>
        <v>Licenciatura en Sociología</v>
      </c>
      <c r="I48" t="str">
        <f>IF('Base Encuesta'!K22="","",'Base Encuesta'!K22)</f>
        <v>1-Finalicé la cursada (hayas aprobado o no)</v>
      </c>
      <c r="J48" t="str">
        <f>IF(OR('Base Encuesta'!P22="",IFERROR(VALUE(LEFT('Base Encuesta'!K22,1)),"")&gt;=3),"",PROPER(TRIM('Base Encuesta'!P22)))</f>
        <v>Rosati, Germán</v>
      </c>
      <c r="K48" t="str">
        <f>IF(OR('Base Encuesta'!Q22="",IFERROR(VALUE(LEFT('Base Encuesta'!K22,1)),"")&gt;=3),"",'Base Encuesta'!Q22)</f>
        <v>Nos aguantó 2 años</v>
      </c>
      <c r="L48" t="n">
        <f>IF(OR('Base Encuesta'!R22="",IFERROR(VALUE(LEFT('Base Encuesta'!K22,1)),"")&gt;=3),"",VALUE(LEFT('Base Encuesta'!R22,1)))</f>
        <v>5.0</v>
      </c>
      <c r="M48" t="n">
        <f>IF(OR('Base Encuesta'!S22="",IFERROR(VALUE(LEFT('Base Encuesta'!K22,1)),"")&gt;=3),"",VALUE(LEFT('Base Encuesta'!S22,1)))</f>
        <v>5.0</v>
      </c>
      <c r="N48" t="n">
        <f>IF(OR('Base Encuesta'!T22="",IFERROR(VALUE(LEFT('Base Encuesta'!K22,1)),"")&gt;=3),"",VALUE(LEFT('Base Encuesta'!T22,1)))</f>
        <v>5.0</v>
      </c>
      <c r="O48" t="n">
        <f>IF(OR('Base Encuesta'!V22="",IFERROR(VALUE(LEFT('Base Encuesta'!K22,1)),"")&gt;=3),"",VALUE(LEFT('Base Encuesta'!V22,1)))</f>
        <v>5.0</v>
      </c>
      <c r="P48" t="n">
        <f>IF(OR('Base Encuesta'!W22="",IFERROR(VALUE(LEFT('Base Encuesta'!K22,1)),"")&gt;=3),"",VALUE(LEFT('Base Encuesta'!W22,1)))</f>
        <v>5.0</v>
      </c>
      <c r="Q48" t="n">
        <f>IF(OR('Base Encuesta'!X22="",IFERROR(VALUE(LEFT('Base Encuesta'!K22,1)),"")&gt;=3),"",VALUE(LEFT('Base Encuesta'!X22,1)))</f>
        <v>5.0</v>
      </c>
      <c r="R48" t="n">
        <f>IF(OR('Base Encuesta'!Y22="",IFERROR(VALUE(LEFT('Base Encuesta'!K22,1)),"")&gt;=3),"",VALUE(LEFT('Base Encuesta'!Y22,1)))</f>
        <v>5.0</v>
      </c>
      <c r="S48" t="n">
        <f>IF(OR('Base Encuesta'!Z22="",IFERROR(VALUE(LEFT('Base Encuesta'!K22,1)),"")&gt;=3),"",VALUE(LEFT('Base Encuesta'!Z22,1)))</f>
        <v>5.0</v>
      </c>
      <c r="T48" t="n">
        <f>IF(OR('Base Encuesta'!AA22="",IFERROR(VALUE(LEFT('Base Encuesta'!K22,1)),"")&gt;=3),"",VALUE(LEFT('Base Encuesta'!AA22,1)))</f>
        <v>5.0</v>
      </c>
      <c r="U48" t="n">
        <f>IF(OR('Base Encuesta'!AB22="",IFERROR(VALUE(LEFT('Base Encuesta'!K22,1)),"")&gt;=3),"",VALUE(LEFT('Base Encuesta'!AB22,1)))</f>
        <v>5.0</v>
      </c>
      <c r="V48" t="n">
        <f>IF(OR('Base Encuesta'!AC22="",IFERROR(VALUE(LEFT('Base Encuesta'!K22,1)),"")&gt;=3),"",VALUE(LEFT('Base Encuesta'!AC22,1)))</f>
        <v>5.0</v>
      </c>
      <c r="W48" t="n">
        <f>IF(OR('Base Encuesta'!AE22="",IFERROR(VALUE(LEFT('Base Encuesta'!K22,1)),"")&gt;=3),"",VALUE(LEFT('Base Encuesta'!AE22,1)))</f>
        <v>1.0</v>
      </c>
      <c r="X48" t="n">
        <f>IF(OR('Base Encuesta'!AF22="",IFERROR(VALUE(LEFT('Base Encuesta'!K22,1)),"")&gt;=3),"",IF(W48=1,VALUE(LEFT('Base Encuesta'!AF22,1)),""))</f>
        <v>5.0</v>
      </c>
      <c r="Y48" t="n">
        <f>IF(OR('Base Encuesta'!AG22="",IFERROR(VALUE(LEFT('Base Encuesta'!K22,1)),"")&gt;=3),"",IF(W48=1,VALUE(LEFT('Base Encuesta'!AG22,1)),""))</f>
        <v>5.0</v>
      </c>
      <c r="Z48" t="n">
        <f>IF(OR('Base Encuesta'!AH22="",IFERROR(VALUE(LEFT('Base Encuesta'!K22,1)),"")&gt;=3),"",IF(W48=1,VALUE(LEFT('Base Encuesta'!AH22,1)),""))</f>
        <v>5.0</v>
      </c>
      <c r="AA48" t="n">
        <f>IF(OR('Base Encuesta'!AI22="",IFERROR(VALUE(LEFT('Base Encuesta'!K22,1)),"")&gt;=3),"",IF(W48=1,VALUE(LEFT('Base Encuesta'!AI22,1)),""))</f>
        <v>5.0</v>
      </c>
      <c r="AB48" t="n">
        <f>IF(OR('Base Encuesta'!AJ22="",IFERROR(VALUE(LEFT('Base Encuesta'!K22,1)),"")&gt;=3),"",IF(W48=1,VALUE(LEFT('Base Encuesta'!AJ22,1)),""))</f>
        <v>5.0</v>
      </c>
      <c r="AC48" t="n">
        <f>IF(OR('Base Encuesta'!AL22="",IFERROR(VALUE(LEFT('Base Encuesta'!K22,1)),"")&gt;=3),"",VALUE(LEFT('Base Encuesta'!AL22,1)))</f>
        <v>5.0</v>
      </c>
      <c r="AD48" t="n">
        <f>IF(OR('Base Encuesta'!AM22="",IFERROR(VALUE(LEFT('Base Encuesta'!K22,1)),"")&gt;=3),"",VALUE(LEFT('Base Encuesta'!AM22,1)))</f>
        <v>5.0</v>
      </c>
      <c r="AE48" t="n">
        <f>IF(OR('Base Encuesta'!AN22="",IFERROR(VALUE(LEFT('Base Encuesta'!K22,1)),"")&gt;=3),"",VALUE(LEFT('Base Encuesta'!AN22,1)))</f>
        <v>5.0</v>
      </c>
      <c r="AF48" t="n">
        <f>IF(OR('Base Encuesta'!AO22="",IFERROR(VALUE(LEFT('Base Encuesta'!K22,1)),"")&gt;=3),"",VALUE(LEFT('Base Encuesta'!AO22,1)))</f>
        <v>5.0</v>
      </c>
      <c r="AG48" t="n">
        <f>IF(OR('Base Encuesta'!AQ22="",IFERROR(VALUE(LEFT('Base Encuesta'!K22,1)),"")&gt;=3),"",VALUE(LEFT('Base Encuesta'!AQ22,1)))</f>
        <v>5.0</v>
      </c>
      <c r="AH48" t="n">
        <f>IF(OR('Base Encuesta'!AR22="",IFERROR(VALUE(LEFT('Base Encuesta'!K22,1)),"")&gt;=3),"",VALUE(LEFT('Base Encuesta'!AR22,1)))</f>
        <v>5.0</v>
      </c>
    </row>
    <row r="49" spans="1:34">
      <c r="A49" t="n">
        <f>IF('Base Encuesta'!C23="","",'Base Encuesta'!C23)</f>
        <v>31010.0</v>
      </c>
      <c r="B49" t="str">
        <f>IF('Base Encuesta'!D23="","",'Base Encuesta'!D23)</f>
        <v>Escuela Interdisciplinaria de Altos Estudios Sociales</v>
      </c>
      <c r="C49" t="str">
        <f>IF('Base Encuesta'!E23="","",'Base Encuesta'!E23)</f>
        <v>MA-GN00209</v>
      </c>
      <c r="D49" t="str">
        <f>IF('Base Encuesta'!F23="","",'Base Encuesta'!F23)</f>
        <v>Laboratorio de Datos: webscraping y procesamiento de lenguaje natural</v>
      </c>
      <c r="E49" t="str">
        <f>IF('Base Encuesta'!G23="","",'Base Encuesta'!G23)</f>
        <v>82009</v>
      </c>
      <c r="F49" t="str">
        <f>IF('Base Encuesta'!H23="","",'Base Encuesta'!H23)</f>
        <v>Laboratorio de Datos tn Rosati</v>
      </c>
      <c r="G49" t="str">
        <f>IF('Base Encuesta'!I23="","",'Base Encuesta'!I23)</f>
        <v>ROSATI GERMAN FEDERICO (6114)</v>
      </c>
      <c r="H49" t="str">
        <f>IF('Base Encuesta'!J23="","",'Base Encuesta'!J23)</f>
        <v>Licenciatura en Sociología</v>
      </c>
      <c r="I49" t="str">
        <f>IF('Base Encuesta'!K23="","",'Base Encuesta'!K23)</f>
        <v>1-Finalicé la cursada (hayas aprobado o no)</v>
      </c>
      <c r="J49" t="str">
        <f>IF(OR('Base Encuesta'!P23="",IFERROR(VALUE(LEFT('Base Encuesta'!K23,1)),"")&gt;=3),"",PROPER(TRIM('Base Encuesta'!P23)))</f>
        <v>German Rosati</v>
      </c>
      <c r="K49" t="str">
        <f>IF(OR('Base Encuesta'!Q23="",IFERROR(VALUE(LEFT('Base Encuesta'!K23,1)),"")&gt;=3),"",'Base Encuesta'!Q23)</f>
        <v>muy buen docente</v>
      </c>
      <c r="L49" t="n">
        <f>IF(OR('Base Encuesta'!R23="",IFERROR(VALUE(LEFT('Base Encuesta'!K23,1)),"")&gt;=3),"",VALUE(LEFT('Base Encuesta'!R23,1)))</f>
        <v>5.0</v>
      </c>
      <c r="M49" t="n">
        <f>IF(OR('Base Encuesta'!S23="",IFERROR(VALUE(LEFT('Base Encuesta'!K23,1)),"")&gt;=3),"",VALUE(LEFT('Base Encuesta'!S23,1)))</f>
        <v>5.0</v>
      </c>
      <c r="N49" t="n">
        <f>IF(OR('Base Encuesta'!T23="",IFERROR(VALUE(LEFT('Base Encuesta'!K23,1)),"")&gt;=3),"",VALUE(LEFT('Base Encuesta'!T23,1)))</f>
        <v>5.0</v>
      </c>
      <c r="O49" t="n">
        <f>IF(OR('Base Encuesta'!V23="",IFERROR(VALUE(LEFT('Base Encuesta'!K23,1)),"")&gt;=3),"",VALUE(LEFT('Base Encuesta'!V23,1)))</f>
        <v>1.0</v>
      </c>
      <c r="P49" t="n">
        <f>IF(OR('Base Encuesta'!W23="",IFERROR(VALUE(LEFT('Base Encuesta'!K23,1)),"")&gt;=3),"",VALUE(LEFT('Base Encuesta'!W23,1)))</f>
        <v>5.0</v>
      </c>
      <c r="Q49" t="n">
        <f>IF(OR('Base Encuesta'!X23="",IFERROR(VALUE(LEFT('Base Encuesta'!K23,1)),"")&gt;=3),"",VALUE(LEFT('Base Encuesta'!X23,1)))</f>
        <v>5.0</v>
      </c>
      <c r="R49" t="n">
        <f>IF(OR('Base Encuesta'!Y23="",IFERROR(VALUE(LEFT('Base Encuesta'!K23,1)),"")&gt;=3),"",VALUE(LEFT('Base Encuesta'!Y23,1)))</f>
        <v>5.0</v>
      </c>
      <c r="S49" t="n">
        <f>IF(OR('Base Encuesta'!Z23="",IFERROR(VALUE(LEFT('Base Encuesta'!K23,1)),"")&gt;=3),"",VALUE(LEFT('Base Encuesta'!Z23,1)))</f>
        <v>5.0</v>
      </c>
      <c r="T49" t="n">
        <f>IF(OR('Base Encuesta'!AA23="",IFERROR(VALUE(LEFT('Base Encuesta'!K23,1)),"")&gt;=3),"",VALUE(LEFT('Base Encuesta'!AA23,1)))</f>
        <v>5.0</v>
      </c>
      <c r="U49" t="n">
        <f>IF(OR('Base Encuesta'!AB23="",IFERROR(VALUE(LEFT('Base Encuesta'!K23,1)),"")&gt;=3),"",VALUE(LEFT('Base Encuesta'!AB23,1)))</f>
        <v>5.0</v>
      </c>
      <c r="V49" t="n">
        <f>IF(OR('Base Encuesta'!AC23="",IFERROR(VALUE(LEFT('Base Encuesta'!K23,1)),"")&gt;=3),"",VALUE(LEFT('Base Encuesta'!AC23,1)))</f>
        <v>5.0</v>
      </c>
      <c r="W49" t="n">
        <f>IF(OR('Base Encuesta'!AE23="",IFERROR(VALUE(LEFT('Base Encuesta'!K23,1)),"")&gt;=3),"",VALUE(LEFT('Base Encuesta'!AE23,1)))</f>
        <v>1.0</v>
      </c>
      <c r="X49" t="n">
        <f>IF(OR('Base Encuesta'!AF23="",IFERROR(VALUE(LEFT('Base Encuesta'!K23,1)),"")&gt;=3),"",IF(W49=1,VALUE(LEFT('Base Encuesta'!AF23,1)),""))</f>
        <v>5.0</v>
      </c>
      <c r="Y49" t="n">
        <f>IF(OR('Base Encuesta'!AG23="",IFERROR(VALUE(LEFT('Base Encuesta'!K23,1)),"")&gt;=3),"",IF(W49=1,VALUE(LEFT('Base Encuesta'!AG23,1)),""))</f>
        <v>5.0</v>
      </c>
      <c r="Z49" t="n">
        <f>IF(OR('Base Encuesta'!AH23="",IFERROR(VALUE(LEFT('Base Encuesta'!K23,1)),"")&gt;=3),"",IF(W49=1,VALUE(LEFT('Base Encuesta'!AH23,1)),""))</f>
        <v>5.0</v>
      </c>
      <c r="AA49" t="n">
        <f>IF(OR('Base Encuesta'!AI23="",IFERROR(VALUE(LEFT('Base Encuesta'!K23,1)),"")&gt;=3),"",IF(W49=1,VALUE(LEFT('Base Encuesta'!AI23,1)),""))</f>
        <v>5.0</v>
      </c>
      <c r="AB49" t="n">
        <f>IF(OR('Base Encuesta'!AJ23="",IFERROR(VALUE(LEFT('Base Encuesta'!K23,1)),"")&gt;=3),"",IF(W49=1,VALUE(LEFT('Base Encuesta'!AJ23,1)),""))</f>
        <v>5.0</v>
      </c>
      <c r="AC49" t="n">
        <f>IF(OR('Base Encuesta'!AL23="",IFERROR(VALUE(LEFT('Base Encuesta'!K23,1)),"")&gt;=3),"",VALUE(LEFT('Base Encuesta'!AL23,1)))</f>
        <v>5.0</v>
      </c>
      <c r="AD49" t="n">
        <f>IF(OR('Base Encuesta'!AM23="",IFERROR(VALUE(LEFT('Base Encuesta'!K23,1)),"")&gt;=3),"",VALUE(LEFT('Base Encuesta'!AM23,1)))</f>
        <v>5.0</v>
      </c>
      <c r="AE49" t="n">
        <f>IF(OR('Base Encuesta'!AN23="",IFERROR(VALUE(LEFT('Base Encuesta'!K23,1)),"")&gt;=3),"",VALUE(LEFT('Base Encuesta'!AN23,1)))</f>
        <v>5.0</v>
      </c>
      <c r="AF49" t="n">
        <f>IF(OR('Base Encuesta'!AO23="",IFERROR(VALUE(LEFT('Base Encuesta'!K23,1)),"")&gt;=3),"",VALUE(LEFT('Base Encuesta'!AO23,1)))</f>
        <v>5.0</v>
      </c>
      <c r="AG49" t="n">
        <f>IF(OR('Base Encuesta'!AQ23="",IFERROR(VALUE(LEFT('Base Encuesta'!K23,1)),"")&gt;=3),"",VALUE(LEFT('Base Encuesta'!AQ23,1)))</f>
        <v>4.0</v>
      </c>
      <c r="AH49" t="n">
        <f>IF(OR('Base Encuesta'!AR23="",IFERROR(VALUE(LEFT('Base Encuesta'!K23,1)),"")&gt;=3),"",VALUE(LEFT('Base Encuesta'!AR23,1)))</f>
        <v>5.0</v>
      </c>
    </row>
    <row r="50" spans="1:34">
      <c r="A50" t="n">
        <f>IF('Base Encuesta'!C24="","",'Base Encuesta'!C24)</f>
        <v>31011.0</v>
      </c>
      <c r="B50" t="str">
        <f>IF('Base Encuesta'!D24="","",'Base Encuesta'!D24)</f>
        <v>Escuela Interdisciplinaria de Altos Estudios Sociales</v>
      </c>
      <c r="C50" t="str">
        <f>IF('Base Encuesta'!E24="","",'Base Encuesta'!E24)</f>
        <v>MA-GN00209</v>
      </c>
      <c r="D50" t="str">
        <f>IF('Base Encuesta'!F24="","",'Base Encuesta'!F24)</f>
        <v>Laboratorio de Datos: webscraping y procesamiento de lenguaje natural</v>
      </c>
      <c r="E50" t="str">
        <f>IF('Base Encuesta'!G24="","",'Base Encuesta'!G24)</f>
        <v>82009</v>
      </c>
      <c r="F50" t="str">
        <f>IF('Base Encuesta'!H24="","",'Base Encuesta'!H24)</f>
        <v>Laboratorio de Datos tn Rosati</v>
      </c>
      <c r="G50" t="str">
        <f>IF('Base Encuesta'!I24="","",'Base Encuesta'!I24)</f>
        <v>ROSATI GERMAN FEDERICO (6114)</v>
      </c>
      <c r="H50" t="str">
        <f>IF('Base Encuesta'!J24="","",'Base Encuesta'!J24)</f>
        <v>Licenciatura en Trabajo Social</v>
      </c>
      <c r="I50" t="str">
        <f>IF('Base Encuesta'!K24="","",'Base Encuesta'!K24)</f>
        <v>4-La materia no se dictó</v>
      </c>
      <c r="J50" t="str">
        <f>IF(OR('Base Encuesta'!P24="",IFERROR(VALUE(LEFT('Base Encuesta'!K24,1)),"")&gt;=3),"",PROPER(TRIM('Base Encuesta'!P24)))</f>
        <v/>
      </c>
      <c r="K50" t="str">
        <f>IF(OR('Base Encuesta'!Q24="",IFERROR(VALUE(LEFT('Base Encuesta'!K24,1)),"")&gt;=3),"",'Base Encuesta'!Q24)</f>
        <v/>
      </c>
      <c r="L50" t="str">
        <f>IF(OR('Base Encuesta'!R24="",IFERROR(VALUE(LEFT('Base Encuesta'!K24,1)),"")&gt;=3),"",VALUE(LEFT('Base Encuesta'!R24,1)))</f>
        <v/>
      </c>
      <c r="M50" t="str">
        <f>IF(OR('Base Encuesta'!S24="",IFERROR(VALUE(LEFT('Base Encuesta'!K24,1)),"")&gt;=3),"",VALUE(LEFT('Base Encuesta'!S24,1)))</f>
        <v/>
      </c>
      <c r="N50" t="str">
        <f>IF(OR('Base Encuesta'!T24="",IFERROR(VALUE(LEFT('Base Encuesta'!K24,1)),"")&gt;=3),"",VALUE(LEFT('Base Encuesta'!T24,1)))</f>
        <v/>
      </c>
      <c r="O50" t="str">
        <f>IF(OR('Base Encuesta'!V24="",IFERROR(VALUE(LEFT('Base Encuesta'!K24,1)),"")&gt;=3),"",VALUE(LEFT('Base Encuesta'!V24,1)))</f>
        <v/>
      </c>
      <c r="P50" t="str">
        <f>IF(OR('Base Encuesta'!W24="",IFERROR(VALUE(LEFT('Base Encuesta'!K24,1)),"")&gt;=3),"",VALUE(LEFT('Base Encuesta'!W24,1)))</f>
        <v/>
      </c>
      <c r="Q50" t="str">
        <f>IF(OR('Base Encuesta'!X24="",IFERROR(VALUE(LEFT('Base Encuesta'!K24,1)),"")&gt;=3),"",VALUE(LEFT('Base Encuesta'!X24,1)))</f>
        <v/>
      </c>
      <c r="R50" t="str">
        <f>IF(OR('Base Encuesta'!Y24="",IFERROR(VALUE(LEFT('Base Encuesta'!K24,1)),"")&gt;=3),"",VALUE(LEFT('Base Encuesta'!Y24,1)))</f>
        <v/>
      </c>
      <c r="S50" t="str">
        <f>IF(OR('Base Encuesta'!Z24="",IFERROR(VALUE(LEFT('Base Encuesta'!K24,1)),"")&gt;=3),"",VALUE(LEFT('Base Encuesta'!Z24,1)))</f>
        <v/>
      </c>
      <c r="T50" t="str">
        <f>IF(OR('Base Encuesta'!AA24="",IFERROR(VALUE(LEFT('Base Encuesta'!K24,1)),"")&gt;=3),"",VALUE(LEFT('Base Encuesta'!AA24,1)))</f>
        <v/>
      </c>
      <c r="U50" t="str">
        <f>IF(OR('Base Encuesta'!AB24="",IFERROR(VALUE(LEFT('Base Encuesta'!K24,1)),"")&gt;=3),"",VALUE(LEFT('Base Encuesta'!AB24,1)))</f>
        <v/>
      </c>
      <c r="V50" t="str">
        <f>IF(OR('Base Encuesta'!AC24="",IFERROR(VALUE(LEFT('Base Encuesta'!K24,1)),"")&gt;=3),"",VALUE(LEFT('Base Encuesta'!AC24,1)))</f>
        <v/>
      </c>
      <c r="W50" t="str">
        <f>IF(OR('Base Encuesta'!AE24="",IFERROR(VALUE(LEFT('Base Encuesta'!K24,1)),"")&gt;=3),"",VALUE(LEFT('Base Encuesta'!AE24,1)))</f>
        <v/>
      </c>
      <c r="X50" t="str">
        <f>IF(OR('Base Encuesta'!AF24="",IFERROR(VALUE(LEFT('Base Encuesta'!K24,1)),"")&gt;=3),"",IF(W50=1,VALUE(LEFT('Base Encuesta'!AF24,1)),""))</f>
        <v/>
      </c>
      <c r="Y50" t="str">
        <f>IF(OR('Base Encuesta'!AG24="",IFERROR(VALUE(LEFT('Base Encuesta'!K24,1)),"")&gt;=3),"",IF(W50=1,VALUE(LEFT('Base Encuesta'!AG24,1)),""))</f>
        <v/>
      </c>
      <c r="Z50" t="str">
        <f>IF(OR('Base Encuesta'!AH24="",IFERROR(VALUE(LEFT('Base Encuesta'!K24,1)),"")&gt;=3),"",IF(W50=1,VALUE(LEFT('Base Encuesta'!AH24,1)),""))</f>
        <v/>
      </c>
      <c r="AA50" t="str">
        <f>IF(OR('Base Encuesta'!AI24="",IFERROR(VALUE(LEFT('Base Encuesta'!K24,1)),"")&gt;=3),"",IF(W50=1,VALUE(LEFT('Base Encuesta'!AI24,1)),""))</f>
        <v/>
      </c>
      <c r="AB50" t="str">
        <f>IF(OR('Base Encuesta'!AJ24="",IFERROR(VALUE(LEFT('Base Encuesta'!K24,1)),"")&gt;=3),"",IF(W50=1,VALUE(LEFT('Base Encuesta'!AJ24,1)),""))</f>
        <v/>
      </c>
      <c r="AC50" t="str">
        <f>IF(OR('Base Encuesta'!AL24="",IFERROR(VALUE(LEFT('Base Encuesta'!K24,1)),"")&gt;=3),"",VALUE(LEFT('Base Encuesta'!AL24,1)))</f>
        <v/>
      </c>
      <c r="AD50" t="str">
        <f>IF(OR('Base Encuesta'!AM24="",IFERROR(VALUE(LEFT('Base Encuesta'!K24,1)),"")&gt;=3),"",VALUE(LEFT('Base Encuesta'!AM24,1)))</f>
        <v/>
      </c>
      <c r="AE50" t="str">
        <f>IF(OR('Base Encuesta'!AN24="",IFERROR(VALUE(LEFT('Base Encuesta'!K24,1)),"")&gt;=3),"",VALUE(LEFT('Base Encuesta'!AN24,1)))</f>
        <v/>
      </c>
      <c r="AF50" t="str">
        <f>IF(OR('Base Encuesta'!AO24="",IFERROR(VALUE(LEFT('Base Encuesta'!K24,1)),"")&gt;=3),"",VALUE(LEFT('Base Encuesta'!AO24,1)))</f>
        <v/>
      </c>
      <c r="AG50" t="str">
        <f>IF(OR('Base Encuesta'!AQ24="",IFERROR(VALUE(LEFT('Base Encuesta'!K24,1)),"")&gt;=3),"",VALUE(LEFT('Base Encuesta'!AQ24,1)))</f>
        <v/>
      </c>
      <c r="AH50" t="str">
        <f>IF(OR('Base Encuesta'!AR24="",IFERROR(VALUE(LEFT('Base Encuesta'!K24,1)),"")&gt;=3),"",VALUE(LEFT('Base Encuesta'!AR24,1)))</f>
        <v/>
      </c>
    </row>
    <row r="51" spans="1:34">
      <c r="A51" t="n">
        <f>IF('Base Encuesta'!C25="","",'Base Encuesta'!C25)</f>
        <v>31012.0</v>
      </c>
      <c r="B51" t="str">
        <f>IF('Base Encuesta'!D25="","",'Base Encuesta'!D25)</f>
        <v>Escuela Interdisciplinaria de Altos Estudios Sociales</v>
      </c>
      <c r="C51" t="str">
        <f>IF('Base Encuesta'!E25="","",'Base Encuesta'!E25)</f>
        <v>MA-GN00209</v>
      </c>
      <c r="D51" t="str">
        <f>IF('Base Encuesta'!F25="","",'Base Encuesta'!F25)</f>
        <v>Laboratorio de Datos: webscraping y procesamiento de lenguaje natural</v>
      </c>
      <c r="E51" t="str">
        <f>IF('Base Encuesta'!G25="","",'Base Encuesta'!G25)</f>
        <v>82009</v>
      </c>
      <c r="F51" t="str">
        <f>IF('Base Encuesta'!H25="","",'Base Encuesta'!H25)</f>
        <v>Laboratorio de Datos tn Rosati</v>
      </c>
      <c r="G51" t="str">
        <f>IF('Base Encuesta'!I25="","",'Base Encuesta'!I25)</f>
        <v>ROSATI GERMAN FEDERICO (6114)</v>
      </c>
      <c r="H51" t="str">
        <f>IF('Base Encuesta'!J25="","",'Base Encuesta'!J25)</f>
        <v>Licenciatura en Sociología</v>
      </c>
      <c r="I51" t="str">
        <f>IF('Base Encuesta'!K25="","",'Base Encuesta'!K25)</f>
        <v>1-Finalicé la cursada (hayas aprobado o no)</v>
      </c>
      <c r="J51" t="str">
        <f>IF(OR('Base Encuesta'!P25="",IFERROR(VALUE(LEFT('Base Encuesta'!K25,1)),"")&gt;=3),"",PROPER(TRIM('Base Encuesta'!P25)))</f>
        <v>German Rosati</v>
      </c>
      <c r="K51" t="str">
        <f>IF(OR('Base Encuesta'!Q25="",IFERROR(VALUE(LEFT('Base Encuesta'!K25,1)),"")&gt;=3),"",'Base Encuesta'!Q25)</f>
        <v>Excelente</v>
      </c>
      <c r="L51" t="n">
        <f>IF(OR('Base Encuesta'!R25="",IFERROR(VALUE(LEFT('Base Encuesta'!K25,1)),"")&gt;=3),"",VALUE(LEFT('Base Encuesta'!R25,1)))</f>
        <v>5.0</v>
      </c>
      <c r="M51" t="n">
        <f>IF(OR('Base Encuesta'!S25="",IFERROR(VALUE(LEFT('Base Encuesta'!K25,1)),"")&gt;=3),"",VALUE(LEFT('Base Encuesta'!S25,1)))</f>
        <v>5.0</v>
      </c>
      <c r="N51" t="n">
        <f>IF(OR('Base Encuesta'!T25="",IFERROR(VALUE(LEFT('Base Encuesta'!K25,1)),"")&gt;=3),"",VALUE(LEFT('Base Encuesta'!T25,1)))</f>
        <v>5.0</v>
      </c>
      <c r="O51" t="n">
        <f>IF(OR('Base Encuesta'!V25="",IFERROR(VALUE(LEFT('Base Encuesta'!K25,1)),"")&gt;=3),"",VALUE(LEFT('Base Encuesta'!V25,1)))</f>
        <v>5.0</v>
      </c>
      <c r="P51" t="n">
        <f>IF(OR('Base Encuesta'!W25="",IFERROR(VALUE(LEFT('Base Encuesta'!K25,1)),"")&gt;=3),"",VALUE(LEFT('Base Encuesta'!W25,1)))</f>
        <v>5.0</v>
      </c>
      <c r="Q51" t="n">
        <f>IF(OR('Base Encuesta'!X25="",IFERROR(VALUE(LEFT('Base Encuesta'!K25,1)),"")&gt;=3),"",VALUE(LEFT('Base Encuesta'!X25,1)))</f>
        <v>5.0</v>
      </c>
      <c r="R51" t="n">
        <f>IF(OR('Base Encuesta'!Y25="",IFERROR(VALUE(LEFT('Base Encuesta'!K25,1)),"")&gt;=3),"",VALUE(LEFT('Base Encuesta'!Y25,1)))</f>
        <v>5.0</v>
      </c>
      <c r="S51" t="n">
        <f>IF(OR('Base Encuesta'!Z25="",IFERROR(VALUE(LEFT('Base Encuesta'!K25,1)),"")&gt;=3),"",VALUE(LEFT('Base Encuesta'!Z25,1)))</f>
        <v>5.0</v>
      </c>
      <c r="T51" t="n">
        <f>IF(OR('Base Encuesta'!AA25="",IFERROR(VALUE(LEFT('Base Encuesta'!K25,1)),"")&gt;=3),"",VALUE(LEFT('Base Encuesta'!AA25,1)))</f>
        <v>5.0</v>
      </c>
      <c r="U51" t="n">
        <f>IF(OR('Base Encuesta'!AB25="",IFERROR(VALUE(LEFT('Base Encuesta'!K25,1)),"")&gt;=3),"",VALUE(LEFT('Base Encuesta'!AB25,1)))</f>
        <v>5.0</v>
      </c>
      <c r="V51" t="n">
        <f>IF(OR('Base Encuesta'!AC25="",IFERROR(VALUE(LEFT('Base Encuesta'!K25,1)),"")&gt;=3),"",VALUE(LEFT('Base Encuesta'!AC25,1)))</f>
        <v>5.0</v>
      </c>
      <c r="W51" t="n">
        <f>IF(OR('Base Encuesta'!AE25="",IFERROR(VALUE(LEFT('Base Encuesta'!K25,1)),"")&gt;=3),"",VALUE(LEFT('Base Encuesta'!AE25,1)))</f>
        <v>1.0</v>
      </c>
      <c r="X51" t="n">
        <f>IF(OR('Base Encuesta'!AF25="",IFERROR(VALUE(LEFT('Base Encuesta'!K25,1)),"")&gt;=3),"",IF(W51=1,VALUE(LEFT('Base Encuesta'!AF25,1)),""))</f>
        <v>5.0</v>
      </c>
      <c r="Y51" t="n">
        <f>IF(OR('Base Encuesta'!AG25="",IFERROR(VALUE(LEFT('Base Encuesta'!K25,1)),"")&gt;=3),"",IF(W51=1,VALUE(LEFT('Base Encuesta'!AG25,1)),""))</f>
        <v>5.0</v>
      </c>
      <c r="Z51" t="n">
        <f>IF(OR('Base Encuesta'!AH25="",IFERROR(VALUE(LEFT('Base Encuesta'!K25,1)),"")&gt;=3),"",IF(W51=1,VALUE(LEFT('Base Encuesta'!AH25,1)),""))</f>
        <v>5.0</v>
      </c>
      <c r="AA51" t="n">
        <f>IF(OR('Base Encuesta'!AI25="",IFERROR(VALUE(LEFT('Base Encuesta'!K25,1)),"")&gt;=3),"",IF(W51=1,VALUE(LEFT('Base Encuesta'!AI25,1)),""))</f>
        <v>5.0</v>
      </c>
      <c r="AB51" t="n">
        <f>IF(OR('Base Encuesta'!AJ25="",IFERROR(VALUE(LEFT('Base Encuesta'!K25,1)),"")&gt;=3),"",IF(W51=1,VALUE(LEFT('Base Encuesta'!AJ25,1)),""))</f>
        <v>5.0</v>
      </c>
      <c r="AC51" t="n">
        <f>IF(OR('Base Encuesta'!AL25="",IFERROR(VALUE(LEFT('Base Encuesta'!K25,1)),"")&gt;=3),"",VALUE(LEFT('Base Encuesta'!AL25,1)))</f>
        <v>5.0</v>
      </c>
      <c r="AD51" t="n">
        <f>IF(OR('Base Encuesta'!AM25="",IFERROR(VALUE(LEFT('Base Encuesta'!K25,1)),"")&gt;=3),"",VALUE(LEFT('Base Encuesta'!AM25,1)))</f>
        <v>5.0</v>
      </c>
      <c r="AE51" t="n">
        <f>IF(OR('Base Encuesta'!AN25="",IFERROR(VALUE(LEFT('Base Encuesta'!K25,1)),"")&gt;=3),"",VALUE(LEFT('Base Encuesta'!AN25,1)))</f>
        <v>5.0</v>
      </c>
      <c r="AF51" t="n">
        <f>IF(OR('Base Encuesta'!AO25="",IFERROR(VALUE(LEFT('Base Encuesta'!K25,1)),"")&gt;=3),"",VALUE(LEFT('Base Encuesta'!AO25,1)))</f>
        <v>5.0</v>
      </c>
      <c r="AG51" t="n">
        <f>IF(OR('Base Encuesta'!AQ25="",IFERROR(VALUE(LEFT('Base Encuesta'!K25,1)),"")&gt;=3),"",VALUE(LEFT('Base Encuesta'!AQ25,1)))</f>
        <v>5.0</v>
      </c>
      <c r="AH51" t="n">
        <f>IF(OR('Base Encuesta'!AR25="",IFERROR(VALUE(LEFT('Base Encuesta'!K25,1)),"")&gt;=3),"",VALUE(LEFT('Base Encuesta'!AR25,1)))</f>
        <v>5.0</v>
      </c>
    </row>
    <row r="52" spans="1:34">
      <c r="A52" t="n">
        <f>IF('Base Encuesta'!C26="","",'Base Encuesta'!C26)</f>
        <v>31013.0</v>
      </c>
      <c r="B52" t="str">
        <f>IF('Base Encuesta'!D26="","",'Base Encuesta'!D26)</f>
        <v>Escuela Interdisciplinaria de Altos Estudios Sociales</v>
      </c>
      <c r="C52" t="str">
        <f>IF('Base Encuesta'!E26="","",'Base Encuesta'!E26)</f>
        <v>MA-GN00209</v>
      </c>
      <c r="D52" t="str">
        <f>IF('Base Encuesta'!F26="","",'Base Encuesta'!F26)</f>
        <v>Laboratorio de Datos: webscraping y procesamiento de lenguaje natural</v>
      </c>
      <c r="E52" t="str">
        <f>IF('Base Encuesta'!G26="","",'Base Encuesta'!G26)</f>
        <v>82009</v>
      </c>
      <c r="F52" t="str">
        <f>IF('Base Encuesta'!H26="","",'Base Encuesta'!H26)</f>
        <v>Laboratorio de Datos tn Rosati</v>
      </c>
      <c r="G52" t="str">
        <f>IF('Base Encuesta'!I26="","",'Base Encuesta'!I26)</f>
        <v>ROSATI GERMAN FEDERICO (6114)</v>
      </c>
      <c r="H52" t="str">
        <f>IF('Base Encuesta'!J26="","",'Base Encuesta'!J26)</f>
        <v>Licenciatura en Sociología</v>
      </c>
      <c r="I52" t="str">
        <f>IF('Base Encuesta'!K26="","",'Base Encuesta'!K26)</f>
        <v>1-Finalicé la cursada (hayas aprobado o no)</v>
      </c>
      <c r="J52" t="str">
        <f>IF(OR('Base Encuesta'!P26="",IFERROR(VALUE(LEFT('Base Encuesta'!K26,1)),"")&gt;=3),"",PROPER(TRIM('Base Encuesta'!P26)))</f>
        <v>Germán Rosatti</v>
      </c>
      <c r="K52" t="str">
        <f>IF(OR('Base Encuesta'!Q26="",IFERROR(VALUE(LEFT('Base Encuesta'!K26,1)),"")&gt;=3),"",'Base Encuesta'!Q26)</f>
        <v>Excelente docente siempre puntual, cumplió con todos los puntos del programa, siempre dispuesto a explicar la cantidad de veces necesarias para que podamos entender.</v>
      </c>
      <c r="L52" t="n">
        <f>IF(OR('Base Encuesta'!R26="",IFERROR(VALUE(LEFT('Base Encuesta'!K26,1)),"")&gt;=3),"",VALUE(LEFT('Base Encuesta'!R26,1)))</f>
        <v>5.0</v>
      </c>
      <c r="M52" t="n">
        <f>IF(OR('Base Encuesta'!S26="",IFERROR(VALUE(LEFT('Base Encuesta'!K26,1)),"")&gt;=3),"",VALUE(LEFT('Base Encuesta'!S26,1)))</f>
        <v>5.0</v>
      </c>
      <c r="N52" t="n">
        <f>IF(OR('Base Encuesta'!T26="",IFERROR(VALUE(LEFT('Base Encuesta'!K26,1)),"")&gt;=3),"",VALUE(LEFT('Base Encuesta'!T26,1)))</f>
        <v>5.0</v>
      </c>
      <c r="O52" t="n">
        <f>IF(OR('Base Encuesta'!V26="",IFERROR(VALUE(LEFT('Base Encuesta'!K26,1)),"")&gt;=3),"",VALUE(LEFT('Base Encuesta'!V26,1)))</f>
        <v>1.0</v>
      </c>
      <c r="P52" t="n">
        <f>IF(OR('Base Encuesta'!W26="",IFERROR(VALUE(LEFT('Base Encuesta'!K26,1)),"")&gt;=3),"",VALUE(LEFT('Base Encuesta'!W26,1)))</f>
        <v>5.0</v>
      </c>
      <c r="Q52" t="n">
        <f>IF(OR('Base Encuesta'!X26="",IFERROR(VALUE(LEFT('Base Encuesta'!K26,1)),"")&gt;=3),"",VALUE(LEFT('Base Encuesta'!X26,1)))</f>
        <v>5.0</v>
      </c>
      <c r="R52" t="n">
        <f>IF(OR('Base Encuesta'!Y26="",IFERROR(VALUE(LEFT('Base Encuesta'!K26,1)),"")&gt;=3),"",VALUE(LEFT('Base Encuesta'!Y26,1)))</f>
        <v>5.0</v>
      </c>
      <c r="S52" t="n">
        <f>IF(OR('Base Encuesta'!Z26="",IFERROR(VALUE(LEFT('Base Encuesta'!K26,1)),"")&gt;=3),"",VALUE(LEFT('Base Encuesta'!Z26,1)))</f>
        <v>5.0</v>
      </c>
      <c r="T52" t="n">
        <f>IF(OR('Base Encuesta'!AA26="",IFERROR(VALUE(LEFT('Base Encuesta'!K26,1)),"")&gt;=3),"",VALUE(LEFT('Base Encuesta'!AA26,1)))</f>
        <v>5.0</v>
      </c>
      <c r="U52" t="n">
        <f>IF(OR('Base Encuesta'!AB26="",IFERROR(VALUE(LEFT('Base Encuesta'!K26,1)),"")&gt;=3),"",VALUE(LEFT('Base Encuesta'!AB26,1)))</f>
        <v>5.0</v>
      </c>
      <c r="V52" t="n">
        <f>IF(OR('Base Encuesta'!AC26="",IFERROR(VALUE(LEFT('Base Encuesta'!K26,1)),"")&gt;=3),"",VALUE(LEFT('Base Encuesta'!AC26,1)))</f>
        <v>5.0</v>
      </c>
      <c r="W52" t="n">
        <f>IF(OR('Base Encuesta'!AE26="",IFERROR(VALUE(LEFT('Base Encuesta'!K26,1)),"")&gt;=3),"",VALUE(LEFT('Base Encuesta'!AE26,1)))</f>
        <v>1.0</v>
      </c>
      <c r="X52" t="n">
        <f>IF(OR('Base Encuesta'!AF26="",IFERROR(VALUE(LEFT('Base Encuesta'!K26,1)),"")&gt;=3),"",IF(W52=1,VALUE(LEFT('Base Encuesta'!AF26,1)),""))</f>
        <v>5.0</v>
      </c>
      <c r="Y52" t="n">
        <f>IF(OR('Base Encuesta'!AG26="",IFERROR(VALUE(LEFT('Base Encuesta'!K26,1)),"")&gt;=3),"",IF(W52=1,VALUE(LEFT('Base Encuesta'!AG26,1)),""))</f>
        <v>5.0</v>
      </c>
      <c r="Z52" t="n">
        <f>IF(OR('Base Encuesta'!AH26="",IFERROR(VALUE(LEFT('Base Encuesta'!K26,1)),"")&gt;=3),"",IF(W52=1,VALUE(LEFT('Base Encuesta'!AH26,1)),""))</f>
        <v>5.0</v>
      </c>
      <c r="AA52" t="n">
        <f>IF(OR('Base Encuesta'!AI26="",IFERROR(VALUE(LEFT('Base Encuesta'!K26,1)),"")&gt;=3),"",IF(W52=1,VALUE(LEFT('Base Encuesta'!AI26,1)),""))</f>
        <v>5.0</v>
      </c>
      <c r="AB52" t="n">
        <f>IF(OR('Base Encuesta'!AJ26="",IFERROR(VALUE(LEFT('Base Encuesta'!K26,1)),"")&gt;=3),"",IF(W52=1,VALUE(LEFT('Base Encuesta'!AJ26,1)),""))</f>
        <v>5.0</v>
      </c>
      <c r="AC52" t="n">
        <f>IF(OR('Base Encuesta'!AL26="",IFERROR(VALUE(LEFT('Base Encuesta'!K26,1)),"")&gt;=3),"",VALUE(LEFT('Base Encuesta'!AL26,1)))</f>
        <v>5.0</v>
      </c>
      <c r="AD52" t="n">
        <f>IF(OR('Base Encuesta'!AM26="",IFERROR(VALUE(LEFT('Base Encuesta'!K26,1)),"")&gt;=3),"",VALUE(LEFT('Base Encuesta'!AM26,1)))</f>
        <v>5.0</v>
      </c>
      <c r="AE52" t="n">
        <f>IF(OR('Base Encuesta'!AN26="",IFERROR(VALUE(LEFT('Base Encuesta'!K26,1)),"")&gt;=3),"",VALUE(LEFT('Base Encuesta'!AN26,1)))</f>
        <v>5.0</v>
      </c>
      <c r="AF52" t="n">
        <f>IF(OR('Base Encuesta'!AO26="",IFERROR(VALUE(LEFT('Base Encuesta'!K26,1)),"")&gt;=3),"",VALUE(LEFT('Base Encuesta'!AO26,1)))</f>
        <v>5.0</v>
      </c>
      <c r="AG52" t="n">
        <f>IF(OR('Base Encuesta'!AQ26="",IFERROR(VALUE(LEFT('Base Encuesta'!K26,1)),"")&gt;=3),"",VALUE(LEFT('Base Encuesta'!AQ26,1)))</f>
        <v>4.0</v>
      </c>
      <c r="AH52" t="n">
        <f>IF(OR('Base Encuesta'!AR26="",IFERROR(VALUE(LEFT('Base Encuesta'!K26,1)),"")&gt;=3),"",VALUE(LEFT('Base Encuesta'!AR26,1)))</f>
        <v>5.0</v>
      </c>
    </row>
    <row r="53" spans="1:34">
      <c r="A53" t="n">
        <f>IF('Base Encuesta'!C27="","",'Base Encuesta'!C27)</f>
        <v>31014.0</v>
      </c>
      <c r="B53" t="str">
        <f>IF('Base Encuesta'!D27="","",'Base Encuesta'!D27)</f>
        <v>Escuela Interdisciplinaria de Altos Estudios Sociales</v>
      </c>
      <c r="C53" t="str">
        <f>IF('Base Encuesta'!E27="","",'Base Encuesta'!E27)</f>
        <v>MA-GN00209</v>
      </c>
      <c r="D53" t="str">
        <f>IF('Base Encuesta'!F27="","",'Base Encuesta'!F27)</f>
        <v>Laboratorio de Datos: webscraping y procesamiento de lenguaje natural</v>
      </c>
      <c r="E53" t="str">
        <f>IF('Base Encuesta'!G27="","",'Base Encuesta'!G27)</f>
        <v>82009</v>
      </c>
      <c r="F53" t="str">
        <f>IF('Base Encuesta'!H27="","",'Base Encuesta'!H27)</f>
        <v>Laboratorio de Datos tn Rosati</v>
      </c>
      <c r="G53" t="str">
        <f>IF('Base Encuesta'!I27="","",'Base Encuesta'!I27)</f>
        <v>ROSATI GERMAN FEDERICO (6114)</v>
      </c>
      <c r="H53" t="str">
        <f>IF('Base Encuesta'!J27="","",'Base Encuesta'!J27)</f>
        <v>Licenciatura en Sociología</v>
      </c>
      <c r="I53" t="str">
        <f>IF('Base Encuesta'!K27="","",'Base Encuesta'!K27)</f>
        <v>1-Finalicé la cursada (hayas aprobado o no)</v>
      </c>
      <c r="J53" t="str">
        <f>IF(OR('Base Encuesta'!P27="",IFERROR(VALUE(LEFT('Base Encuesta'!K27,1)),"")&gt;=3),"",PROPER(TRIM('Base Encuesta'!P27)))</f>
        <v>German Rosati</v>
      </c>
      <c r="K53" t="str">
        <f>IF(OR('Base Encuesta'!Q27="",IFERROR(VALUE(LEFT('Base Encuesta'!K27,1)),"")&gt;=3),"",'Base Encuesta'!Q27)</f>
        <v>de 10</v>
      </c>
      <c r="L53" t="n">
        <f>IF(OR('Base Encuesta'!R27="",IFERROR(VALUE(LEFT('Base Encuesta'!K27,1)),"")&gt;=3),"",VALUE(LEFT('Base Encuesta'!R27,1)))</f>
        <v>5.0</v>
      </c>
      <c r="M53" t="n">
        <f>IF(OR('Base Encuesta'!S27="",IFERROR(VALUE(LEFT('Base Encuesta'!K27,1)),"")&gt;=3),"",VALUE(LEFT('Base Encuesta'!S27,1)))</f>
        <v>5.0</v>
      </c>
      <c r="N53" t="n">
        <f>IF(OR('Base Encuesta'!T27="",IFERROR(VALUE(LEFT('Base Encuesta'!K27,1)),"")&gt;=3),"",VALUE(LEFT('Base Encuesta'!T27,1)))</f>
        <v>5.0</v>
      </c>
      <c r="O53" t="n">
        <f>IF(OR('Base Encuesta'!V27="",IFERROR(VALUE(LEFT('Base Encuesta'!K27,1)),"")&gt;=3),"",VALUE(LEFT('Base Encuesta'!V27,1)))</f>
        <v>1.0</v>
      </c>
      <c r="P53" t="n">
        <f>IF(OR('Base Encuesta'!W27="",IFERROR(VALUE(LEFT('Base Encuesta'!K27,1)),"")&gt;=3),"",VALUE(LEFT('Base Encuesta'!W27,1)))</f>
        <v>5.0</v>
      </c>
      <c r="Q53" t="n">
        <f>IF(OR('Base Encuesta'!X27="",IFERROR(VALUE(LEFT('Base Encuesta'!K27,1)),"")&gt;=3),"",VALUE(LEFT('Base Encuesta'!X27,1)))</f>
        <v>5.0</v>
      </c>
      <c r="R53" t="n">
        <f>IF(OR('Base Encuesta'!Y27="",IFERROR(VALUE(LEFT('Base Encuesta'!K27,1)),"")&gt;=3),"",VALUE(LEFT('Base Encuesta'!Y27,1)))</f>
        <v>5.0</v>
      </c>
      <c r="S53" t="n">
        <f>IF(OR('Base Encuesta'!Z27="",IFERROR(VALUE(LEFT('Base Encuesta'!K27,1)),"")&gt;=3),"",VALUE(LEFT('Base Encuesta'!Z27,1)))</f>
        <v>5.0</v>
      </c>
      <c r="T53" t="n">
        <f>IF(OR('Base Encuesta'!AA27="",IFERROR(VALUE(LEFT('Base Encuesta'!K27,1)),"")&gt;=3),"",VALUE(LEFT('Base Encuesta'!AA27,1)))</f>
        <v>5.0</v>
      </c>
      <c r="U53" t="n">
        <f>IF(OR('Base Encuesta'!AB27="",IFERROR(VALUE(LEFT('Base Encuesta'!K27,1)),"")&gt;=3),"",VALUE(LEFT('Base Encuesta'!AB27,1)))</f>
        <v>5.0</v>
      </c>
      <c r="V53" t="n">
        <f>IF(OR('Base Encuesta'!AC27="",IFERROR(VALUE(LEFT('Base Encuesta'!K27,1)),"")&gt;=3),"",VALUE(LEFT('Base Encuesta'!AC27,1)))</f>
        <v>5.0</v>
      </c>
      <c r="W53" t="n">
        <f>IF(OR('Base Encuesta'!AE27="",IFERROR(VALUE(LEFT('Base Encuesta'!K27,1)),"")&gt;=3),"",VALUE(LEFT('Base Encuesta'!AE27,1)))</f>
        <v>1.0</v>
      </c>
      <c r="X53" t="n">
        <f>IF(OR('Base Encuesta'!AF27="",IFERROR(VALUE(LEFT('Base Encuesta'!K27,1)),"")&gt;=3),"",IF(W53=1,VALUE(LEFT('Base Encuesta'!AF27,1)),""))</f>
        <v>5.0</v>
      </c>
      <c r="Y53" t="n">
        <f>IF(OR('Base Encuesta'!AG27="",IFERROR(VALUE(LEFT('Base Encuesta'!K27,1)),"")&gt;=3),"",IF(W53=1,VALUE(LEFT('Base Encuesta'!AG27,1)),""))</f>
        <v>5.0</v>
      </c>
      <c r="Z53" t="n">
        <f>IF(OR('Base Encuesta'!AH27="",IFERROR(VALUE(LEFT('Base Encuesta'!K27,1)),"")&gt;=3),"",IF(W53=1,VALUE(LEFT('Base Encuesta'!AH27,1)),""))</f>
        <v>5.0</v>
      </c>
      <c r="AA53" t="n">
        <f>IF(OR('Base Encuesta'!AI27="",IFERROR(VALUE(LEFT('Base Encuesta'!K27,1)),"")&gt;=3),"",IF(W53=1,VALUE(LEFT('Base Encuesta'!AI27,1)),""))</f>
        <v>5.0</v>
      </c>
      <c r="AB53" t="n">
        <f>IF(OR('Base Encuesta'!AJ27="",IFERROR(VALUE(LEFT('Base Encuesta'!K27,1)),"")&gt;=3),"",IF(W53=1,VALUE(LEFT('Base Encuesta'!AJ27,1)),""))</f>
        <v>5.0</v>
      </c>
      <c r="AC53" t="n">
        <f>IF(OR('Base Encuesta'!AL27="",IFERROR(VALUE(LEFT('Base Encuesta'!K27,1)),"")&gt;=3),"",VALUE(LEFT('Base Encuesta'!AL27,1)))</f>
        <v>5.0</v>
      </c>
      <c r="AD53" t="n">
        <f>IF(OR('Base Encuesta'!AM27="",IFERROR(VALUE(LEFT('Base Encuesta'!K27,1)),"")&gt;=3),"",VALUE(LEFT('Base Encuesta'!AM27,1)))</f>
        <v>5.0</v>
      </c>
      <c r="AE53" t="n">
        <f>IF(OR('Base Encuesta'!AN27="",IFERROR(VALUE(LEFT('Base Encuesta'!K27,1)),"")&gt;=3),"",VALUE(LEFT('Base Encuesta'!AN27,1)))</f>
        <v>5.0</v>
      </c>
      <c r="AF53" t="n">
        <f>IF(OR('Base Encuesta'!AO27="",IFERROR(VALUE(LEFT('Base Encuesta'!K27,1)),"")&gt;=3),"",VALUE(LEFT('Base Encuesta'!AO27,1)))</f>
        <v>5.0</v>
      </c>
      <c r="AG53" t="n">
        <f>IF(OR('Base Encuesta'!AQ27="",IFERROR(VALUE(LEFT('Base Encuesta'!K27,1)),"")&gt;=3),"",VALUE(LEFT('Base Encuesta'!AQ27,1)))</f>
        <v>5.0</v>
      </c>
      <c r="AH53" t="n">
        <f>IF(OR('Base Encuesta'!AR27="",IFERROR(VALUE(LEFT('Base Encuesta'!K27,1)),"")&gt;=3),"",VALUE(LEFT('Base Encuesta'!AR27,1)))</f>
        <v>5.0</v>
      </c>
    </row>
    <row r="54" spans="1:34">
      <c r="A54" t="n">
        <f>IF('Base Encuesta'!C28="","",'Base Encuesta'!C28)</f>
        <v>31015.0</v>
      </c>
      <c r="B54" t="str">
        <f>IF('Base Encuesta'!D28="","",'Base Encuesta'!D28)</f>
        <v>Escuela Interdisciplinaria de Altos Estudios Sociales</v>
      </c>
      <c r="C54" t="str">
        <f>IF('Base Encuesta'!E28="","",'Base Encuesta'!E28)</f>
        <v>MA-GN00209</v>
      </c>
      <c r="D54" t="str">
        <f>IF('Base Encuesta'!F28="","",'Base Encuesta'!F28)</f>
        <v>Laboratorio de Datos: webscraping y procesamiento de lenguaje natural</v>
      </c>
      <c r="E54" t="str">
        <f>IF('Base Encuesta'!G28="","",'Base Encuesta'!G28)</f>
        <v>82009</v>
      </c>
      <c r="F54" t="str">
        <f>IF('Base Encuesta'!H28="","",'Base Encuesta'!H28)</f>
        <v>Laboratorio de Datos tn Rosati</v>
      </c>
      <c r="G54" t="str">
        <f>IF('Base Encuesta'!I28="","",'Base Encuesta'!I28)</f>
        <v>ROSATI GERMAN FEDERICO (6114)</v>
      </c>
      <c r="H54" t="str">
        <f>IF('Base Encuesta'!J28="","",'Base Encuesta'!J28)</f>
        <v>Licenciatura en Sociología</v>
      </c>
      <c r="I54" t="str">
        <f>IF('Base Encuesta'!K28="","",'Base Encuesta'!K28)</f>
        <v>1-Finalicé la cursada (hayas aprobado o no)</v>
      </c>
      <c r="J54" t="str">
        <f>IF(OR('Base Encuesta'!P28="",IFERROR(VALUE(LEFT('Base Encuesta'!K28,1)),"")&gt;=3),"",PROPER(TRIM('Base Encuesta'!P28)))</f>
        <v>German Rosati</v>
      </c>
      <c r="K54" t="str">
        <f>IF(OR('Base Encuesta'!Q28="",IFERROR(VALUE(LEFT('Base Encuesta'!K28,1)),"")&gt;=3),"",'Base Encuesta'!Q28)</f>
        <v>Muy buen docente. Muy comprometido con la educación</v>
      </c>
      <c r="L54" t="n">
        <f>IF(OR('Base Encuesta'!R28="",IFERROR(VALUE(LEFT('Base Encuesta'!K28,1)),"")&gt;=3),"",VALUE(LEFT('Base Encuesta'!R28,1)))</f>
        <v>5.0</v>
      </c>
      <c r="M54" t="n">
        <f>IF(OR('Base Encuesta'!S28="",IFERROR(VALUE(LEFT('Base Encuesta'!K28,1)),"")&gt;=3),"",VALUE(LEFT('Base Encuesta'!S28,1)))</f>
        <v>5.0</v>
      </c>
      <c r="N54" t="n">
        <f>IF(OR('Base Encuesta'!T28="",IFERROR(VALUE(LEFT('Base Encuesta'!K28,1)),"")&gt;=3),"",VALUE(LEFT('Base Encuesta'!T28,1)))</f>
        <v>5.0</v>
      </c>
      <c r="O54" t="n">
        <f>IF(OR('Base Encuesta'!V28="",IFERROR(VALUE(LEFT('Base Encuesta'!K28,1)),"")&gt;=3),"",VALUE(LEFT('Base Encuesta'!V28,1)))</f>
        <v>5.0</v>
      </c>
      <c r="P54" t="n">
        <f>IF(OR('Base Encuesta'!W28="",IFERROR(VALUE(LEFT('Base Encuesta'!K28,1)),"")&gt;=3),"",VALUE(LEFT('Base Encuesta'!W28,1)))</f>
        <v>5.0</v>
      </c>
      <c r="Q54" t="n">
        <f>IF(OR('Base Encuesta'!X28="",IFERROR(VALUE(LEFT('Base Encuesta'!K28,1)),"")&gt;=3),"",VALUE(LEFT('Base Encuesta'!X28,1)))</f>
        <v>5.0</v>
      </c>
      <c r="R54" t="n">
        <f>IF(OR('Base Encuesta'!Y28="",IFERROR(VALUE(LEFT('Base Encuesta'!K28,1)),"")&gt;=3),"",VALUE(LEFT('Base Encuesta'!Y28,1)))</f>
        <v>5.0</v>
      </c>
      <c r="S54" t="n">
        <f>IF(OR('Base Encuesta'!Z28="",IFERROR(VALUE(LEFT('Base Encuesta'!K28,1)),"")&gt;=3),"",VALUE(LEFT('Base Encuesta'!Z28,1)))</f>
        <v>5.0</v>
      </c>
      <c r="T54" t="n">
        <f>IF(OR('Base Encuesta'!AA28="",IFERROR(VALUE(LEFT('Base Encuesta'!K28,1)),"")&gt;=3),"",VALUE(LEFT('Base Encuesta'!AA28,1)))</f>
        <v>5.0</v>
      </c>
      <c r="U54" t="n">
        <f>IF(OR('Base Encuesta'!AB28="",IFERROR(VALUE(LEFT('Base Encuesta'!K28,1)),"")&gt;=3),"",VALUE(LEFT('Base Encuesta'!AB28,1)))</f>
        <v>5.0</v>
      </c>
      <c r="V54" t="n">
        <f>IF(OR('Base Encuesta'!AC28="",IFERROR(VALUE(LEFT('Base Encuesta'!K28,1)),"")&gt;=3),"",VALUE(LEFT('Base Encuesta'!AC28,1)))</f>
        <v>5.0</v>
      </c>
      <c r="W54" t="n">
        <f>IF(OR('Base Encuesta'!AE28="",IFERROR(VALUE(LEFT('Base Encuesta'!K28,1)),"")&gt;=3),"",VALUE(LEFT('Base Encuesta'!AE28,1)))</f>
        <v>1.0</v>
      </c>
      <c r="X54" t="n">
        <f>IF(OR('Base Encuesta'!AF28="",IFERROR(VALUE(LEFT('Base Encuesta'!K28,1)),"")&gt;=3),"",IF(W54=1,VALUE(LEFT('Base Encuesta'!AF28,1)),""))</f>
        <v>5.0</v>
      </c>
      <c r="Y54" t="n">
        <f>IF(OR('Base Encuesta'!AG28="",IFERROR(VALUE(LEFT('Base Encuesta'!K28,1)),"")&gt;=3),"",IF(W54=1,VALUE(LEFT('Base Encuesta'!AG28,1)),""))</f>
        <v>5.0</v>
      </c>
      <c r="Z54" t="n">
        <f>IF(OR('Base Encuesta'!AH28="",IFERROR(VALUE(LEFT('Base Encuesta'!K28,1)),"")&gt;=3),"",IF(W54=1,VALUE(LEFT('Base Encuesta'!AH28,1)),""))</f>
        <v>5.0</v>
      </c>
      <c r="AA54" t="n">
        <f>IF(OR('Base Encuesta'!AI28="",IFERROR(VALUE(LEFT('Base Encuesta'!K28,1)),"")&gt;=3),"",IF(W54=1,VALUE(LEFT('Base Encuesta'!AI28,1)),""))</f>
        <v>5.0</v>
      </c>
      <c r="AB54" t="n">
        <f>IF(OR('Base Encuesta'!AJ28="",IFERROR(VALUE(LEFT('Base Encuesta'!K28,1)),"")&gt;=3),"",IF(W54=1,VALUE(LEFT('Base Encuesta'!AJ28,1)),""))</f>
        <v>5.0</v>
      </c>
      <c r="AC54" t="n">
        <f>IF(OR('Base Encuesta'!AL28="",IFERROR(VALUE(LEFT('Base Encuesta'!K28,1)),"")&gt;=3),"",VALUE(LEFT('Base Encuesta'!AL28,1)))</f>
        <v>5.0</v>
      </c>
      <c r="AD54" t="n">
        <f>IF(OR('Base Encuesta'!AM28="",IFERROR(VALUE(LEFT('Base Encuesta'!K28,1)),"")&gt;=3),"",VALUE(LEFT('Base Encuesta'!AM28,1)))</f>
        <v>5.0</v>
      </c>
      <c r="AE54" t="n">
        <f>IF(OR('Base Encuesta'!AN28="",IFERROR(VALUE(LEFT('Base Encuesta'!K28,1)),"")&gt;=3),"",VALUE(LEFT('Base Encuesta'!AN28,1)))</f>
        <v>5.0</v>
      </c>
      <c r="AF54" t="n">
        <f>IF(OR('Base Encuesta'!AO28="",IFERROR(VALUE(LEFT('Base Encuesta'!K28,1)),"")&gt;=3),"",VALUE(LEFT('Base Encuesta'!AO28,1)))</f>
        <v>5.0</v>
      </c>
      <c r="AG54" t="n">
        <f>IF(OR('Base Encuesta'!AQ28="",IFERROR(VALUE(LEFT('Base Encuesta'!K28,1)),"")&gt;=3),"",VALUE(LEFT('Base Encuesta'!AQ28,1)))</f>
        <v>5.0</v>
      </c>
      <c r="AH54" t="n">
        <f>IF(OR('Base Encuesta'!AR28="",IFERROR(VALUE(LEFT('Base Encuesta'!K28,1)),"")&gt;=3),"",VALUE(LEFT('Base Encuesta'!AR28,1)))</f>
        <v>5.0</v>
      </c>
    </row>
    <row r="55" spans="1:34">
      <c r="A55" t="n">
        <f>IF('Base Encuesta'!C29="","",'Base Encuesta'!C29)</f>
        <v>31016.0</v>
      </c>
      <c r="B55" t="str">
        <f>IF('Base Encuesta'!D29="","",'Base Encuesta'!D29)</f>
        <v>Escuela Interdisciplinaria de Altos Estudios Sociales</v>
      </c>
      <c r="C55" t="str">
        <f>IF('Base Encuesta'!E29="","",'Base Encuesta'!E29)</f>
        <v>MA-GN00209</v>
      </c>
      <c r="D55" t="str">
        <f>IF('Base Encuesta'!F29="","",'Base Encuesta'!F29)</f>
        <v>Laboratorio de Datos: webscraping y procesamiento de lenguaje natural</v>
      </c>
      <c r="E55" t="str">
        <f>IF('Base Encuesta'!G29="","",'Base Encuesta'!G29)</f>
        <v>82009</v>
      </c>
      <c r="F55" t="str">
        <f>IF('Base Encuesta'!H29="","",'Base Encuesta'!H29)</f>
        <v>Laboratorio de Datos tn Rosati</v>
      </c>
      <c r="G55" t="str">
        <f>IF('Base Encuesta'!I29="","",'Base Encuesta'!I29)</f>
        <v>ROSATI GERMAN FEDERICO (6114)</v>
      </c>
      <c r="H55" t="str">
        <f>IF('Base Encuesta'!J29="","",'Base Encuesta'!J29)</f>
        <v>Licenciatura en Antropología Social y Cultural</v>
      </c>
      <c r="I55" t="str">
        <f>IF('Base Encuesta'!K29="","",'Base Encuesta'!K29)</f>
        <v>1-Finalicé la cursada (hayas aprobado o no)</v>
      </c>
      <c r="J55" t="str">
        <f>IF(OR('Base Encuesta'!P29="",IFERROR(VALUE(LEFT('Base Encuesta'!K29,1)),"")&gt;=3),"",PROPER(TRIM('Base Encuesta'!P29)))</f>
        <v>Germán Rosati</v>
      </c>
      <c r="K55" t="str">
        <f>IF(OR('Base Encuesta'!Q29="",IFERROR(VALUE(LEFT('Base Encuesta'!K29,1)),"")&gt;=3),"",'Base Encuesta'!Q29)</f>
        <v>Excelente</v>
      </c>
      <c r="L55" t="n">
        <f>IF(OR('Base Encuesta'!R29="",IFERROR(VALUE(LEFT('Base Encuesta'!K29,1)),"")&gt;=3),"",VALUE(LEFT('Base Encuesta'!R29,1)))</f>
        <v>5.0</v>
      </c>
      <c r="M55" t="n">
        <f>IF(OR('Base Encuesta'!S29="",IFERROR(VALUE(LEFT('Base Encuesta'!K29,1)),"")&gt;=3),"",VALUE(LEFT('Base Encuesta'!S29,1)))</f>
        <v>5.0</v>
      </c>
      <c r="N55" t="n">
        <f>IF(OR('Base Encuesta'!T29="",IFERROR(VALUE(LEFT('Base Encuesta'!K29,1)),"")&gt;=3),"",VALUE(LEFT('Base Encuesta'!T29,1)))</f>
        <v>5.0</v>
      </c>
      <c r="O55" t="n">
        <f>IF(OR('Base Encuesta'!V29="",IFERROR(VALUE(LEFT('Base Encuesta'!K29,1)),"")&gt;=3),"",VALUE(LEFT('Base Encuesta'!V29,1)))</f>
        <v>1.0</v>
      </c>
      <c r="P55" t="n">
        <f>IF(OR('Base Encuesta'!W29="",IFERROR(VALUE(LEFT('Base Encuesta'!K29,1)),"")&gt;=3),"",VALUE(LEFT('Base Encuesta'!W29,1)))</f>
        <v>5.0</v>
      </c>
      <c r="Q55" t="n">
        <f>IF(OR('Base Encuesta'!X29="",IFERROR(VALUE(LEFT('Base Encuesta'!K29,1)),"")&gt;=3),"",VALUE(LEFT('Base Encuesta'!X29,1)))</f>
        <v>5.0</v>
      </c>
      <c r="R55" t="n">
        <f>IF(OR('Base Encuesta'!Y29="",IFERROR(VALUE(LEFT('Base Encuesta'!K29,1)),"")&gt;=3),"",VALUE(LEFT('Base Encuesta'!Y29,1)))</f>
        <v>5.0</v>
      </c>
      <c r="S55" t="n">
        <f>IF(OR('Base Encuesta'!Z29="",IFERROR(VALUE(LEFT('Base Encuesta'!K29,1)),"")&gt;=3),"",VALUE(LEFT('Base Encuesta'!Z29,1)))</f>
        <v>5.0</v>
      </c>
      <c r="T55" t="n">
        <f>IF(OR('Base Encuesta'!AA29="",IFERROR(VALUE(LEFT('Base Encuesta'!K29,1)),"")&gt;=3),"",VALUE(LEFT('Base Encuesta'!AA29,1)))</f>
        <v>5.0</v>
      </c>
      <c r="U55" t="n">
        <f>IF(OR('Base Encuesta'!AB29="",IFERROR(VALUE(LEFT('Base Encuesta'!K29,1)),"")&gt;=3),"",VALUE(LEFT('Base Encuesta'!AB29,1)))</f>
        <v>5.0</v>
      </c>
      <c r="V55" t="n">
        <f>IF(OR('Base Encuesta'!AC29="",IFERROR(VALUE(LEFT('Base Encuesta'!K29,1)),"")&gt;=3),"",VALUE(LEFT('Base Encuesta'!AC29,1)))</f>
        <v>5.0</v>
      </c>
      <c r="W55" t="n">
        <f>IF(OR('Base Encuesta'!AE29="",IFERROR(VALUE(LEFT('Base Encuesta'!K29,1)),"")&gt;=3),"",VALUE(LEFT('Base Encuesta'!AE29,1)))</f>
        <v>1.0</v>
      </c>
      <c r="X55" t="n">
        <f>IF(OR('Base Encuesta'!AF29="",IFERROR(VALUE(LEFT('Base Encuesta'!K29,1)),"")&gt;=3),"",IF(W55=1,VALUE(LEFT('Base Encuesta'!AF29,1)),""))</f>
        <v>5.0</v>
      </c>
      <c r="Y55" t="n">
        <f>IF(OR('Base Encuesta'!AG29="",IFERROR(VALUE(LEFT('Base Encuesta'!K29,1)),"")&gt;=3),"",IF(W55=1,VALUE(LEFT('Base Encuesta'!AG29,1)),""))</f>
        <v>5.0</v>
      </c>
      <c r="Z55" t="n">
        <f>IF(OR('Base Encuesta'!AH29="",IFERROR(VALUE(LEFT('Base Encuesta'!K29,1)),"")&gt;=3),"",IF(W55=1,VALUE(LEFT('Base Encuesta'!AH29,1)),""))</f>
        <v>5.0</v>
      </c>
      <c r="AA55" t="n">
        <f>IF(OR('Base Encuesta'!AI29="",IFERROR(VALUE(LEFT('Base Encuesta'!K29,1)),"")&gt;=3),"",IF(W55=1,VALUE(LEFT('Base Encuesta'!AI29,1)),""))</f>
        <v>5.0</v>
      </c>
      <c r="AB55" t="n">
        <f>IF(OR('Base Encuesta'!AJ29="",IFERROR(VALUE(LEFT('Base Encuesta'!K29,1)),"")&gt;=3),"",IF(W55=1,VALUE(LEFT('Base Encuesta'!AJ29,1)),""))</f>
        <v>5.0</v>
      </c>
      <c r="AC55" t="n">
        <f>IF(OR('Base Encuesta'!AL29="",IFERROR(VALUE(LEFT('Base Encuesta'!K29,1)),"")&gt;=3),"",VALUE(LEFT('Base Encuesta'!AL29,1)))</f>
        <v>5.0</v>
      </c>
      <c r="AD55" t="n">
        <f>IF(OR('Base Encuesta'!AM29="",IFERROR(VALUE(LEFT('Base Encuesta'!K29,1)),"")&gt;=3),"",VALUE(LEFT('Base Encuesta'!AM29,1)))</f>
        <v>5.0</v>
      </c>
      <c r="AE55" t="n">
        <f>IF(OR('Base Encuesta'!AN29="",IFERROR(VALUE(LEFT('Base Encuesta'!K29,1)),"")&gt;=3),"",VALUE(LEFT('Base Encuesta'!AN29,1)))</f>
        <v>5.0</v>
      </c>
      <c r="AF55" t="n">
        <f>IF(OR('Base Encuesta'!AO29="",IFERROR(VALUE(LEFT('Base Encuesta'!K29,1)),"")&gt;=3),"",VALUE(LEFT('Base Encuesta'!AO29,1)))</f>
        <v>5.0</v>
      </c>
      <c r="AG55" t="n">
        <f>IF(OR('Base Encuesta'!AQ29="",IFERROR(VALUE(LEFT('Base Encuesta'!K29,1)),"")&gt;=3),"",VALUE(LEFT('Base Encuesta'!AQ29,1)))</f>
        <v>5.0</v>
      </c>
      <c r="AH55" t="n">
        <f>IF(OR('Base Encuesta'!AR29="",IFERROR(VALUE(LEFT('Base Encuesta'!K29,1)),"")&gt;=3),"",VALUE(LEFT('Base Encuesta'!AR29,1)))</f>
        <v>5.0</v>
      </c>
    </row>
    <row r="56" spans="1:34">
      <c r="A56" t="str">
        <f>IF('Base Encuesta'!C30="","",'Base Encuesta'!C30)</f>
        <v/>
      </c>
      <c r="B56" t="str">
        <f>IF('Base Encuesta'!D30="","",'Base Encuesta'!D30)</f>
        <v/>
      </c>
      <c r="C56" t="str">
        <f>IF('Base Encuesta'!E30="","",'Base Encuesta'!E30)</f>
        <v/>
      </c>
      <c r="D56" t="str">
        <f>IF('Base Encuesta'!F30="","",'Base Encuesta'!F30)</f>
        <v/>
      </c>
      <c r="E56" t="str">
        <f>IF('Base Encuesta'!G30="","",'Base Encuesta'!G30)</f>
        <v/>
      </c>
      <c r="F56" t="str">
        <f>IF('Base Encuesta'!H30="","",'Base Encuesta'!H30)</f>
        <v/>
      </c>
      <c r="G56" t="str">
        <f>IF('Base Encuesta'!I30="","",'Base Encuesta'!I30)</f>
        <v/>
      </c>
      <c r="H56" t="str">
        <f>IF('Base Encuesta'!J30="","",'Base Encuesta'!J30)</f>
        <v/>
      </c>
      <c r="I56" t="str">
        <f>IF('Base Encuesta'!K30="","",'Base Encuesta'!K30)</f>
        <v/>
      </c>
      <c r="J56" t="str">
        <f>IF(OR('Base Encuesta'!P30="",IFERROR(VALUE(LEFT('Base Encuesta'!K30,1)),"")&gt;=3),"",PROPER(TRIM('Base Encuesta'!P30)))</f>
        <v/>
      </c>
      <c r="K56" t="str">
        <f>IF(OR('Base Encuesta'!Q30="",IFERROR(VALUE(LEFT('Base Encuesta'!K30,1)),"")&gt;=3),"",'Base Encuesta'!Q30)</f>
        <v/>
      </c>
      <c r="L56" t="str">
        <f>IF(OR('Base Encuesta'!R30="",IFERROR(VALUE(LEFT('Base Encuesta'!K30,1)),"")&gt;=3),"",VALUE(LEFT('Base Encuesta'!R30,1)))</f>
        <v/>
      </c>
      <c r="M56" t="str">
        <f>IF(OR('Base Encuesta'!S30="",IFERROR(VALUE(LEFT('Base Encuesta'!K30,1)),"")&gt;=3),"",VALUE(LEFT('Base Encuesta'!S30,1)))</f>
        <v/>
      </c>
      <c r="N56" t="str">
        <f>IF(OR('Base Encuesta'!T30="",IFERROR(VALUE(LEFT('Base Encuesta'!K30,1)),"")&gt;=3),"",VALUE(LEFT('Base Encuesta'!T30,1)))</f>
        <v/>
      </c>
      <c r="O56" t="str">
        <f>IF(OR('Base Encuesta'!V30="",IFERROR(VALUE(LEFT('Base Encuesta'!K30,1)),"")&gt;=3),"",VALUE(LEFT('Base Encuesta'!V30,1)))</f>
        <v/>
      </c>
      <c r="P56" t="str">
        <f>IF(OR('Base Encuesta'!W30="",IFERROR(VALUE(LEFT('Base Encuesta'!K30,1)),"")&gt;=3),"",VALUE(LEFT('Base Encuesta'!W30,1)))</f>
        <v/>
      </c>
      <c r="Q56" t="str">
        <f>IF(OR('Base Encuesta'!X30="",IFERROR(VALUE(LEFT('Base Encuesta'!K30,1)),"")&gt;=3),"",VALUE(LEFT('Base Encuesta'!X30,1)))</f>
        <v/>
      </c>
      <c r="R56" t="str">
        <f>IF(OR('Base Encuesta'!Y30="",IFERROR(VALUE(LEFT('Base Encuesta'!K30,1)),"")&gt;=3),"",VALUE(LEFT('Base Encuesta'!Y30,1)))</f>
        <v/>
      </c>
      <c r="S56" t="str">
        <f>IF(OR('Base Encuesta'!Z30="",IFERROR(VALUE(LEFT('Base Encuesta'!K30,1)),"")&gt;=3),"",VALUE(LEFT('Base Encuesta'!Z30,1)))</f>
        <v/>
      </c>
      <c r="T56" t="str">
        <f>IF(OR('Base Encuesta'!AA30="",IFERROR(VALUE(LEFT('Base Encuesta'!K30,1)),"")&gt;=3),"",VALUE(LEFT('Base Encuesta'!AA30,1)))</f>
        <v/>
      </c>
      <c r="U56" t="str">
        <f>IF(OR('Base Encuesta'!AB30="",IFERROR(VALUE(LEFT('Base Encuesta'!K30,1)),"")&gt;=3),"",VALUE(LEFT('Base Encuesta'!AB30,1)))</f>
        <v/>
      </c>
      <c r="V56" t="str">
        <f>IF(OR('Base Encuesta'!AC30="",IFERROR(VALUE(LEFT('Base Encuesta'!K30,1)),"")&gt;=3),"",VALUE(LEFT('Base Encuesta'!AC30,1)))</f>
        <v/>
      </c>
      <c r="W56" t="str">
        <f>IF(OR('Base Encuesta'!AE30="",IFERROR(VALUE(LEFT('Base Encuesta'!K30,1)),"")&gt;=3),"",VALUE(LEFT('Base Encuesta'!AE30,1)))</f>
        <v/>
      </c>
      <c r="X56" t="str">
        <f>IF(OR('Base Encuesta'!AF30="",IFERROR(VALUE(LEFT('Base Encuesta'!K30,1)),"")&gt;=3),"",IF(W56=1,VALUE(LEFT('Base Encuesta'!AF30,1)),""))</f>
        <v/>
      </c>
      <c r="Y56" t="str">
        <f>IF(OR('Base Encuesta'!AG30="",IFERROR(VALUE(LEFT('Base Encuesta'!K30,1)),"")&gt;=3),"",IF(W56=1,VALUE(LEFT('Base Encuesta'!AG30,1)),""))</f>
        <v/>
      </c>
      <c r="Z56" t="str">
        <f>IF(OR('Base Encuesta'!AH30="",IFERROR(VALUE(LEFT('Base Encuesta'!K30,1)),"")&gt;=3),"",IF(W56=1,VALUE(LEFT('Base Encuesta'!AH30,1)),""))</f>
        <v/>
      </c>
      <c r="AA56" t="str">
        <f>IF(OR('Base Encuesta'!AI30="",IFERROR(VALUE(LEFT('Base Encuesta'!K30,1)),"")&gt;=3),"",IF(W56=1,VALUE(LEFT('Base Encuesta'!AI30,1)),""))</f>
        <v/>
      </c>
      <c r="AB56" t="str">
        <f>IF(OR('Base Encuesta'!AJ30="",IFERROR(VALUE(LEFT('Base Encuesta'!K30,1)),"")&gt;=3),"",IF(W56=1,VALUE(LEFT('Base Encuesta'!AJ30,1)),""))</f>
        <v/>
      </c>
      <c r="AC56" t="str">
        <f>IF(OR('Base Encuesta'!AL30="",IFERROR(VALUE(LEFT('Base Encuesta'!K30,1)),"")&gt;=3),"",VALUE(LEFT('Base Encuesta'!AL30,1)))</f>
        <v/>
      </c>
      <c r="AD56" t="str">
        <f>IF(OR('Base Encuesta'!AM30="",IFERROR(VALUE(LEFT('Base Encuesta'!K30,1)),"")&gt;=3),"",VALUE(LEFT('Base Encuesta'!AM30,1)))</f>
        <v/>
      </c>
      <c r="AE56" t="str">
        <f>IF(OR('Base Encuesta'!AN30="",IFERROR(VALUE(LEFT('Base Encuesta'!K30,1)),"")&gt;=3),"",VALUE(LEFT('Base Encuesta'!AN30,1)))</f>
        <v/>
      </c>
      <c r="AF56" t="str">
        <f>IF(OR('Base Encuesta'!AO30="",IFERROR(VALUE(LEFT('Base Encuesta'!K30,1)),"")&gt;=3),"",VALUE(LEFT('Base Encuesta'!AO30,1)))</f>
        <v/>
      </c>
      <c r="AG56" t="str">
        <f>IF(OR('Base Encuesta'!AQ30="",IFERROR(VALUE(LEFT('Base Encuesta'!K30,1)),"")&gt;=3),"",VALUE(LEFT('Base Encuesta'!AQ30,1)))</f>
        <v/>
      </c>
      <c r="AH56" t="str">
        <f>IF(OR('Base Encuesta'!AR30="",IFERROR(VALUE(LEFT('Base Encuesta'!K30,1)),"")&gt;=3),"",VALUE(LEFT('Base Encuesta'!AR30,1)))</f>
        <v/>
      </c>
    </row>
    <row r="57" spans="1:34">
      <c r="A57" t="str">
        <f>IF('Base Encuesta'!C31="","",'Base Encuesta'!C31)</f>
        <v/>
      </c>
      <c r="B57" t="str">
        <f>IF('Base Encuesta'!D31="","",'Base Encuesta'!D31)</f>
        <v/>
      </c>
      <c r="C57" t="str">
        <f>IF('Base Encuesta'!E31="","",'Base Encuesta'!E31)</f>
        <v/>
      </c>
      <c r="D57" t="str">
        <f>IF('Base Encuesta'!F31="","",'Base Encuesta'!F31)</f>
        <v/>
      </c>
      <c r="E57" t="str">
        <f>IF('Base Encuesta'!G31="","",'Base Encuesta'!G31)</f>
        <v/>
      </c>
      <c r="F57" t="str">
        <f>IF('Base Encuesta'!H31="","",'Base Encuesta'!H31)</f>
        <v/>
      </c>
      <c r="G57" t="str">
        <f>IF('Base Encuesta'!I31="","",'Base Encuesta'!I31)</f>
        <v/>
      </c>
      <c r="H57" t="str">
        <f>IF('Base Encuesta'!J31="","",'Base Encuesta'!J31)</f>
        <v/>
      </c>
      <c r="I57" t="str">
        <f>IF('Base Encuesta'!K31="","",'Base Encuesta'!K31)</f>
        <v/>
      </c>
      <c r="J57" t="str">
        <f>IF(OR('Base Encuesta'!P31="",IFERROR(VALUE(LEFT('Base Encuesta'!K31,1)),"")&gt;=3),"",PROPER(TRIM('Base Encuesta'!P31)))</f>
        <v/>
      </c>
      <c r="K57" t="str">
        <f>IF(OR('Base Encuesta'!Q31="",IFERROR(VALUE(LEFT('Base Encuesta'!K31,1)),"")&gt;=3),"",'Base Encuesta'!Q31)</f>
        <v/>
      </c>
      <c r="L57" t="str">
        <f>IF(OR('Base Encuesta'!R31="",IFERROR(VALUE(LEFT('Base Encuesta'!K31,1)),"")&gt;=3),"",VALUE(LEFT('Base Encuesta'!R31,1)))</f>
        <v/>
      </c>
      <c r="M57" t="str">
        <f>IF(OR('Base Encuesta'!S31="",IFERROR(VALUE(LEFT('Base Encuesta'!K31,1)),"")&gt;=3),"",VALUE(LEFT('Base Encuesta'!S31,1)))</f>
        <v/>
      </c>
      <c r="N57" t="str">
        <f>IF(OR('Base Encuesta'!T31="",IFERROR(VALUE(LEFT('Base Encuesta'!K31,1)),"")&gt;=3),"",VALUE(LEFT('Base Encuesta'!T31,1)))</f>
        <v/>
      </c>
      <c r="O57" t="str">
        <f>IF(OR('Base Encuesta'!V31="",IFERROR(VALUE(LEFT('Base Encuesta'!K31,1)),"")&gt;=3),"",VALUE(LEFT('Base Encuesta'!V31,1)))</f>
        <v/>
      </c>
      <c r="P57" t="str">
        <f>IF(OR('Base Encuesta'!W31="",IFERROR(VALUE(LEFT('Base Encuesta'!K31,1)),"")&gt;=3),"",VALUE(LEFT('Base Encuesta'!W31,1)))</f>
        <v/>
      </c>
      <c r="Q57" t="str">
        <f>IF(OR('Base Encuesta'!X31="",IFERROR(VALUE(LEFT('Base Encuesta'!K31,1)),"")&gt;=3),"",VALUE(LEFT('Base Encuesta'!X31,1)))</f>
        <v/>
      </c>
      <c r="R57" t="str">
        <f>IF(OR('Base Encuesta'!Y31="",IFERROR(VALUE(LEFT('Base Encuesta'!K31,1)),"")&gt;=3),"",VALUE(LEFT('Base Encuesta'!Y31,1)))</f>
        <v/>
      </c>
      <c r="S57" t="str">
        <f>IF(OR('Base Encuesta'!Z31="",IFERROR(VALUE(LEFT('Base Encuesta'!K31,1)),"")&gt;=3),"",VALUE(LEFT('Base Encuesta'!Z31,1)))</f>
        <v/>
      </c>
      <c r="T57" t="str">
        <f>IF(OR('Base Encuesta'!AA31="",IFERROR(VALUE(LEFT('Base Encuesta'!K31,1)),"")&gt;=3),"",VALUE(LEFT('Base Encuesta'!AA31,1)))</f>
        <v/>
      </c>
      <c r="U57" t="str">
        <f>IF(OR('Base Encuesta'!AB31="",IFERROR(VALUE(LEFT('Base Encuesta'!K31,1)),"")&gt;=3),"",VALUE(LEFT('Base Encuesta'!AB31,1)))</f>
        <v/>
      </c>
      <c r="V57" t="str">
        <f>IF(OR('Base Encuesta'!AC31="",IFERROR(VALUE(LEFT('Base Encuesta'!K31,1)),"")&gt;=3),"",VALUE(LEFT('Base Encuesta'!AC31,1)))</f>
        <v/>
      </c>
      <c r="W57" t="str">
        <f>IF(OR('Base Encuesta'!AE31="",IFERROR(VALUE(LEFT('Base Encuesta'!K31,1)),"")&gt;=3),"",VALUE(LEFT('Base Encuesta'!AE31,1)))</f>
        <v/>
      </c>
      <c r="X57" t="str">
        <f>IF(OR('Base Encuesta'!AF31="",IFERROR(VALUE(LEFT('Base Encuesta'!K31,1)),"")&gt;=3),"",IF(W57=1,VALUE(LEFT('Base Encuesta'!AF31,1)),""))</f>
        <v/>
      </c>
      <c r="Y57" t="str">
        <f>IF(OR('Base Encuesta'!AG31="",IFERROR(VALUE(LEFT('Base Encuesta'!K31,1)),"")&gt;=3),"",IF(W57=1,VALUE(LEFT('Base Encuesta'!AG31,1)),""))</f>
        <v/>
      </c>
      <c r="Z57" t="str">
        <f>IF(OR('Base Encuesta'!AH31="",IFERROR(VALUE(LEFT('Base Encuesta'!K31,1)),"")&gt;=3),"",IF(W57=1,VALUE(LEFT('Base Encuesta'!AH31,1)),""))</f>
        <v/>
      </c>
      <c r="AA57" t="str">
        <f>IF(OR('Base Encuesta'!AI31="",IFERROR(VALUE(LEFT('Base Encuesta'!K31,1)),"")&gt;=3),"",IF(W57=1,VALUE(LEFT('Base Encuesta'!AI31,1)),""))</f>
        <v/>
      </c>
      <c r="AB57" t="str">
        <f>IF(OR('Base Encuesta'!AJ31="",IFERROR(VALUE(LEFT('Base Encuesta'!K31,1)),"")&gt;=3),"",IF(W57=1,VALUE(LEFT('Base Encuesta'!AJ31,1)),""))</f>
        <v/>
      </c>
      <c r="AC57" t="str">
        <f>IF(OR('Base Encuesta'!AL31="",IFERROR(VALUE(LEFT('Base Encuesta'!K31,1)),"")&gt;=3),"",VALUE(LEFT('Base Encuesta'!AL31,1)))</f>
        <v/>
      </c>
      <c r="AD57" t="str">
        <f>IF(OR('Base Encuesta'!AM31="",IFERROR(VALUE(LEFT('Base Encuesta'!K31,1)),"")&gt;=3),"",VALUE(LEFT('Base Encuesta'!AM31,1)))</f>
        <v/>
      </c>
      <c r="AE57" t="str">
        <f>IF(OR('Base Encuesta'!AN31="",IFERROR(VALUE(LEFT('Base Encuesta'!K31,1)),"")&gt;=3),"",VALUE(LEFT('Base Encuesta'!AN31,1)))</f>
        <v/>
      </c>
      <c r="AF57" t="str">
        <f>IF(OR('Base Encuesta'!AO31="",IFERROR(VALUE(LEFT('Base Encuesta'!K31,1)),"")&gt;=3),"",VALUE(LEFT('Base Encuesta'!AO31,1)))</f>
        <v/>
      </c>
      <c r="AG57" t="str">
        <f>IF(OR('Base Encuesta'!AQ31="",IFERROR(VALUE(LEFT('Base Encuesta'!K31,1)),"")&gt;=3),"",VALUE(LEFT('Base Encuesta'!AQ31,1)))</f>
        <v/>
      </c>
      <c r="AH57" t="str">
        <f>IF(OR('Base Encuesta'!AR31="",IFERROR(VALUE(LEFT('Base Encuesta'!K31,1)),"")&gt;=3),"",VALUE(LEFT('Base Encuesta'!AR31,1)))</f>
        <v/>
      </c>
    </row>
    <row r="58" spans="1:34">
      <c r="A58" t="str">
        <f>IF('Base Encuesta'!C32="","",'Base Encuesta'!C32)</f>
        <v/>
      </c>
      <c r="B58" t="str">
        <f>IF('Base Encuesta'!D32="","",'Base Encuesta'!D32)</f>
        <v/>
      </c>
      <c r="C58" t="str">
        <f>IF('Base Encuesta'!E32="","",'Base Encuesta'!E32)</f>
        <v/>
      </c>
      <c r="D58" t="str">
        <f>IF('Base Encuesta'!F32="","",'Base Encuesta'!F32)</f>
        <v/>
      </c>
      <c r="E58" t="str">
        <f>IF('Base Encuesta'!G32="","",'Base Encuesta'!G32)</f>
        <v/>
      </c>
      <c r="F58" t="str">
        <f>IF('Base Encuesta'!H32="","",'Base Encuesta'!H32)</f>
        <v/>
      </c>
      <c r="G58" t="str">
        <f>IF('Base Encuesta'!I32="","",'Base Encuesta'!I32)</f>
        <v/>
      </c>
      <c r="H58" t="str">
        <f>IF('Base Encuesta'!J32="","",'Base Encuesta'!J32)</f>
        <v/>
      </c>
      <c r="I58" t="str">
        <f>IF('Base Encuesta'!K32="","",'Base Encuesta'!K32)</f>
        <v/>
      </c>
      <c r="J58" t="str">
        <f>IF(OR('Base Encuesta'!P32="",IFERROR(VALUE(LEFT('Base Encuesta'!K32,1)),"")&gt;=3),"",PROPER(TRIM('Base Encuesta'!P32)))</f>
        <v/>
      </c>
      <c r="K58" t="str">
        <f>IF(OR('Base Encuesta'!Q32="",IFERROR(VALUE(LEFT('Base Encuesta'!K32,1)),"")&gt;=3),"",'Base Encuesta'!Q32)</f>
        <v/>
      </c>
      <c r="L58" t="str">
        <f>IF(OR('Base Encuesta'!R32="",IFERROR(VALUE(LEFT('Base Encuesta'!K32,1)),"")&gt;=3),"",VALUE(LEFT('Base Encuesta'!R32,1)))</f>
        <v/>
      </c>
      <c r="M58" t="str">
        <f>IF(OR('Base Encuesta'!S32="",IFERROR(VALUE(LEFT('Base Encuesta'!K32,1)),"")&gt;=3),"",VALUE(LEFT('Base Encuesta'!S32,1)))</f>
        <v/>
      </c>
      <c r="N58" t="str">
        <f>IF(OR('Base Encuesta'!T32="",IFERROR(VALUE(LEFT('Base Encuesta'!K32,1)),"")&gt;=3),"",VALUE(LEFT('Base Encuesta'!T32,1)))</f>
        <v/>
      </c>
      <c r="O58" t="str">
        <f>IF(OR('Base Encuesta'!V32="",IFERROR(VALUE(LEFT('Base Encuesta'!K32,1)),"")&gt;=3),"",VALUE(LEFT('Base Encuesta'!V32,1)))</f>
        <v/>
      </c>
      <c r="P58" t="str">
        <f>IF(OR('Base Encuesta'!W32="",IFERROR(VALUE(LEFT('Base Encuesta'!K32,1)),"")&gt;=3),"",VALUE(LEFT('Base Encuesta'!W32,1)))</f>
        <v/>
      </c>
      <c r="Q58" t="str">
        <f>IF(OR('Base Encuesta'!X32="",IFERROR(VALUE(LEFT('Base Encuesta'!K32,1)),"")&gt;=3),"",VALUE(LEFT('Base Encuesta'!X32,1)))</f>
        <v/>
      </c>
      <c r="R58" t="str">
        <f>IF(OR('Base Encuesta'!Y32="",IFERROR(VALUE(LEFT('Base Encuesta'!K32,1)),"")&gt;=3),"",VALUE(LEFT('Base Encuesta'!Y32,1)))</f>
        <v/>
      </c>
      <c r="S58" t="str">
        <f>IF(OR('Base Encuesta'!Z32="",IFERROR(VALUE(LEFT('Base Encuesta'!K32,1)),"")&gt;=3),"",VALUE(LEFT('Base Encuesta'!Z32,1)))</f>
        <v/>
      </c>
      <c r="T58" t="str">
        <f>IF(OR('Base Encuesta'!AA32="",IFERROR(VALUE(LEFT('Base Encuesta'!K32,1)),"")&gt;=3),"",VALUE(LEFT('Base Encuesta'!AA32,1)))</f>
        <v/>
      </c>
      <c r="U58" t="str">
        <f>IF(OR('Base Encuesta'!AB32="",IFERROR(VALUE(LEFT('Base Encuesta'!K32,1)),"")&gt;=3),"",VALUE(LEFT('Base Encuesta'!AB32,1)))</f>
        <v/>
      </c>
      <c r="V58" t="str">
        <f>IF(OR('Base Encuesta'!AC32="",IFERROR(VALUE(LEFT('Base Encuesta'!K32,1)),"")&gt;=3),"",VALUE(LEFT('Base Encuesta'!AC32,1)))</f>
        <v/>
      </c>
      <c r="W58" t="str">
        <f>IF(OR('Base Encuesta'!AE32="",IFERROR(VALUE(LEFT('Base Encuesta'!K32,1)),"")&gt;=3),"",VALUE(LEFT('Base Encuesta'!AE32,1)))</f>
        <v/>
      </c>
      <c r="X58" t="str">
        <f>IF(OR('Base Encuesta'!AF32="",IFERROR(VALUE(LEFT('Base Encuesta'!K32,1)),"")&gt;=3),"",IF(W58=1,VALUE(LEFT('Base Encuesta'!AF32,1)),""))</f>
        <v/>
      </c>
      <c r="Y58" t="str">
        <f>IF(OR('Base Encuesta'!AG32="",IFERROR(VALUE(LEFT('Base Encuesta'!K32,1)),"")&gt;=3),"",IF(W58=1,VALUE(LEFT('Base Encuesta'!AG32,1)),""))</f>
        <v/>
      </c>
      <c r="Z58" t="str">
        <f>IF(OR('Base Encuesta'!AH32="",IFERROR(VALUE(LEFT('Base Encuesta'!K32,1)),"")&gt;=3),"",IF(W58=1,VALUE(LEFT('Base Encuesta'!AH32,1)),""))</f>
        <v/>
      </c>
      <c r="AA58" t="str">
        <f>IF(OR('Base Encuesta'!AI32="",IFERROR(VALUE(LEFT('Base Encuesta'!K32,1)),"")&gt;=3),"",IF(W58=1,VALUE(LEFT('Base Encuesta'!AI32,1)),""))</f>
        <v/>
      </c>
      <c r="AB58" t="str">
        <f>IF(OR('Base Encuesta'!AJ32="",IFERROR(VALUE(LEFT('Base Encuesta'!K32,1)),"")&gt;=3),"",IF(W58=1,VALUE(LEFT('Base Encuesta'!AJ32,1)),""))</f>
        <v/>
      </c>
      <c r="AC58" t="str">
        <f>IF(OR('Base Encuesta'!AL32="",IFERROR(VALUE(LEFT('Base Encuesta'!K32,1)),"")&gt;=3),"",VALUE(LEFT('Base Encuesta'!AL32,1)))</f>
        <v/>
      </c>
      <c r="AD58" t="str">
        <f>IF(OR('Base Encuesta'!AM32="",IFERROR(VALUE(LEFT('Base Encuesta'!K32,1)),"")&gt;=3),"",VALUE(LEFT('Base Encuesta'!AM32,1)))</f>
        <v/>
      </c>
      <c r="AE58" t="str">
        <f>IF(OR('Base Encuesta'!AN32="",IFERROR(VALUE(LEFT('Base Encuesta'!K32,1)),"")&gt;=3),"",VALUE(LEFT('Base Encuesta'!AN32,1)))</f>
        <v/>
      </c>
      <c r="AF58" t="str">
        <f>IF(OR('Base Encuesta'!AO32="",IFERROR(VALUE(LEFT('Base Encuesta'!K32,1)),"")&gt;=3),"",VALUE(LEFT('Base Encuesta'!AO32,1)))</f>
        <v/>
      </c>
      <c r="AG58" t="str">
        <f>IF(OR('Base Encuesta'!AQ32="",IFERROR(VALUE(LEFT('Base Encuesta'!K32,1)),"")&gt;=3),"",VALUE(LEFT('Base Encuesta'!AQ32,1)))</f>
        <v/>
      </c>
      <c r="AH58" t="str">
        <f>IF(OR('Base Encuesta'!AR32="",IFERROR(VALUE(LEFT('Base Encuesta'!K32,1)),"")&gt;=3),"",VALUE(LEFT('Base Encuesta'!AR32,1)))</f>
        <v/>
      </c>
    </row>
    <row r="59" spans="1:34">
      <c r="A59" t="str">
        <f>IF('Base Encuesta'!C33="","",'Base Encuesta'!C33)</f>
        <v/>
      </c>
      <c r="B59" t="str">
        <f>IF('Base Encuesta'!D33="","",'Base Encuesta'!D33)</f>
        <v/>
      </c>
      <c r="C59" t="str">
        <f>IF('Base Encuesta'!E33="","",'Base Encuesta'!E33)</f>
        <v/>
      </c>
      <c r="D59" t="str">
        <f>IF('Base Encuesta'!F33="","",'Base Encuesta'!F33)</f>
        <v/>
      </c>
      <c r="E59" t="str">
        <f>IF('Base Encuesta'!G33="","",'Base Encuesta'!G33)</f>
        <v/>
      </c>
      <c r="F59" t="str">
        <f>IF('Base Encuesta'!H33="","",'Base Encuesta'!H33)</f>
        <v/>
      </c>
      <c r="G59" t="str">
        <f>IF('Base Encuesta'!I33="","",'Base Encuesta'!I33)</f>
        <v/>
      </c>
      <c r="H59" t="str">
        <f>IF('Base Encuesta'!J33="","",'Base Encuesta'!J33)</f>
        <v/>
      </c>
      <c r="I59" t="str">
        <f>IF('Base Encuesta'!K33="","",'Base Encuesta'!K33)</f>
        <v/>
      </c>
      <c r="J59" t="str">
        <f>IF(OR('Base Encuesta'!P33="",IFERROR(VALUE(LEFT('Base Encuesta'!K33,1)),"")&gt;=3),"",PROPER(TRIM('Base Encuesta'!P33)))</f>
        <v/>
      </c>
      <c r="K59" t="str">
        <f>IF(OR('Base Encuesta'!Q33="",IFERROR(VALUE(LEFT('Base Encuesta'!K33,1)),"")&gt;=3),"",'Base Encuesta'!Q33)</f>
        <v/>
      </c>
      <c r="L59" t="str">
        <f>IF(OR('Base Encuesta'!R33="",IFERROR(VALUE(LEFT('Base Encuesta'!K33,1)),"")&gt;=3),"",VALUE(LEFT('Base Encuesta'!R33,1)))</f>
        <v/>
      </c>
      <c r="M59" t="str">
        <f>IF(OR('Base Encuesta'!S33="",IFERROR(VALUE(LEFT('Base Encuesta'!K33,1)),"")&gt;=3),"",VALUE(LEFT('Base Encuesta'!S33,1)))</f>
        <v/>
      </c>
      <c r="N59" t="str">
        <f>IF(OR('Base Encuesta'!T33="",IFERROR(VALUE(LEFT('Base Encuesta'!K33,1)),"")&gt;=3),"",VALUE(LEFT('Base Encuesta'!T33,1)))</f>
        <v/>
      </c>
      <c r="O59" t="str">
        <f>IF(OR('Base Encuesta'!V33="",IFERROR(VALUE(LEFT('Base Encuesta'!K33,1)),"")&gt;=3),"",VALUE(LEFT('Base Encuesta'!V33,1)))</f>
        <v/>
      </c>
      <c r="P59" t="str">
        <f>IF(OR('Base Encuesta'!W33="",IFERROR(VALUE(LEFT('Base Encuesta'!K33,1)),"")&gt;=3),"",VALUE(LEFT('Base Encuesta'!W33,1)))</f>
        <v/>
      </c>
      <c r="Q59" t="str">
        <f>IF(OR('Base Encuesta'!X33="",IFERROR(VALUE(LEFT('Base Encuesta'!K33,1)),"")&gt;=3),"",VALUE(LEFT('Base Encuesta'!X33,1)))</f>
        <v/>
      </c>
      <c r="R59" t="str">
        <f>IF(OR('Base Encuesta'!Y33="",IFERROR(VALUE(LEFT('Base Encuesta'!K33,1)),"")&gt;=3),"",VALUE(LEFT('Base Encuesta'!Y33,1)))</f>
        <v/>
      </c>
      <c r="S59" t="str">
        <f>IF(OR('Base Encuesta'!Z33="",IFERROR(VALUE(LEFT('Base Encuesta'!K33,1)),"")&gt;=3),"",VALUE(LEFT('Base Encuesta'!Z33,1)))</f>
        <v/>
      </c>
      <c r="T59" t="str">
        <f>IF(OR('Base Encuesta'!AA33="",IFERROR(VALUE(LEFT('Base Encuesta'!K33,1)),"")&gt;=3),"",VALUE(LEFT('Base Encuesta'!AA33,1)))</f>
        <v/>
      </c>
      <c r="U59" t="str">
        <f>IF(OR('Base Encuesta'!AB33="",IFERROR(VALUE(LEFT('Base Encuesta'!K33,1)),"")&gt;=3),"",VALUE(LEFT('Base Encuesta'!AB33,1)))</f>
        <v/>
      </c>
      <c r="V59" t="str">
        <f>IF(OR('Base Encuesta'!AC33="",IFERROR(VALUE(LEFT('Base Encuesta'!K33,1)),"")&gt;=3),"",VALUE(LEFT('Base Encuesta'!AC33,1)))</f>
        <v/>
      </c>
      <c r="W59" t="str">
        <f>IF(OR('Base Encuesta'!AE33="",IFERROR(VALUE(LEFT('Base Encuesta'!K33,1)),"")&gt;=3),"",VALUE(LEFT('Base Encuesta'!AE33,1)))</f>
        <v/>
      </c>
      <c r="X59" t="str">
        <f>IF(OR('Base Encuesta'!AF33="",IFERROR(VALUE(LEFT('Base Encuesta'!K33,1)),"")&gt;=3),"",IF(W59=1,VALUE(LEFT('Base Encuesta'!AF33,1)),""))</f>
        <v/>
      </c>
      <c r="Y59" t="str">
        <f>IF(OR('Base Encuesta'!AG33="",IFERROR(VALUE(LEFT('Base Encuesta'!K33,1)),"")&gt;=3),"",IF(W59=1,VALUE(LEFT('Base Encuesta'!AG33,1)),""))</f>
        <v/>
      </c>
      <c r="Z59" t="str">
        <f>IF(OR('Base Encuesta'!AH33="",IFERROR(VALUE(LEFT('Base Encuesta'!K33,1)),"")&gt;=3),"",IF(W59=1,VALUE(LEFT('Base Encuesta'!AH33,1)),""))</f>
        <v/>
      </c>
      <c r="AA59" t="str">
        <f>IF(OR('Base Encuesta'!AI33="",IFERROR(VALUE(LEFT('Base Encuesta'!K33,1)),"")&gt;=3),"",IF(W59=1,VALUE(LEFT('Base Encuesta'!AI33,1)),""))</f>
        <v/>
      </c>
      <c r="AB59" t="str">
        <f>IF(OR('Base Encuesta'!AJ33="",IFERROR(VALUE(LEFT('Base Encuesta'!K33,1)),"")&gt;=3),"",IF(W59=1,VALUE(LEFT('Base Encuesta'!AJ33,1)),""))</f>
        <v/>
      </c>
      <c r="AC59" t="str">
        <f>IF(OR('Base Encuesta'!AL33="",IFERROR(VALUE(LEFT('Base Encuesta'!K33,1)),"")&gt;=3),"",VALUE(LEFT('Base Encuesta'!AL33,1)))</f>
        <v/>
      </c>
      <c r="AD59" t="str">
        <f>IF(OR('Base Encuesta'!AM33="",IFERROR(VALUE(LEFT('Base Encuesta'!K33,1)),"")&gt;=3),"",VALUE(LEFT('Base Encuesta'!AM33,1)))</f>
        <v/>
      </c>
      <c r="AE59" t="str">
        <f>IF(OR('Base Encuesta'!AN33="",IFERROR(VALUE(LEFT('Base Encuesta'!K33,1)),"")&gt;=3),"",VALUE(LEFT('Base Encuesta'!AN33,1)))</f>
        <v/>
      </c>
      <c r="AF59" t="str">
        <f>IF(OR('Base Encuesta'!AO33="",IFERROR(VALUE(LEFT('Base Encuesta'!K33,1)),"")&gt;=3),"",VALUE(LEFT('Base Encuesta'!AO33,1)))</f>
        <v/>
      </c>
      <c r="AG59" t="str">
        <f>IF(OR('Base Encuesta'!AQ33="",IFERROR(VALUE(LEFT('Base Encuesta'!K33,1)),"")&gt;=3),"",VALUE(LEFT('Base Encuesta'!AQ33,1)))</f>
        <v/>
      </c>
      <c r="AH59" t="str">
        <f>IF(OR('Base Encuesta'!AR33="",IFERROR(VALUE(LEFT('Base Encuesta'!K33,1)),"")&gt;=3),"",VALUE(LEFT('Base Encuesta'!AR33,1)))</f>
        <v/>
      </c>
    </row>
    <row r="60" spans="1:34">
      <c r="A60" t="str">
        <f>IF('Base Encuesta'!C34="","",'Base Encuesta'!C34)</f>
        <v/>
      </c>
      <c r="B60" t="str">
        <f>IF('Base Encuesta'!D34="","",'Base Encuesta'!D34)</f>
        <v/>
      </c>
      <c r="C60" t="str">
        <f>IF('Base Encuesta'!E34="","",'Base Encuesta'!E34)</f>
        <v/>
      </c>
      <c r="D60" t="str">
        <f>IF('Base Encuesta'!F34="","",'Base Encuesta'!F34)</f>
        <v/>
      </c>
      <c r="E60" t="str">
        <f>IF('Base Encuesta'!G34="","",'Base Encuesta'!G34)</f>
        <v/>
      </c>
      <c r="F60" t="str">
        <f>IF('Base Encuesta'!H34="","",'Base Encuesta'!H34)</f>
        <v/>
      </c>
      <c r="G60" t="str">
        <f>IF('Base Encuesta'!I34="","",'Base Encuesta'!I34)</f>
        <v/>
      </c>
      <c r="H60" t="str">
        <f>IF('Base Encuesta'!J34="","",'Base Encuesta'!J34)</f>
        <v/>
      </c>
      <c r="I60" t="str">
        <f>IF('Base Encuesta'!K34="","",'Base Encuesta'!K34)</f>
        <v/>
      </c>
      <c r="J60" t="str">
        <f>IF(OR('Base Encuesta'!P34="",IFERROR(VALUE(LEFT('Base Encuesta'!K34,1)),"")&gt;=3),"",PROPER(TRIM('Base Encuesta'!P34)))</f>
        <v/>
      </c>
      <c r="K60" t="str">
        <f>IF(OR('Base Encuesta'!Q34="",IFERROR(VALUE(LEFT('Base Encuesta'!K34,1)),"")&gt;=3),"",'Base Encuesta'!Q34)</f>
        <v/>
      </c>
      <c r="L60" t="str">
        <f>IF(OR('Base Encuesta'!R34="",IFERROR(VALUE(LEFT('Base Encuesta'!K34,1)),"")&gt;=3),"",VALUE(LEFT('Base Encuesta'!R34,1)))</f>
        <v/>
      </c>
      <c r="M60" t="str">
        <f>IF(OR('Base Encuesta'!S34="",IFERROR(VALUE(LEFT('Base Encuesta'!K34,1)),"")&gt;=3),"",VALUE(LEFT('Base Encuesta'!S34,1)))</f>
        <v/>
      </c>
      <c r="N60" t="str">
        <f>IF(OR('Base Encuesta'!T34="",IFERROR(VALUE(LEFT('Base Encuesta'!K34,1)),"")&gt;=3),"",VALUE(LEFT('Base Encuesta'!T34,1)))</f>
        <v/>
      </c>
      <c r="O60" t="str">
        <f>IF(OR('Base Encuesta'!V34="",IFERROR(VALUE(LEFT('Base Encuesta'!K34,1)),"")&gt;=3),"",VALUE(LEFT('Base Encuesta'!V34,1)))</f>
        <v/>
      </c>
      <c r="P60" t="str">
        <f>IF(OR('Base Encuesta'!W34="",IFERROR(VALUE(LEFT('Base Encuesta'!K34,1)),"")&gt;=3),"",VALUE(LEFT('Base Encuesta'!W34,1)))</f>
        <v/>
      </c>
      <c r="Q60" t="str">
        <f>IF(OR('Base Encuesta'!X34="",IFERROR(VALUE(LEFT('Base Encuesta'!K34,1)),"")&gt;=3),"",VALUE(LEFT('Base Encuesta'!X34,1)))</f>
        <v/>
      </c>
      <c r="R60" t="str">
        <f>IF(OR('Base Encuesta'!Y34="",IFERROR(VALUE(LEFT('Base Encuesta'!K34,1)),"")&gt;=3),"",VALUE(LEFT('Base Encuesta'!Y34,1)))</f>
        <v/>
      </c>
      <c r="S60" t="str">
        <f>IF(OR('Base Encuesta'!Z34="",IFERROR(VALUE(LEFT('Base Encuesta'!K34,1)),"")&gt;=3),"",VALUE(LEFT('Base Encuesta'!Z34,1)))</f>
        <v/>
      </c>
      <c r="T60" t="str">
        <f>IF(OR('Base Encuesta'!AA34="",IFERROR(VALUE(LEFT('Base Encuesta'!K34,1)),"")&gt;=3),"",VALUE(LEFT('Base Encuesta'!AA34,1)))</f>
        <v/>
      </c>
      <c r="U60" t="str">
        <f>IF(OR('Base Encuesta'!AB34="",IFERROR(VALUE(LEFT('Base Encuesta'!K34,1)),"")&gt;=3),"",VALUE(LEFT('Base Encuesta'!AB34,1)))</f>
        <v/>
      </c>
      <c r="V60" t="str">
        <f>IF(OR('Base Encuesta'!AC34="",IFERROR(VALUE(LEFT('Base Encuesta'!K34,1)),"")&gt;=3),"",VALUE(LEFT('Base Encuesta'!AC34,1)))</f>
        <v/>
      </c>
      <c r="W60" t="str">
        <f>IF(OR('Base Encuesta'!AE34="",IFERROR(VALUE(LEFT('Base Encuesta'!K34,1)),"")&gt;=3),"",VALUE(LEFT('Base Encuesta'!AE34,1)))</f>
        <v/>
      </c>
      <c r="X60" t="str">
        <f>IF(OR('Base Encuesta'!AF34="",IFERROR(VALUE(LEFT('Base Encuesta'!K34,1)),"")&gt;=3),"",IF(W60=1,VALUE(LEFT('Base Encuesta'!AF34,1)),""))</f>
        <v/>
      </c>
      <c r="Y60" t="str">
        <f>IF(OR('Base Encuesta'!AG34="",IFERROR(VALUE(LEFT('Base Encuesta'!K34,1)),"")&gt;=3),"",IF(W60=1,VALUE(LEFT('Base Encuesta'!AG34,1)),""))</f>
        <v/>
      </c>
      <c r="Z60" t="str">
        <f>IF(OR('Base Encuesta'!AH34="",IFERROR(VALUE(LEFT('Base Encuesta'!K34,1)),"")&gt;=3),"",IF(W60=1,VALUE(LEFT('Base Encuesta'!AH34,1)),""))</f>
        <v/>
      </c>
      <c r="AA60" t="str">
        <f>IF(OR('Base Encuesta'!AI34="",IFERROR(VALUE(LEFT('Base Encuesta'!K34,1)),"")&gt;=3),"",IF(W60=1,VALUE(LEFT('Base Encuesta'!AI34,1)),""))</f>
        <v/>
      </c>
      <c r="AB60" t="str">
        <f>IF(OR('Base Encuesta'!AJ34="",IFERROR(VALUE(LEFT('Base Encuesta'!K34,1)),"")&gt;=3),"",IF(W60=1,VALUE(LEFT('Base Encuesta'!AJ34,1)),""))</f>
        <v/>
      </c>
      <c r="AC60" t="str">
        <f>IF(OR('Base Encuesta'!AL34="",IFERROR(VALUE(LEFT('Base Encuesta'!K34,1)),"")&gt;=3),"",VALUE(LEFT('Base Encuesta'!AL34,1)))</f>
        <v/>
      </c>
      <c r="AD60" t="str">
        <f>IF(OR('Base Encuesta'!AM34="",IFERROR(VALUE(LEFT('Base Encuesta'!K34,1)),"")&gt;=3),"",VALUE(LEFT('Base Encuesta'!AM34,1)))</f>
        <v/>
      </c>
      <c r="AE60" t="str">
        <f>IF(OR('Base Encuesta'!AN34="",IFERROR(VALUE(LEFT('Base Encuesta'!K34,1)),"")&gt;=3),"",VALUE(LEFT('Base Encuesta'!AN34,1)))</f>
        <v/>
      </c>
      <c r="AF60" t="str">
        <f>IF(OR('Base Encuesta'!AO34="",IFERROR(VALUE(LEFT('Base Encuesta'!K34,1)),"")&gt;=3),"",VALUE(LEFT('Base Encuesta'!AO34,1)))</f>
        <v/>
      </c>
      <c r="AG60" t="str">
        <f>IF(OR('Base Encuesta'!AQ34="",IFERROR(VALUE(LEFT('Base Encuesta'!K34,1)),"")&gt;=3),"",VALUE(LEFT('Base Encuesta'!AQ34,1)))</f>
        <v/>
      </c>
      <c r="AH60" t="str">
        <f>IF(OR('Base Encuesta'!AR34="",IFERROR(VALUE(LEFT('Base Encuesta'!K34,1)),"")&gt;=3),"",VALUE(LEFT('Base Encuesta'!AR34,1)))</f>
        <v/>
      </c>
    </row>
    <row r="61" spans="1:34">
      <c r="A61" t="str">
        <f>IF('Base Encuesta'!C35="","",'Base Encuesta'!C35)</f>
        <v/>
      </c>
      <c r="B61" t="str">
        <f>IF('Base Encuesta'!D35="","",'Base Encuesta'!D35)</f>
        <v/>
      </c>
      <c r="C61" t="str">
        <f>IF('Base Encuesta'!E35="","",'Base Encuesta'!E35)</f>
        <v/>
      </c>
      <c r="D61" t="str">
        <f>IF('Base Encuesta'!F35="","",'Base Encuesta'!F35)</f>
        <v/>
      </c>
      <c r="E61" t="str">
        <f>IF('Base Encuesta'!G35="","",'Base Encuesta'!G35)</f>
        <v/>
      </c>
      <c r="F61" t="str">
        <f>IF('Base Encuesta'!H35="","",'Base Encuesta'!H35)</f>
        <v/>
      </c>
      <c r="G61" t="str">
        <f>IF('Base Encuesta'!I35="","",'Base Encuesta'!I35)</f>
        <v/>
      </c>
      <c r="H61" t="str">
        <f>IF('Base Encuesta'!J35="","",'Base Encuesta'!J35)</f>
        <v/>
      </c>
      <c r="I61" t="str">
        <f>IF('Base Encuesta'!K35="","",'Base Encuesta'!K35)</f>
        <v/>
      </c>
      <c r="J61" t="str">
        <f>IF(OR('Base Encuesta'!P35="",IFERROR(VALUE(LEFT('Base Encuesta'!K35,1)),"")&gt;=3),"",PROPER(TRIM('Base Encuesta'!P35)))</f>
        <v/>
      </c>
      <c r="K61" t="str">
        <f>IF(OR('Base Encuesta'!Q35="",IFERROR(VALUE(LEFT('Base Encuesta'!K35,1)),"")&gt;=3),"",'Base Encuesta'!Q35)</f>
        <v/>
      </c>
      <c r="L61" t="str">
        <f>IF(OR('Base Encuesta'!R35="",IFERROR(VALUE(LEFT('Base Encuesta'!K35,1)),"")&gt;=3),"",VALUE(LEFT('Base Encuesta'!R35,1)))</f>
        <v/>
      </c>
      <c r="M61" t="str">
        <f>IF(OR('Base Encuesta'!S35="",IFERROR(VALUE(LEFT('Base Encuesta'!K35,1)),"")&gt;=3),"",VALUE(LEFT('Base Encuesta'!S35,1)))</f>
        <v/>
      </c>
      <c r="N61" t="str">
        <f>IF(OR('Base Encuesta'!T35="",IFERROR(VALUE(LEFT('Base Encuesta'!K35,1)),"")&gt;=3),"",VALUE(LEFT('Base Encuesta'!T35,1)))</f>
        <v/>
      </c>
      <c r="O61" t="str">
        <f>IF(OR('Base Encuesta'!V35="",IFERROR(VALUE(LEFT('Base Encuesta'!K35,1)),"")&gt;=3),"",VALUE(LEFT('Base Encuesta'!V35,1)))</f>
        <v/>
      </c>
      <c r="P61" t="str">
        <f>IF(OR('Base Encuesta'!W35="",IFERROR(VALUE(LEFT('Base Encuesta'!K35,1)),"")&gt;=3),"",VALUE(LEFT('Base Encuesta'!W35,1)))</f>
        <v/>
      </c>
      <c r="Q61" t="str">
        <f>IF(OR('Base Encuesta'!X35="",IFERROR(VALUE(LEFT('Base Encuesta'!K35,1)),"")&gt;=3),"",VALUE(LEFT('Base Encuesta'!X35,1)))</f>
        <v/>
      </c>
      <c r="R61" t="str">
        <f>IF(OR('Base Encuesta'!Y35="",IFERROR(VALUE(LEFT('Base Encuesta'!K35,1)),"")&gt;=3),"",VALUE(LEFT('Base Encuesta'!Y35,1)))</f>
        <v/>
      </c>
      <c r="S61" t="str">
        <f>IF(OR('Base Encuesta'!Z35="",IFERROR(VALUE(LEFT('Base Encuesta'!K35,1)),"")&gt;=3),"",VALUE(LEFT('Base Encuesta'!Z35,1)))</f>
        <v/>
      </c>
      <c r="T61" t="str">
        <f>IF(OR('Base Encuesta'!AA35="",IFERROR(VALUE(LEFT('Base Encuesta'!K35,1)),"")&gt;=3),"",VALUE(LEFT('Base Encuesta'!AA35,1)))</f>
        <v/>
      </c>
      <c r="U61" t="str">
        <f>IF(OR('Base Encuesta'!AB35="",IFERROR(VALUE(LEFT('Base Encuesta'!K35,1)),"")&gt;=3),"",VALUE(LEFT('Base Encuesta'!AB35,1)))</f>
        <v/>
      </c>
      <c r="V61" t="str">
        <f>IF(OR('Base Encuesta'!AC35="",IFERROR(VALUE(LEFT('Base Encuesta'!K35,1)),"")&gt;=3),"",VALUE(LEFT('Base Encuesta'!AC35,1)))</f>
        <v/>
      </c>
      <c r="W61" t="str">
        <f>IF(OR('Base Encuesta'!AE35="",IFERROR(VALUE(LEFT('Base Encuesta'!K35,1)),"")&gt;=3),"",VALUE(LEFT('Base Encuesta'!AE35,1)))</f>
        <v/>
      </c>
      <c r="X61" t="str">
        <f>IF(OR('Base Encuesta'!AF35="",IFERROR(VALUE(LEFT('Base Encuesta'!K35,1)),"")&gt;=3),"",IF(W61=1,VALUE(LEFT('Base Encuesta'!AF35,1)),""))</f>
        <v/>
      </c>
      <c r="Y61" t="str">
        <f>IF(OR('Base Encuesta'!AG35="",IFERROR(VALUE(LEFT('Base Encuesta'!K35,1)),"")&gt;=3),"",IF(W61=1,VALUE(LEFT('Base Encuesta'!AG35,1)),""))</f>
        <v/>
      </c>
      <c r="Z61" t="str">
        <f>IF(OR('Base Encuesta'!AH35="",IFERROR(VALUE(LEFT('Base Encuesta'!K35,1)),"")&gt;=3),"",IF(W61=1,VALUE(LEFT('Base Encuesta'!AH35,1)),""))</f>
        <v/>
      </c>
      <c r="AA61" t="str">
        <f>IF(OR('Base Encuesta'!AI35="",IFERROR(VALUE(LEFT('Base Encuesta'!K35,1)),"")&gt;=3),"",IF(W61=1,VALUE(LEFT('Base Encuesta'!AI35,1)),""))</f>
        <v/>
      </c>
      <c r="AB61" t="str">
        <f>IF(OR('Base Encuesta'!AJ35="",IFERROR(VALUE(LEFT('Base Encuesta'!K35,1)),"")&gt;=3),"",IF(W61=1,VALUE(LEFT('Base Encuesta'!AJ35,1)),""))</f>
        <v/>
      </c>
      <c r="AC61" t="str">
        <f>IF(OR('Base Encuesta'!AL35="",IFERROR(VALUE(LEFT('Base Encuesta'!K35,1)),"")&gt;=3),"",VALUE(LEFT('Base Encuesta'!AL35,1)))</f>
        <v/>
      </c>
      <c r="AD61" t="str">
        <f>IF(OR('Base Encuesta'!AM35="",IFERROR(VALUE(LEFT('Base Encuesta'!K35,1)),"")&gt;=3),"",VALUE(LEFT('Base Encuesta'!AM35,1)))</f>
        <v/>
      </c>
      <c r="AE61" t="str">
        <f>IF(OR('Base Encuesta'!AN35="",IFERROR(VALUE(LEFT('Base Encuesta'!K35,1)),"")&gt;=3),"",VALUE(LEFT('Base Encuesta'!AN35,1)))</f>
        <v/>
      </c>
      <c r="AF61" t="str">
        <f>IF(OR('Base Encuesta'!AO35="",IFERROR(VALUE(LEFT('Base Encuesta'!K35,1)),"")&gt;=3),"",VALUE(LEFT('Base Encuesta'!AO35,1)))</f>
        <v/>
      </c>
      <c r="AG61" t="str">
        <f>IF(OR('Base Encuesta'!AQ35="",IFERROR(VALUE(LEFT('Base Encuesta'!K35,1)),"")&gt;=3),"",VALUE(LEFT('Base Encuesta'!AQ35,1)))</f>
        <v/>
      </c>
      <c r="AH61" t="str">
        <f>IF(OR('Base Encuesta'!AR35="",IFERROR(VALUE(LEFT('Base Encuesta'!K35,1)),"")&gt;=3),"",VALUE(LEFT('Base Encuesta'!AR35,1)))</f>
        <v/>
      </c>
    </row>
    <row r="62" spans="1:34">
      <c r="A62" t="str">
        <f>IF('Base Encuesta'!C36="","",'Base Encuesta'!C36)</f>
        <v/>
      </c>
      <c r="B62" t="str">
        <f>IF('Base Encuesta'!D36="","",'Base Encuesta'!D36)</f>
        <v/>
      </c>
      <c r="C62" t="str">
        <f>IF('Base Encuesta'!E36="","",'Base Encuesta'!E36)</f>
        <v/>
      </c>
      <c r="D62" t="str">
        <f>IF('Base Encuesta'!F36="","",'Base Encuesta'!F36)</f>
        <v/>
      </c>
      <c r="E62" t="str">
        <f>IF('Base Encuesta'!G36="","",'Base Encuesta'!G36)</f>
        <v/>
      </c>
      <c r="F62" t="str">
        <f>IF('Base Encuesta'!H36="","",'Base Encuesta'!H36)</f>
        <v/>
      </c>
      <c r="G62" t="str">
        <f>IF('Base Encuesta'!I36="","",'Base Encuesta'!I36)</f>
        <v/>
      </c>
      <c r="H62" t="str">
        <f>IF('Base Encuesta'!J36="","",'Base Encuesta'!J36)</f>
        <v/>
      </c>
      <c r="I62" t="str">
        <f>IF('Base Encuesta'!K36="","",'Base Encuesta'!K36)</f>
        <v/>
      </c>
      <c r="J62" t="str">
        <f>IF(OR('Base Encuesta'!P36="",IFERROR(VALUE(LEFT('Base Encuesta'!K36,1)),"")&gt;=3),"",PROPER(TRIM('Base Encuesta'!P36)))</f>
        <v/>
      </c>
      <c r="K62" t="str">
        <f>IF(OR('Base Encuesta'!Q36="",IFERROR(VALUE(LEFT('Base Encuesta'!K36,1)),"")&gt;=3),"",'Base Encuesta'!Q36)</f>
        <v/>
      </c>
      <c r="L62" t="str">
        <f>IF(OR('Base Encuesta'!R36="",IFERROR(VALUE(LEFT('Base Encuesta'!K36,1)),"")&gt;=3),"",VALUE(LEFT('Base Encuesta'!R36,1)))</f>
        <v/>
      </c>
      <c r="M62" t="str">
        <f>IF(OR('Base Encuesta'!S36="",IFERROR(VALUE(LEFT('Base Encuesta'!K36,1)),"")&gt;=3),"",VALUE(LEFT('Base Encuesta'!S36,1)))</f>
        <v/>
      </c>
      <c r="N62" t="str">
        <f>IF(OR('Base Encuesta'!T36="",IFERROR(VALUE(LEFT('Base Encuesta'!K36,1)),"")&gt;=3),"",VALUE(LEFT('Base Encuesta'!T36,1)))</f>
        <v/>
      </c>
      <c r="O62" t="str">
        <f>IF(OR('Base Encuesta'!V36="",IFERROR(VALUE(LEFT('Base Encuesta'!K36,1)),"")&gt;=3),"",VALUE(LEFT('Base Encuesta'!V36,1)))</f>
        <v/>
      </c>
      <c r="P62" t="str">
        <f>IF(OR('Base Encuesta'!W36="",IFERROR(VALUE(LEFT('Base Encuesta'!K36,1)),"")&gt;=3),"",VALUE(LEFT('Base Encuesta'!W36,1)))</f>
        <v/>
      </c>
      <c r="Q62" t="str">
        <f>IF(OR('Base Encuesta'!X36="",IFERROR(VALUE(LEFT('Base Encuesta'!K36,1)),"")&gt;=3),"",VALUE(LEFT('Base Encuesta'!X36,1)))</f>
        <v/>
      </c>
      <c r="R62" t="str">
        <f>IF(OR('Base Encuesta'!Y36="",IFERROR(VALUE(LEFT('Base Encuesta'!K36,1)),"")&gt;=3),"",VALUE(LEFT('Base Encuesta'!Y36,1)))</f>
        <v/>
      </c>
      <c r="S62" t="str">
        <f>IF(OR('Base Encuesta'!Z36="",IFERROR(VALUE(LEFT('Base Encuesta'!K36,1)),"")&gt;=3),"",VALUE(LEFT('Base Encuesta'!Z36,1)))</f>
        <v/>
      </c>
      <c r="T62" t="str">
        <f>IF(OR('Base Encuesta'!AA36="",IFERROR(VALUE(LEFT('Base Encuesta'!K36,1)),"")&gt;=3),"",VALUE(LEFT('Base Encuesta'!AA36,1)))</f>
        <v/>
      </c>
      <c r="U62" t="str">
        <f>IF(OR('Base Encuesta'!AB36="",IFERROR(VALUE(LEFT('Base Encuesta'!K36,1)),"")&gt;=3),"",VALUE(LEFT('Base Encuesta'!AB36,1)))</f>
        <v/>
      </c>
      <c r="V62" t="str">
        <f>IF(OR('Base Encuesta'!AC36="",IFERROR(VALUE(LEFT('Base Encuesta'!K36,1)),"")&gt;=3),"",VALUE(LEFT('Base Encuesta'!AC36,1)))</f>
        <v/>
      </c>
      <c r="W62" t="str">
        <f>IF(OR('Base Encuesta'!AE36="",IFERROR(VALUE(LEFT('Base Encuesta'!K36,1)),"")&gt;=3),"",VALUE(LEFT('Base Encuesta'!AE36,1)))</f>
        <v/>
      </c>
      <c r="X62" t="str">
        <f>IF(OR('Base Encuesta'!AF36="",IFERROR(VALUE(LEFT('Base Encuesta'!K36,1)),"")&gt;=3),"",IF(W62=1,VALUE(LEFT('Base Encuesta'!AF36,1)),""))</f>
        <v/>
      </c>
      <c r="Y62" t="str">
        <f>IF(OR('Base Encuesta'!AG36="",IFERROR(VALUE(LEFT('Base Encuesta'!K36,1)),"")&gt;=3),"",IF(W62=1,VALUE(LEFT('Base Encuesta'!AG36,1)),""))</f>
        <v/>
      </c>
      <c r="Z62" t="str">
        <f>IF(OR('Base Encuesta'!AH36="",IFERROR(VALUE(LEFT('Base Encuesta'!K36,1)),"")&gt;=3),"",IF(W62=1,VALUE(LEFT('Base Encuesta'!AH36,1)),""))</f>
        <v/>
      </c>
      <c r="AA62" t="str">
        <f>IF(OR('Base Encuesta'!AI36="",IFERROR(VALUE(LEFT('Base Encuesta'!K36,1)),"")&gt;=3),"",IF(W62=1,VALUE(LEFT('Base Encuesta'!AI36,1)),""))</f>
        <v/>
      </c>
      <c r="AB62" t="str">
        <f>IF(OR('Base Encuesta'!AJ36="",IFERROR(VALUE(LEFT('Base Encuesta'!K36,1)),"")&gt;=3),"",IF(W62=1,VALUE(LEFT('Base Encuesta'!AJ36,1)),""))</f>
        <v/>
      </c>
      <c r="AC62" t="str">
        <f>IF(OR('Base Encuesta'!AL36="",IFERROR(VALUE(LEFT('Base Encuesta'!K36,1)),"")&gt;=3),"",VALUE(LEFT('Base Encuesta'!AL36,1)))</f>
        <v/>
      </c>
      <c r="AD62" t="str">
        <f>IF(OR('Base Encuesta'!AM36="",IFERROR(VALUE(LEFT('Base Encuesta'!K36,1)),"")&gt;=3),"",VALUE(LEFT('Base Encuesta'!AM36,1)))</f>
        <v/>
      </c>
      <c r="AE62" t="str">
        <f>IF(OR('Base Encuesta'!AN36="",IFERROR(VALUE(LEFT('Base Encuesta'!K36,1)),"")&gt;=3),"",VALUE(LEFT('Base Encuesta'!AN36,1)))</f>
        <v/>
      </c>
      <c r="AF62" t="str">
        <f>IF(OR('Base Encuesta'!AO36="",IFERROR(VALUE(LEFT('Base Encuesta'!K36,1)),"")&gt;=3),"",VALUE(LEFT('Base Encuesta'!AO36,1)))</f>
        <v/>
      </c>
      <c r="AG62" t="str">
        <f>IF(OR('Base Encuesta'!AQ36="",IFERROR(VALUE(LEFT('Base Encuesta'!K36,1)),"")&gt;=3),"",VALUE(LEFT('Base Encuesta'!AQ36,1)))</f>
        <v/>
      </c>
      <c r="AH62" t="str">
        <f>IF(OR('Base Encuesta'!AR36="",IFERROR(VALUE(LEFT('Base Encuesta'!K36,1)),"")&gt;=3),"",VALUE(LEFT('Base Encuesta'!AR36,1)))</f>
        <v/>
      </c>
    </row>
    <row r="63" spans="1:34">
      <c r="A63" t="str">
        <f>IF('Base Encuesta'!C37="","",'Base Encuesta'!C37)</f>
        <v/>
      </c>
      <c r="B63" t="str">
        <f>IF('Base Encuesta'!D37="","",'Base Encuesta'!D37)</f>
        <v/>
      </c>
      <c r="C63" t="str">
        <f>IF('Base Encuesta'!E37="","",'Base Encuesta'!E37)</f>
        <v/>
      </c>
      <c r="D63" t="str">
        <f>IF('Base Encuesta'!F37="","",'Base Encuesta'!F37)</f>
        <v/>
      </c>
      <c r="E63" t="str">
        <f>IF('Base Encuesta'!G37="","",'Base Encuesta'!G37)</f>
        <v/>
      </c>
      <c r="F63" t="str">
        <f>IF('Base Encuesta'!H37="","",'Base Encuesta'!H37)</f>
        <v/>
      </c>
      <c r="G63" t="str">
        <f>IF('Base Encuesta'!I37="","",'Base Encuesta'!I37)</f>
        <v/>
      </c>
      <c r="H63" t="str">
        <f>IF('Base Encuesta'!J37="","",'Base Encuesta'!J37)</f>
        <v/>
      </c>
      <c r="I63" t="str">
        <f>IF('Base Encuesta'!K37="","",'Base Encuesta'!K37)</f>
        <v/>
      </c>
      <c r="J63" t="str">
        <f>IF(OR('Base Encuesta'!P37="",IFERROR(VALUE(LEFT('Base Encuesta'!K37,1)),"")&gt;=3),"",PROPER(TRIM('Base Encuesta'!P37)))</f>
        <v/>
      </c>
      <c r="K63" t="str">
        <f>IF(OR('Base Encuesta'!Q37="",IFERROR(VALUE(LEFT('Base Encuesta'!K37,1)),"")&gt;=3),"",'Base Encuesta'!Q37)</f>
        <v/>
      </c>
      <c r="L63" t="str">
        <f>IF(OR('Base Encuesta'!R37="",IFERROR(VALUE(LEFT('Base Encuesta'!K37,1)),"")&gt;=3),"",VALUE(LEFT('Base Encuesta'!R37,1)))</f>
        <v/>
      </c>
      <c r="M63" t="str">
        <f>IF(OR('Base Encuesta'!S37="",IFERROR(VALUE(LEFT('Base Encuesta'!K37,1)),"")&gt;=3),"",VALUE(LEFT('Base Encuesta'!S37,1)))</f>
        <v/>
      </c>
      <c r="N63" t="str">
        <f>IF(OR('Base Encuesta'!T37="",IFERROR(VALUE(LEFT('Base Encuesta'!K37,1)),"")&gt;=3),"",VALUE(LEFT('Base Encuesta'!T37,1)))</f>
        <v/>
      </c>
      <c r="O63" t="str">
        <f>IF(OR('Base Encuesta'!V37="",IFERROR(VALUE(LEFT('Base Encuesta'!K37,1)),"")&gt;=3),"",VALUE(LEFT('Base Encuesta'!V37,1)))</f>
        <v/>
      </c>
      <c r="P63" t="str">
        <f>IF(OR('Base Encuesta'!W37="",IFERROR(VALUE(LEFT('Base Encuesta'!K37,1)),"")&gt;=3),"",VALUE(LEFT('Base Encuesta'!W37,1)))</f>
        <v/>
      </c>
      <c r="Q63" t="str">
        <f>IF(OR('Base Encuesta'!X37="",IFERROR(VALUE(LEFT('Base Encuesta'!K37,1)),"")&gt;=3),"",VALUE(LEFT('Base Encuesta'!X37,1)))</f>
        <v/>
      </c>
      <c r="R63" t="str">
        <f>IF(OR('Base Encuesta'!Y37="",IFERROR(VALUE(LEFT('Base Encuesta'!K37,1)),"")&gt;=3),"",VALUE(LEFT('Base Encuesta'!Y37,1)))</f>
        <v/>
      </c>
      <c r="S63" t="str">
        <f>IF(OR('Base Encuesta'!Z37="",IFERROR(VALUE(LEFT('Base Encuesta'!K37,1)),"")&gt;=3),"",VALUE(LEFT('Base Encuesta'!Z37,1)))</f>
        <v/>
      </c>
      <c r="T63" t="str">
        <f>IF(OR('Base Encuesta'!AA37="",IFERROR(VALUE(LEFT('Base Encuesta'!K37,1)),"")&gt;=3),"",VALUE(LEFT('Base Encuesta'!AA37,1)))</f>
        <v/>
      </c>
      <c r="U63" t="str">
        <f>IF(OR('Base Encuesta'!AB37="",IFERROR(VALUE(LEFT('Base Encuesta'!K37,1)),"")&gt;=3),"",VALUE(LEFT('Base Encuesta'!AB37,1)))</f>
        <v/>
      </c>
      <c r="V63" t="str">
        <f>IF(OR('Base Encuesta'!AC37="",IFERROR(VALUE(LEFT('Base Encuesta'!K37,1)),"")&gt;=3),"",VALUE(LEFT('Base Encuesta'!AC37,1)))</f>
        <v/>
      </c>
      <c r="W63" t="str">
        <f>IF(OR('Base Encuesta'!AE37="",IFERROR(VALUE(LEFT('Base Encuesta'!K37,1)),"")&gt;=3),"",VALUE(LEFT('Base Encuesta'!AE37,1)))</f>
        <v/>
      </c>
      <c r="X63" t="str">
        <f>IF(OR('Base Encuesta'!AF37="",IFERROR(VALUE(LEFT('Base Encuesta'!K37,1)),"")&gt;=3),"",IF(W63=1,VALUE(LEFT('Base Encuesta'!AF37,1)),""))</f>
        <v/>
      </c>
      <c r="Y63" t="str">
        <f>IF(OR('Base Encuesta'!AG37="",IFERROR(VALUE(LEFT('Base Encuesta'!K37,1)),"")&gt;=3),"",IF(W63=1,VALUE(LEFT('Base Encuesta'!AG37,1)),""))</f>
        <v/>
      </c>
      <c r="Z63" t="str">
        <f>IF(OR('Base Encuesta'!AH37="",IFERROR(VALUE(LEFT('Base Encuesta'!K37,1)),"")&gt;=3),"",IF(W63=1,VALUE(LEFT('Base Encuesta'!AH37,1)),""))</f>
        <v/>
      </c>
      <c r="AA63" t="str">
        <f>IF(OR('Base Encuesta'!AI37="",IFERROR(VALUE(LEFT('Base Encuesta'!K37,1)),"")&gt;=3),"",IF(W63=1,VALUE(LEFT('Base Encuesta'!AI37,1)),""))</f>
        <v/>
      </c>
      <c r="AB63" t="str">
        <f>IF(OR('Base Encuesta'!AJ37="",IFERROR(VALUE(LEFT('Base Encuesta'!K37,1)),"")&gt;=3),"",IF(W63=1,VALUE(LEFT('Base Encuesta'!AJ37,1)),""))</f>
        <v/>
      </c>
      <c r="AC63" t="str">
        <f>IF(OR('Base Encuesta'!AL37="",IFERROR(VALUE(LEFT('Base Encuesta'!K37,1)),"")&gt;=3),"",VALUE(LEFT('Base Encuesta'!AL37,1)))</f>
        <v/>
      </c>
      <c r="AD63" t="str">
        <f>IF(OR('Base Encuesta'!AM37="",IFERROR(VALUE(LEFT('Base Encuesta'!K37,1)),"")&gt;=3),"",VALUE(LEFT('Base Encuesta'!AM37,1)))</f>
        <v/>
      </c>
      <c r="AE63" t="str">
        <f>IF(OR('Base Encuesta'!AN37="",IFERROR(VALUE(LEFT('Base Encuesta'!K37,1)),"")&gt;=3),"",VALUE(LEFT('Base Encuesta'!AN37,1)))</f>
        <v/>
      </c>
      <c r="AF63" t="str">
        <f>IF(OR('Base Encuesta'!AO37="",IFERROR(VALUE(LEFT('Base Encuesta'!K37,1)),"")&gt;=3),"",VALUE(LEFT('Base Encuesta'!AO37,1)))</f>
        <v/>
      </c>
      <c r="AG63" t="str">
        <f>IF(OR('Base Encuesta'!AQ37="",IFERROR(VALUE(LEFT('Base Encuesta'!K37,1)),"")&gt;=3),"",VALUE(LEFT('Base Encuesta'!AQ37,1)))</f>
        <v/>
      </c>
      <c r="AH63" t="str">
        <f>IF(OR('Base Encuesta'!AR37="",IFERROR(VALUE(LEFT('Base Encuesta'!K37,1)),"")&gt;=3),"",VALUE(LEFT('Base Encuesta'!AR37,1)))</f>
        <v/>
      </c>
    </row>
    <row r="64" spans="1:34">
      <c r="A64" t="str">
        <f>IF('Base Encuesta'!C38="","",'Base Encuesta'!C38)</f>
        <v/>
      </c>
      <c r="B64" t="str">
        <f>IF('Base Encuesta'!D38="","",'Base Encuesta'!D38)</f>
        <v/>
      </c>
      <c r="C64" t="str">
        <f>IF('Base Encuesta'!E38="","",'Base Encuesta'!E38)</f>
        <v/>
      </c>
      <c r="D64" t="str">
        <f>IF('Base Encuesta'!F38="","",'Base Encuesta'!F38)</f>
        <v/>
      </c>
      <c r="E64" t="str">
        <f>IF('Base Encuesta'!G38="","",'Base Encuesta'!G38)</f>
        <v/>
      </c>
      <c r="F64" t="str">
        <f>IF('Base Encuesta'!H38="","",'Base Encuesta'!H38)</f>
        <v/>
      </c>
      <c r="G64" t="str">
        <f>IF('Base Encuesta'!I38="","",'Base Encuesta'!I38)</f>
        <v/>
      </c>
      <c r="H64" t="str">
        <f>IF('Base Encuesta'!J38="","",'Base Encuesta'!J38)</f>
        <v/>
      </c>
      <c r="I64" t="str">
        <f>IF('Base Encuesta'!K38="","",'Base Encuesta'!K38)</f>
        <v/>
      </c>
      <c r="J64" t="str">
        <f>IF(OR('Base Encuesta'!P38="",IFERROR(VALUE(LEFT('Base Encuesta'!K38,1)),"")&gt;=3),"",PROPER(TRIM('Base Encuesta'!P38)))</f>
        <v/>
      </c>
      <c r="K64" t="str">
        <f>IF(OR('Base Encuesta'!Q38="",IFERROR(VALUE(LEFT('Base Encuesta'!K38,1)),"")&gt;=3),"",'Base Encuesta'!Q38)</f>
        <v/>
      </c>
      <c r="L64" t="str">
        <f>IF(OR('Base Encuesta'!R38="",IFERROR(VALUE(LEFT('Base Encuesta'!K38,1)),"")&gt;=3),"",VALUE(LEFT('Base Encuesta'!R38,1)))</f>
        <v/>
      </c>
      <c r="M64" t="str">
        <f>IF(OR('Base Encuesta'!S38="",IFERROR(VALUE(LEFT('Base Encuesta'!K38,1)),"")&gt;=3),"",VALUE(LEFT('Base Encuesta'!S38,1)))</f>
        <v/>
      </c>
      <c r="N64" t="str">
        <f>IF(OR('Base Encuesta'!T38="",IFERROR(VALUE(LEFT('Base Encuesta'!K38,1)),"")&gt;=3),"",VALUE(LEFT('Base Encuesta'!T38,1)))</f>
        <v/>
      </c>
      <c r="O64" t="str">
        <f>IF(OR('Base Encuesta'!V38="",IFERROR(VALUE(LEFT('Base Encuesta'!K38,1)),"")&gt;=3),"",VALUE(LEFT('Base Encuesta'!V38,1)))</f>
        <v/>
      </c>
      <c r="P64" t="str">
        <f>IF(OR('Base Encuesta'!W38="",IFERROR(VALUE(LEFT('Base Encuesta'!K38,1)),"")&gt;=3),"",VALUE(LEFT('Base Encuesta'!W38,1)))</f>
        <v/>
      </c>
      <c r="Q64" t="str">
        <f>IF(OR('Base Encuesta'!X38="",IFERROR(VALUE(LEFT('Base Encuesta'!K38,1)),"")&gt;=3),"",VALUE(LEFT('Base Encuesta'!X38,1)))</f>
        <v/>
      </c>
      <c r="R64" t="str">
        <f>IF(OR('Base Encuesta'!Y38="",IFERROR(VALUE(LEFT('Base Encuesta'!K38,1)),"")&gt;=3),"",VALUE(LEFT('Base Encuesta'!Y38,1)))</f>
        <v/>
      </c>
      <c r="S64" t="str">
        <f>IF(OR('Base Encuesta'!Z38="",IFERROR(VALUE(LEFT('Base Encuesta'!K38,1)),"")&gt;=3),"",VALUE(LEFT('Base Encuesta'!Z38,1)))</f>
        <v/>
      </c>
      <c r="T64" t="str">
        <f>IF(OR('Base Encuesta'!AA38="",IFERROR(VALUE(LEFT('Base Encuesta'!K38,1)),"")&gt;=3),"",VALUE(LEFT('Base Encuesta'!AA38,1)))</f>
        <v/>
      </c>
      <c r="U64" t="str">
        <f>IF(OR('Base Encuesta'!AB38="",IFERROR(VALUE(LEFT('Base Encuesta'!K38,1)),"")&gt;=3),"",VALUE(LEFT('Base Encuesta'!AB38,1)))</f>
        <v/>
      </c>
      <c r="V64" t="str">
        <f>IF(OR('Base Encuesta'!AC38="",IFERROR(VALUE(LEFT('Base Encuesta'!K38,1)),"")&gt;=3),"",VALUE(LEFT('Base Encuesta'!AC38,1)))</f>
        <v/>
      </c>
      <c r="W64" t="str">
        <f>IF(OR('Base Encuesta'!AE38="",IFERROR(VALUE(LEFT('Base Encuesta'!K38,1)),"")&gt;=3),"",VALUE(LEFT('Base Encuesta'!AE38,1)))</f>
        <v/>
      </c>
      <c r="X64" t="str">
        <f>IF(OR('Base Encuesta'!AF38="",IFERROR(VALUE(LEFT('Base Encuesta'!K38,1)),"")&gt;=3),"",IF(W64=1,VALUE(LEFT('Base Encuesta'!AF38,1)),""))</f>
        <v/>
      </c>
      <c r="Y64" t="str">
        <f>IF(OR('Base Encuesta'!AG38="",IFERROR(VALUE(LEFT('Base Encuesta'!K38,1)),"")&gt;=3),"",IF(W64=1,VALUE(LEFT('Base Encuesta'!AG38,1)),""))</f>
        <v/>
      </c>
      <c r="Z64" t="str">
        <f>IF(OR('Base Encuesta'!AH38="",IFERROR(VALUE(LEFT('Base Encuesta'!K38,1)),"")&gt;=3),"",IF(W64=1,VALUE(LEFT('Base Encuesta'!AH38,1)),""))</f>
        <v/>
      </c>
      <c r="AA64" t="str">
        <f>IF(OR('Base Encuesta'!AI38="",IFERROR(VALUE(LEFT('Base Encuesta'!K38,1)),"")&gt;=3),"",IF(W64=1,VALUE(LEFT('Base Encuesta'!AI38,1)),""))</f>
        <v/>
      </c>
      <c r="AB64" t="str">
        <f>IF(OR('Base Encuesta'!AJ38="",IFERROR(VALUE(LEFT('Base Encuesta'!K38,1)),"")&gt;=3),"",IF(W64=1,VALUE(LEFT('Base Encuesta'!AJ38,1)),""))</f>
        <v/>
      </c>
      <c r="AC64" t="str">
        <f>IF(OR('Base Encuesta'!AL38="",IFERROR(VALUE(LEFT('Base Encuesta'!K38,1)),"")&gt;=3),"",VALUE(LEFT('Base Encuesta'!AL38,1)))</f>
        <v/>
      </c>
      <c r="AD64" t="str">
        <f>IF(OR('Base Encuesta'!AM38="",IFERROR(VALUE(LEFT('Base Encuesta'!K38,1)),"")&gt;=3),"",VALUE(LEFT('Base Encuesta'!AM38,1)))</f>
        <v/>
      </c>
      <c r="AE64" t="str">
        <f>IF(OR('Base Encuesta'!AN38="",IFERROR(VALUE(LEFT('Base Encuesta'!K38,1)),"")&gt;=3),"",VALUE(LEFT('Base Encuesta'!AN38,1)))</f>
        <v/>
      </c>
      <c r="AF64" t="str">
        <f>IF(OR('Base Encuesta'!AO38="",IFERROR(VALUE(LEFT('Base Encuesta'!K38,1)),"")&gt;=3),"",VALUE(LEFT('Base Encuesta'!AO38,1)))</f>
        <v/>
      </c>
      <c r="AG64" t="str">
        <f>IF(OR('Base Encuesta'!AQ38="",IFERROR(VALUE(LEFT('Base Encuesta'!K38,1)),"")&gt;=3),"",VALUE(LEFT('Base Encuesta'!AQ38,1)))</f>
        <v/>
      </c>
      <c r="AH64" t="str">
        <f>IF(OR('Base Encuesta'!AR38="",IFERROR(VALUE(LEFT('Base Encuesta'!K38,1)),"")&gt;=3),"",VALUE(LEFT('Base Encuesta'!AR38,1)))</f>
        <v/>
      </c>
    </row>
    <row r="65" spans="1:34">
      <c r="A65" t="str">
        <f>IF('Base Encuesta'!C39="","",'Base Encuesta'!C39)</f>
        <v/>
      </c>
      <c r="B65" t="str">
        <f>IF('Base Encuesta'!D39="","",'Base Encuesta'!D39)</f>
        <v/>
      </c>
      <c r="C65" t="str">
        <f>IF('Base Encuesta'!E39="","",'Base Encuesta'!E39)</f>
        <v/>
      </c>
      <c r="D65" t="str">
        <f>IF('Base Encuesta'!F39="","",'Base Encuesta'!F39)</f>
        <v/>
      </c>
      <c r="E65" t="str">
        <f>IF('Base Encuesta'!G39="","",'Base Encuesta'!G39)</f>
        <v/>
      </c>
      <c r="F65" t="str">
        <f>IF('Base Encuesta'!H39="","",'Base Encuesta'!H39)</f>
        <v/>
      </c>
      <c r="G65" t="str">
        <f>IF('Base Encuesta'!I39="","",'Base Encuesta'!I39)</f>
        <v/>
      </c>
      <c r="H65" t="str">
        <f>IF('Base Encuesta'!J39="","",'Base Encuesta'!J39)</f>
        <v/>
      </c>
      <c r="I65" t="str">
        <f>IF('Base Encuesta'!K39="","",'Base Encuesta'!K39)</f>
        <v/>
      </c>
      <c r="J65" t="str">
        <f>IF(OR('Base Encuesta'!P39="",IFERROR(VALUE(LEFT('Base Encuesta'!K39,1)),"")&gt;=3),"",PROPER(TRIM('Base Encuesta'!P39)))</f>
        <v/>
      </c>
      <c r="K65" t="str">
        <f>IF(OR('Base Encuesta'!Q39="",IFERROR(VALUE(LEFT('Base Encuesta'!K39,1)),"")&gt;=3),"",'Base Encuesta'!Q39)</f>
        <v/>
      </c>
      <c r="L65" t="str">
        <f>IF(OR('Base Encuesta'!R39="",IFERROR(VALUE(LEFT('Base Encuesta'!K39,1)),"")&gt;=3),"",VALUE(LEFT('Base Encuesta'!R39,1)))</f>
        <v/>
      </c>
      <c r="M65" t="str">
        <f>IF(OR('Base Encuesta'!S39="",IFERROR(VALUE(LEFT('Base Encuesta'!K39,1)),"")&gt;=3),"",VALUE(LEFT('Base Encuesta'!S39,1)))</f>
        <v/>
      </c>
      <c r="N65" t="str">
        <f>IF(OR('Base Encuesta'!T39="",IFERROR(VALUE(LEFT('Base Encuesta'!K39,1)),"")&gt;=3),"",VALUE(LEFT('Base Encuesta'!T39,1)))</f>
        <v/>
      </c>
      <c r="O65" t="str">
        <f>IF(OR('Base Encuesta'!V39="",IFERROR(VALUE(LEFT('Base Encuesta'!K39,1)),"")&gt;=3),"",VALUE(LEFT('Base Encuesta'!V39,1)))</f>
        <v/>
      </c>
      <c r="P65" t="str">
        <f>IF(OR('Base Encuesta'!W39="",IFERROR(VALUE(LEFT('Base Encuesta'!K39,1)),"")&gt;=3),"",VALUE(LEFT('Base Encuesta'!W39,1)))</f>
        <v/>
      </c>
      <c r="Q65" t="str">
        <f>IF(OR('Base Encuesta'!X39="",IFERROR(VALUE(LEFT('Base Encuesta'!K39,1)),"")&gt;=3),"",VALUE(LEFT('Base Encuesta'!X39,1)))</f>
        <v/>
      </c>
      <c r="R65" t="str">
        <f>IF(OR('Base Encuesta'!Y39="",IFERROR(VALUE(LEFT('Base Encuesta'!K39,1)),"")&gt;=3),"",VALUE(LEFT('Base Encuesta'!Y39,1)))</f>
        <v/>
      </c>
      <c r="S65" t="str">
        <f>IF(OR('Base Encuesta'!Z39="",IFERROR(VALUE(LEFT('Base Encuesta'!K39,1)),"")&gt;=3),"",VALUE(LEFT('Base Encuesta'!Z39,1)))</f>
        <v/>
      </c>
      <c r="T65" t="str">
        <f>IF(OR('Base Encuesta'!AA39="",IFERROR(VALUE(LEFT('Base Encuesta'!K39,1)),"")&gt;=3),"",VALUE(LEFT('Base Encuesta'!AA39,1)))</f>
        <v/>
      </c>
      <c r="U65" t="str">
        <f>IF(OR('Base Encuesta'!AB39="",IFERROR(VALUE(LEFT('Base Encuesta'!K39,1)),"")&gt;=3),"",VALUE(LEFT('Base Encuesta'!AB39,1)))</f>
        <v/>
      </c>
      <c r="V65" t="str">
        <f>IF(OR('Base Encuesta'!AC39="",IFERROR(VALUE(LEFT('Base Encuesta'!K39,1)),"")&gt;=3),"",VALUE(LEFT('Base Encuesta'!AC39,1)))</f>
        <v/>
      </c>
      <c r="W65" t="str">
        <f>IF(OR('Base Encuesta'!AE39="",IFERROR(VALUE(LEFT('Base Encuesta'!K39,1)),"")&gt;=3),"",VALUE(LEFT('Base Encuesta'!AE39,1)))</f>
        <v/>
      </c>
      <c r="X65" t="str">
        <f>IF(OR('Base Encuesta'!AF39="",IFERROR(VALUE(LEFT('Base Encuesta'!K39,1)),"")&gt;=3),"",IF(W65=1,VALUE(LEFT('Base Encuesta'!AF39,1)),""))</f>
        <v/>
      </c>
      <c r="Y65" t="str">
        <f>IF(OR('Base Encuesta'!AG39="",IFERROR(VALUE(LEFT('Base Encuesta'!K39,1)),"")&gt;=3),"",IF(W65=1,VALUE(LEFT('Base Encuesta'!AG39,1)),""))</f>
        <v/>
      </c>
      <c r="Z65" t="str">
        <f>IF(OR('Base Encuesta'!AH39="",IFERROR(VALUE(LEFT('Base Encuesta'!K39,1)),"")&gt;=3),"",IF(W65=1,VALUE(LEFT('Base Encuesta'!AH39,1)),""))</f>
        <v/>
      </c>
      <c r="AA65" t="str">
        <f>IF(OR('Base Encuesta'!AI39="",IFERROR(VALUE(LEFT('Base Encuesta'!K39,1)),"")&gt;=3),"",IF(W65=1,VALUE(LEFT('Base Encuesta'!AI39,1)),""))</f>
        <v/>
      </c>
      <c r="AB65" t="str">
        <f>IF(OR('Base Encuesta'!AJ39="",IFERROR(VALUE(LEFT('Base Encuesta'!K39,1)),"")&gt;=3),"",IF(W65=1,VALUE(LEFT('Base Encuesta'!AJ39,1)),""))</f>
        <v/>
      </c>
      <c r="AC65" t="str">
        <f>IF(OR('Base Encuesta'!AL39="",IFERROR(VALUE(LEFT('Base Encuesta'!K39,1)),"")&gt;=3),"",VALUE(LEFT('Base Encuesta'!AL39,1)))</f>
        <v/>
      </c>
      <c r="AD65" t="str">
        <f>IF(OR('Base Encuesta'!AM39="",IFERROR(VALUE(LEFT('Base Encuesta'!K39,1)),"")&gt;=3),"",VALUE(LEFT('Base Encuesta'!AM39,1)))</f>
        <v/>
      </c>
      <c r="AE65" t="str">
        <f>IF(OR('Base Encuesta'!AN39="",IFERROR(VALUE(LEFT('Base Encuesta'!K39,1)),"")&gt;=3),"",VALUE(LEFT('Base Encuesta'!AN39,1)))</f>
        <v/>
      </c>
      <c r="AF65" t="str">
        <f>IF(OR('Base Encuesta'!AO39="",IFERROR(VALUE(LEFT('Base Encuesta'!K39,1)),"")&gt;=3),"",VALUE(LEFT('Base Encuesta'!AO39,1)))</f>
        <v/>
      </c>
      <c r="AG65" t="str">
        <f>IF(OR('Base Encuesta'!AQ39="",IFERROR(VALUE(LEFT('Base Encuesta'!K39,1)),"")&gt;=3),"",VALUE(LEFT('Base Encuesta'!AQ39,1)))</f>
        <v/>
      </c>
      <c r="AH65" t="str">
        <f>IF(OR('Base Encuesta'!AR39="",IFERROR(VALUE(LEFT('Base Encuesta'!K39,1)),"")&gt;=3),"",VALUE(LEFT('Base Encuesta'!AR39,1)))</f>
        <v/>
      </c>
    </row>
    <row r="66" spans="1:34">
      <c r="A66" t="str">
        <f>IF('Base Encuesta'!C40="","",'Base Encuesta'!C40)</f>
        <v/>
      </c>
      <c r="B66" t="str">
        <f>IF('Base Encuesta'!D40="","",'Base Encuesta'!D40)</f>
        <v/>
      </c>
      <c r="C66" t="str">
        <f>IF('Base Encuesta'!E40="","",'Base Encuesta'!E40)</f>
        <v/>
      </c>
      <c r="D66" t="str">
        <f>IF('Base Encuesta'!F40="","",'Base Encuesta'!F40)</f>
        <v/>
      </c>
      <c r="E66" t="str">
        <f>IF('Base Encuesta'!G40="","",'Base Encuesta'!G40)</f>
        <v/>
      </c>
      <c r="F66" t="str">
        <f>IF('Base Encuesta'!H40="","",'Base Encuesta'!H40)</f>
        <v/>
      </c>
      <c r="G66" t="str">
        <f>IF('Base Encuesta'!I40="","",'Base Encuesta'!I40)</f>
        <v/>
      </c>
      <c r="H66" t="str">
        <f>IF('Base Encuesta'!J40="","",'Base Encuesta'!J40)</f>
        <v/>
      </c>
      <c r="I66" t="str">
        <f>IF('Base Encuesta'!K40="","",'Base Encuesta'!K40)</f>
        <v/>
      </c>
      <c r="J66" t="str">
        <f>IF(OR('Base Encuesta'!P40="",IFERROR(VALUE(LEFT('Base Encuesta'!K40,1)),"")&gt;=3),"",PROPER(TRIM('Base Encuesta'!P40)))</f>
        <v/>
      </c>
      <c r="K66" t="str">
        <f>IF(OR('Base Encuesta'!Q40="",IFERROR(VALUE(LEFT('Base Encuesta'!K40,1)),"")&gt;=3),"",'Base Encuesta'!Q40)</f>
        <v/>
      </c>
      <c r="L66" t="str">
        <f>IF(OR('Base Encuesta'!R40="",IFERROR(VALUE(LEFT('Base Encuesta'!K40,1)),"")&gt;=3),"",VALUE(LEFT('Base Encuesta'!R40,1)))</f>
        <v/>
      </c>
      <c r="M66" t="str">
        <f>IF(OR('Base Encuesta'!S40="",IFERROR(VALUE(LEFT('Base Encuesta'!K40,1)),"")&gt;=3),"",VALUE(LEFT('Base Encuesta'!S40,1)))</f>
        <v/>
      </c>
      <c r="N66" t="str">
        <f>IF(OR('Base Encuesta'!T40="",IFERROR(VALUE(LEFT('Base Encuesta'!K40,1)),"")&gt;=3),"",VALUE(LEFT('Base Encuesta'!T40,1)))</f>
        <v/>
      </c>
      <c r="O66" t="str">
        <f>IF(OR('Base Encuesta'!V40="",IFERROR(VALUE(LEFT('Base Encuesta'!K40,1)),"")&gt;=3),"",VALUE(LEFT('Base Encuesta'!V40,1)))</f>
        <v/>
      </c>
      <c r="P66" t="str">
        <f>IF(OR('Base Encuesta'!W40="",IFERROR(VALUE(LEFT('Base Encuesta'!K40,1)),"")&gt;=3),"",VALUE(LEFT('Base Encuesta'!W40,1)))</f>
        <v/>
      </c>
      <c r="Q66" t="str">
        <f>IF(OR('Base Encuesta'!X40="",IFERROR(VALUE(LEFT('Base Encuesta'!K40,1)),"")&gt;=3),"",VALUE(LEFT('Base Encuesta'!X40,1)))</f>
        <v/>
      </c>
      <c r="R66" t="str">
        <f>IF(OR('Base Encuesta'!Y40="",IFERROR(VALUE(LEFT('Base Encuesta'!K40,1)),"")&gt;=3),"",VALUE(LEFT('Base Encuesta'!Y40,1)))</f>
        <v/>
      </c>
      <c r="S66" t="str">
        <f>IF(OR('Base Encuesta'!Z40="",IFERROR(VALUE(LEFT('Base Encuesta'!K40,1)),"")&gt;=3),"",VALUE(LEFT('Base Encuesta'!Z40,1)))</f>
        <v/>
      </c>
      <c r="T66" t="str">
        <f>IF(OR('Base Encuesta'!AA40="",IFERROR(VALUE(LEFT('Base Encuesta'!K40,1)),"")&gt;=3),"",VALUE(LEFT('Base Encuesta'!AA40,1)))</f>
        <v/>
      </c>
      <c r="U66" t="str">
        <f>IF(OR('Base Encuesta'!AB40="",IFERROR(VALUE(LEFT('Base Encuesta'!K40,1)),"")&gt;=3),"",VALUE(LEFT('Base Encuesta'!AB40,1)))</f>
        <v/>
      </c>
      <c r="V66" t="str">
        <f>IF(OR('Base Encuesta'!AC40="",IFERROR(VALUE(LEFT('Base Encuesta'!K40,1)),"")&gt;=3),"",VALUE(LEFT('Base Encuesta'!AC40,1)))</f>
        <v/>
      </c>
      <c r="W66" t="str">
        <f>IF(OR('Base Encuesta'!AE40="",IFERROR(VALUE(LEFT('Base Encuesta'!K40,1)),"")&gt;=3),"",VALUE(LEFT('Base Encuesta'!AE40,1)))</f>
        <v/>
      </c>
      <c r="X66" t="str">
        <f>IF(OR('Base Encuesta'!AF40="",IFERROR(VALUE(LEFT('Base Encuesta'!K40,1)),"")&gt;=3),"",IF(W66=1,VALUE(LEFT('Base Encuesta'!AF40,1)),""))</f>
        <v/>
      </c>
      <c r="Y66" t="str">
        <f>IF(OR('Base Encuesta'!AG40="",IFERROR(VALUE(LEFT('Base Encuesta'!K40,1)),"")&gt;=3),"",IF(W66=1,VALUE(LEFT('Base Encuesta'!AG40,1)),""))</f>
        <v/>
      </c>
      <c r="Z66" t="str">
        <f>IF(OR('Base Encuesta'!AH40="",IFERROR(VALUE(LEFT('Base Encuesta'!K40,1)),"")&gt;=3),"",IF(W66=1,VALUE(LEFT('Base Encuesta'!AH40,1)),""))</f>
        <v/>
      </c>
      <c r="AA66" t="str">
        <f>IF(OR('Base Encuesta'!AI40="",IFERROR(VALUE(LEFT('Base Encuesta'!K40,1)),"")&gt;=3),"",IF(W66=1,VALUE(LEFT('Base Encuesta'!AI40,1)),""))</f>
        <v/>
      </c>
      <c r="AB66" t="str">
        <f>IF(OR('Base Encuesta'!AJ40="",IFERROR(VALUE(LEFT('Base Encuesta'!K40,1)),"")&gt;=3),"",IF(W66=1,VALUE(LEFT('Base Encuesta'!AJ40,1)),""))</f>
        <v/>
      </c>
      <c r="AC66" t="str">
        <f>IF(OR('Base Encuesta'!AL40="",IFERROR(VALUE(LEFT('Base Encuesta'!K40,1)),"")&gt;=3),"",VALUE(LEFT('Base Encuesta'!AL40,1)))</f>
        <v/>
      </c>
      <c r="AD66" t="str">
        <f>IF(OR('Base Encuesta'!AM40="",IFERROR(VALUE(LEFT('Base Encuesta'!K40,1)),"")&gt;=3),"",VALUE(LEFT('Base Encuesta'!AM40,1)))</f>
        <v/>
      </c>
      <c r="AE66" t="str">
        <f>IF(OR('Base Encuesta'!AN40="",IFERROR(VALUE(LEFT('Base Encuesta'!K40,1)),"")&gt;=3),"",VALUE(LEFT('Base Encuesta'!AN40,1)))</f>
        <v/>
      </c>
      <c r="AF66" t="str">
        <f>IF(OR('Base Encuesta'!AO40="",IFERROR(VALUE(LEFT('Base Encuesta'!K40,1)),"")&gt;=3),"",VALUE(LEFT('Base Encuesta'!AO40,1)))</f>
        <v/>
      </c>
      <c r="AG66" t="str">
        <f>IF(OR('Base Encuesta'!AQ40="",IFERROR(VALUE(LEFT('Base Encuesta'!K40,1)),"")&gt;=3),"",VALUE(LEFT('Base Encuesta'!AQ40,1)))</f>
        <v/>
      </c>
      <c r="AH66" t="str">
        <f>IF(OR('Base Encuesta'!AR40="",IFERROR(VALUE(LEFT('Base Encuesta'!K40,1)),"")&gt;=3),"",VALUE(LEFT('Base Encuesta'!AR40,1)))</f>
        <v/>
      </c>
    </row>
    <row r="67" spans="1:34">
      <c r="A67" t="str">
        <f>IF('Base Encuesta'!C41="","",'Base Encuesta'!C41)</f>
        <v/>
      </c>
      <c r="B67" t="str">
        <f>IF('Base Encuesta'!D41="","",'Base Encuesta'!D41)</f>
        <v/>
      </c>
      <c r="C67" t="str">
        <f>IF('Base Encuesta'!E41="","",'Base Encuesta'!E41)</f>
        <v/>
      </c>
      <c r="D67" t="str">
        <f>IF('Base Encuesta'!F41="","",'Base Encuesta'!F41)</f>
        <v/>
      </c>
      <c r="E67" t="str">
        <f>IF('Base Encuesta'!G41="","",'Base Encuesta'!G41)</f>
        <v/>
      </c>
      <c r="F67" t="str">
        <f>IF('Base Encuesta'!H41="","",'Base Encuesta'!H41)</f>
        <v/>
      </c>
      <c r="G67" t="str">
        <f>IF('Base Encuesta'!I41="","",'Base Encuesta'!I41)</f>
        <v/>
      </c>
      <c r="H67" t="str">
        <f>IF('Base Encuesta'!J41="","",'Base Encuesta'!J41)</f>
        <v/>
      </c>
      <c r="I67" t="str">
        <f>IF('Base Encuesta'!K41="","",'Base Encuesta'!K41)</f>
        <v/>
      </c>
      <c r="J67" t="str">
        <f>IF(OR('Base Encuesta'!P41="",IFERROR(VALUE(LEFT('Base Encuesta'!K41,1)),"")&gt;=3),"",PROPER(TRIM('Base Encuesta'!P41)))</f>
        <v/>
      </c>
      <c r="K67" t="str">
        <f>IF(OR('Base Encuesta'!Q41="",IFERROR(VALUE(LEFT('Base Encuesta'!K41,1)),"")&gt;=3),"",'Base Encuesta'!Q41)</f>
        <v/>
      </c>
      <c r="L67" t="str">
        <f>IF(OR('Base Encuesta'!R41="",IFERROR(VALUE(LEFT('Base Encuesta'!K41,1)),"")&gt;=3),"",VALUE(LEFT('Base Encuesta'!R41,1)))</f>
        <v/>
      </c>
      <c r="M67" t="str">
        <f>IF(OR('Base Encuesta'!S41="",IFERROR(VALUE(LEFT('Base Encuesta'!K41,1)),"")&gt;=3),"",VALUE(LEFT('Base Encuesta'!S41,1)))</f>
        <v/>
      </c>
      <c r="N67" t="str">
        <f>IF(OR('Base Encuesta'!T41="",IFERROR(VALUE(LEFT('Base Encuesta'!K41,1)),"")&gt;=3),"",VALUE(LEFT('Base Encuesta'!T41,1)))</f>
        <v/>
      </c>
      <c r="O67" t="str">
        <f>IF(OR('Base Encuesta'!V41="",IFERROR(VALUE(LEFT('Base Encuesta'!K41,1)),"")&gt;=3),"",VALUE(LEFT('Base Encuesta'!V41,1)))</f>
        <v/>
      </c>
      <c r="P67" t="str">
        <f>IF(OR('Base Encuesta'!W41="",IFERROR(VALUE(LEFT('Base Encuesta'!K41,1)),"")&gt;=3),"",VALUE(LEFT('Base Encuesta'!W41,1)))</f>
        <v/>
      </c>
      <c r="Q67" t="str">
        <f>IF(OR('Base Encuesta'!X41="",IFERROR(VALUE(LEFT('Base Encuesta'!K41,1)),"")&gt;=3),"",VALUE(LEFT('Base Encuesta'!X41,1)))</f>
        <v/>
      </c>
      <c r="R67" t="str">
        <f>IF(OR('Base Encuesta'!Y41="",IFERROR(VALUE(LEFT('Base Encuesta'!K41,1)),"")&gt;=3),"",VALUE(LEFT('Base Encuesta'!Y41,1)))</f>
        <v/>
      </c>
      <c r="S67" t="str">
        <f>IF(OR('Base Encuesta'!Z41="",IFERROR(VALUE(LEFT('Base Encuesta'!K41,1)),"")&gt;=3),"",VALUE(LEFT('Base Encuesta'!Z41,1)))</f>
        <v/>
      </c>
      <c r="T67" t="str">
        <f>IF(OR('Base Encuesta'!AA41="",IFERROR(VALUE(LEFT('Base Encuesta'!K41,1)),"")&gt;=3),"",VALUE(LEFT('Base Encuesta'!AA41,1)))</f>
        <v/>
      </c>
      <c r="U67" t="str">
        <f>IF(OR('Base Encuesta'!AB41="",IFERROR(VALUE(LEFT('Base Encuesta'!K41,1)),"")&gt;=3),"",VALUE(LEFT('Base Encuesta'!AB41,1)))</f>
        <v/>
      </c>
      <c r="V67" t="str">
        <f>IF(OR('Base Encuesta'!AC41="",IFERROR(VALUE(LEFT('Base Encuesta'!K41,1)),"")&gt;=3),"",VALUE(LEFT('Base Encuesta'!AC41,1)))</f>
        <v/>
      </c>
      <c r="W67" t="str">
        <f>IF(OR('Base Encuesta'!AE41="",IFERROR(VALUE(LEFT('Base Encuesta'!K41,1)),"")&gt;=3),"",VALUE(LEFT('Base Encuesta'!AE41,1)))</f>
        <v/>
      </c>
      <c r="X67" t="str">
        <f>IF(OR('Base Encuesta'!AF41="",IFERROR(VALUE(LEFT('Base Encuesta'!K41,1)),"")&gt;=3),"",IF(W67=1,VALUE(LEFT('Base Encuesta'!AF41,1)),""))</f>
        <v/>
      </c>
      <c r="Y67" t="str">
        <f>IF(OR('Base Encuesta'!AG41="",IFERROR(VALUE(LEFT('Base Encuesta'!K41,1)),"")&gt;=3),"",IF(W67=1,VALUE(LEFT('Base Encuesta'!AG41,1)),""))</f>
        <v/>
      </c>
      <c r="Z67" t="str">
        <f>IF(OR('Base Encuesta'!AH41="",IFERROR(VALUE(LEFT('Base Encuesta'!K41,1)),"")&gt;=3),"",IF(W67=1,VALUE(LEFT('Base Encuesta'!AH41,1)),""))</f>
        <v/>
      </c>
      <c r="AA67" t="str">
        <f>IF(OR('Base Encuesta'!AI41="",IFERROR(VALUE(LEFT('Base Encuesta'!K41,1)),"")&gt;=3),"",IF(W67=1,VALUE(LEFT('Base Encuesta'!AI41,1)),""))</f>
        <v/>
      </c>
      <c r="AB67" t="str">
        <f>IF(OR('Base Encuesta'!AJ41="",IFERROR(VALUE(LEFT('Base Encuesta'!K41,1)),"")&gt;=3),"",IF(W67=1,VALUE(LEFT('Base Encuesta'!AJ41,1)),""))</f>
        <v/>
      </c>
      <c r="AC67" t="str">
        <f>IF(OR('Base Encuesta'!AL41="",IFERROR(VALUE(LEFT('Base Encuesta'!K41,1)),"")&gt;=3),"",VALUE(LEFT('Base Encuesta'!AL41,1)))</f>
        <v/>
      </c>
      <c r="AD67" t="str">
        <f>IF(OR('Base Encuesta'!AM41="",IFERROR(VALUE(LEFT('Base Encuesta'!K41,1)),"")&gt;=3),"",VALUE(LEFT('Base Encuesta'!AM41,1)))</f>
        <v/>
      </c>
      <c r="AE67" t="str">
        <f>IF(OR('Base Encuesta'!AN41="",IFERROR(VALUE(LEFT('Base Encuesta'!K41,1)),"")&gt;=3),"",VALUE(LEFT('Base Encuesta'!AN41,1)))</f>
        <v/>
      </c>
      <c r="AF67" t="str">
        <f>IF(OR('Base Encuesta'!AO41="",IFERROR(VALUE(LEFT('Base Encuesta'!K41,1)),"")&gt;=3),"",VALUE(LEFT('Base Encuesta'!AO41,1)))</f>
        <v/>
      </c>
      <c r="AG67" t="str">
        <f>IF(OR('Base Encuesta'!AQ41="",IFERROR(VALUE(LEFT('Base Encuesta'!K41,1)),"")&gt;=3),"",VALUE(LEFT('Base Encuesta'!AQ41,1)))</f>
        <v/>
      </c>
      <c r="AH67" t="str">
        <f>IF(OR('Base Encuesta'!AR41="",IFERROR(VALUE(LEFT('Base Encuesta'!K41,1)),"")&gt;=3),"",VALUE(LEFT('Base Encuesta'!AR41,1)))</f>
        <v/>
      </c>
    </row>
    <row r="68" spans="1:34">
      <c r="A68" t="str">
        <f>IF('Base Encuesta'!C42="","",'Base Encuesta'!C42)</f>
        <v/>
      </c>
      <c r="B68" t="str">
        <f>IF('Base Encuesta'!D42="","",'Base Encuesta'!D42)</f>
        <v/>
      </c>
      <c r="C68" t="str">
        <f>IF('Base Encuesta'!E42="","",'Base Encuesta'!E42)</f>
        <v/>
      </c>
      <c r="D68" t="str">
        <f>IF('Base Encuesta'!F42="","",'Base Encuesta'!F42)</f>
        <v/>
      </c>
      <c r="E68" t="str">
        <f>IF('Base Encuesta'!G42="","",'Base Encuesta'!G42)</f>
        <v/>
      </c>
      <c r="F68" t="str">
        <f>IF('Base Encuesta'!H42="","",'Base Encuesta'!H42)</f>
        <v/>
      </c>
      <c r="G68" t="str">
        <f>IF('Base Encuesta'!I42="","",'Base Encuesta'!I42)</f>
        <v/>
      </c>
      <c r="H68" t="str">
        <f>IF('Base Encuesta'!J42="","",'Base Encuesta'!J42)</f>
        <v/>
      </c>
      <c r="I68" t="str">
        <f>IF('Base Encuesta'!K42="","",'Base Encuesta'!K42)</f>
        <v/>
      </c>
      <c r="J68" t="str">
        <f>IF(OR('Base Encuesta'!P42="",IFERROR(VALUE(LEFT('Base Encuesta'!K42,1)),"")&gt;=3),"",PROPER(TRIM('Base Encuesta'!P42)))</f>
        <v/>
      </c>
      <c r="K68" t="str">
        <f>IF(OR('Base Encuesta'!Q42="",IFERROR(VALUE(LEFT('Base Encuesta'!K42,1)),"")&gt;=3),"",'Base Encuesta'!Q42)</f>
        <v/>
      </c>
      <c r="L68" t="str">
        <f>IF(OR('Base Encuesta'!R42="",IFERROR(VALUE(LEFT('Base Encuesta'!K42,1)),"")&gt;=3),"",VALUE(LEFT('Base Encuesta'!R42,1)))</f>
        <v/>
      </c>
      <c r="M68" t="str">
        <f>IF(OR('Base Encuesta'!S42="",IFERROR(VALUE(LEFT('Base Encuesta'!K42,1)),"")&gt;=3),"",VALUE(LEFT('Base Encuesta'!S42,1)))</f>
        <v/>
      </c>
      <c r="N68" t="str">
        <f>IF(OR('Base Encuesta'!T42="",IFERROR(VALUE(LEFT('Base Encuesta'!K42,1)),"")&gt;=3),"",VALUE(LEFT('Base Encuesta'!T42,1)))</f>
        <v/>
      </c>
      <c r="O68" t="str">
        <f>IF(OR('Base Encuesta'!V42="",IFERROR(VALUE(LEFT('Base Encuesta'!K42,1)),"")&gt;=3),"",VALUE(LEFT('Base Encuesta'!V42,1)))</f>
        <v/>
      </c>
      <c r="P68" t="str">
        <f>IF(OR('Base Encuesta'!W42="",IFERROR(VALUE(LEFT('Base Encuesta'!K42,1)),"")&gt;=3),"",VALUE(LEFT('Base Encuesta'!W42,1)))</f>
        <v/>
      </c>
      <c r="Q68" t="str">
        <f>IF(OR('Base Encuesta'!X42="",IFERROR(VALUE(LEFT('Base Encuesta'!K42,1)),"")&gt;=3),"",VALUE(LEFT('Base Encuesta'!X42,1)))</f>
        <v/>
      </c>
      <c r="R68" t="str">
        <f>IF(OR('Base Encuesta'!Y42="",IFERROR(VALUE(LEFT('Base Encuesta'!K42,1)),"")&gt;=3),"",VALUE(LEFT('Base Encuesta'!Y42,1)))</f>
        <v/>
      </c>
      <c r="S68" t="str">
        <f>IF(OR('Base Encuesta'!Z42="",IFERROR(VALUE(LEFT('Base Encuesta'!K42,1)),"")&gt;=3),"",VALUE(LEFT('Base Encuesta'!Z42,1)))</f>
        <v/>
      </c>
      <c r="T68" t="str">
        <f>IF(OR('Base Encuesta'!AA42="",IFERROR(VALUE(LEFT('Base Encuesta'!K42,1)),"")&gt;=3),"",VALUE(LEFT('Base Encuesta'!AA42,1)))</f>
        <v/>
      </c>
      <c r="U68" t="str">
        <f>IF(OR('Base Encuesta'!AB42="",IFERROR(VALUE(LEFT('Base Encuesta'!K42,1)),"")&gt;=3),"",VALUE(LEFT('Base Encuesta'!AB42,1)))</f>
        <v/>
      </c>
      <c r="V68" t="str">
        <f>IF(OR('Base Encuesta'!AC42="",IFERROR(VALUE(LEFT('Base Encuesta'!K42,1)),"")&gt;=3),"",VALUE(LEFT('Base Encuesta'!AC42,1)))</f>
        <v/>
      </c>
      <c r="W68" t="str">
        <f>IF(OR('Base Encuesta'!AE42="",IFERROR(VALUE(LEFT('Base Encuesta'!K42,1)),"")&gt;=3),"",VALUE(LEFT('Base Encuesta'!AE42,1)))</f>
        <v/>
      </c>
      <c r="X68" t="str">
        <f>IF(OR('Base Encuesta'!AF42="",IFERROR(VALUE(LEFT('Base Encuesta'!K42,1)),"")&gt;=3),"",IF(W68=1,VALUE(LEFT('Base Encuesta'!AF42,1)),""))</f>
        <v/>
      </c>
      <c r="Y68" t="str">
        <f>IF(OR('Base Encuesta'!AG42="",IFERROR(VALUE(LEFT('Base Encuesta'!K42,1)),"")&gt;=3),"",IF(W68=1,VALUE(LEFT('Base Encuesta'!AG42,1)),""))</f>
        <v/>
      </c>
      <c r="Z68" t="str">
        <f>IF(OR('Base Encuesta'!AH42="",IFERROR(VALUE(LEFT('Base Encuesta'!K42,1)),"")&gt;=3),"",IF(W68=1,VALUE(LEFT('Base Encuesta'!AH42,1)),""))</f>
        <v/>
      </c>
      <c r="AA68" t="str">
        <f>IF(OR('Base Encuesta'!AI42="",IFERROR(VALUE(LEFT('Base Encuesta'!K42,1)),"")&gt;=3),"",IF(W68=1,VALUE(LEFT('Base Encuesta'!AI42,1)),""))</f>
        <v/>
      </c>
      <c r="AB68" t="str">
        <f>IF(OR('Base Encuesta'!AJ42="",IFERROR(VALUE(LEFT('Base Encuesta'!K42,1)),"")&gt;=3),"",IF(W68=1,VALUE(LEFT('Base Encuesta'!AJ42,1)),""))</f>
        <v/>
      </c>
      <c r="AC68" t="str">
        <f>IF(OR('Base Encuesta'!AL42="",IFERROR(VALUE(LEFT('Base Encuesta'!K42,1)),"")&gt;=3),"",VALUE(LEFT('Base Encuesta'!AL42,1)))</f>
        <v/>
      </c>
      <c r="AD68" t="str">
        <f>IF(OR('Base Encuesta'!AM42="",IFERROR(VALUE(LEFT('Base Encuesta'!K42,1)),"")&gt;=3),"",VALUE(LEFT('Base Encuesta'!AM42,1)))</f>
        <v/>
      </c>
      <c r="AE68" t="str">
        <f>IF(OR('Base Encuesta'!AN42="",IFERROR(VALUE(LEFT('Base Encuesta'!K42,1)),"")&gt;=3),"",VALUE(LEFT('Base Encuesta'!AN42,1)))</f>
        <v/>
      </c>
      <c r="AF68" t="str">
        <f>IF(OR('Base Encuesta'!AO42="",IFERROR(VALUE(LEFT('Base Encuesta'!K42,1)),"")&gt;=3),"",VALUE(LEFT('Base Encuesta'!AO42,1)))</f>
        <v/>
      </c>
      <c r="AG68" t="str">
        <f>IF(OR('Base Encuesta'!AQ42="",IFERROR(VALUE(LEFT('Base Encuesta'!K42,1)),"")&gt;=3),"",VALUE(LEFT('Base Encuesta'!AQ42,1)))</f>
        <v/>
      </c>
      <c r="AH68" t="str">
        <f>IF(OR('Base Encuesta'!AR42="",IFERROR(VALUE(LEFT('Base Encuesta'!K42,1)),"")&gt;=3),"",VALUE(LEFT('Base Encuesta'!AR42,1)))</f>
        <v/>
      </c>
    </row>
    <row r="69" spans="1:34">
      <c r="A69" t="str">
        <f>IF('Base Encuesta'!C43="","",'Base Encuesta'!C43)</f>
        <v/>
      </c>
      <c r="B69" t="str">
        <f>IF('Base Encuesta'!D43="","",'Base Encuesta'!D43)</f>
        <v/>
      </c>
      <c r="C69" t="str">
        <f>IF('Base Encuesta'!E43="","",'Base Encuesta'!E43)</f>
        <v/>
      </c>
      <c r="D69" t="str">
        <f>IF('Base Encuesta'!F43="","",'Base Encuesta'!F43)</f>
        <v/>
      </c>
      <c r="E69" t="str">
        <f>IF('Base Encuesta'!G43="","",'Base Encuesta'!G43)</f>
        <v/>
      </c>
      <c r="F69" t="str">
        <f>IF('Base Encuesta'!H43="","",'Base Encuesta'!H43)</f>
        <v/>
      </c>
      <c r="G69" t="str">
        <f>IF('Base Encuesta'!I43="","",'Base Encuesta'!I43)</f>
        <v/>
      </c>
      <c r="H69" t="str">
        <f>IF('Base Encuesta'!J43="","",'Base Encuesta'!J43)</f>
        <v/>
      </c>
      <c r="I69" t="str">
        <f>IF('Base Encuesta'!K43="","",'Base Encuesta'!K43)</f>
        <v/>
      </c>
      <c r="J69" t="str">
        <f>IF(OR('Base Encuesta'!P43="",IFERROR(VALUE(LEFT('Base Encuesta'!K43,1)),"")&gt;=3),"",PROPER(TRIM('Base Encuesta'!P43)))</f>
        <v/>
      </c>
      <c r="K69" t="str">
        <f>IF(OR('Base Encuesta'!Q43="",IFERROR(VALUE(LEFT('Base Encuesta'!K43,1)),"")&gt;=3),"",'Base Encuesta'!Q43)</f>
        <v/>
      </c>
      <c r="L69" t="str">
        <f>IF(OR('Base Encuesta'!R43="",IFERROR(VALUE(LEFT('Base Encuesta'!K43,1)),"")&gt;=3),"",VALUE(LEFT('Base Encuesta'!R43,1)))</f>
        <v/>
      </c>
      <c r="M69" t="str">
        <f>IF(OR('Base Encuesta'!S43="",IFERROR(VALUE(LEFT('Base Encuesta'!K43,1)),"")&gt;=3),"",VALUE(LEFT('Base Encuesta'!S43,1)))</f>
        <v/>
      </c>
      <c r="N69" t="str">
        <f>IF(OR('Base Encuesta'!T43="",IFERROR(VALUE(LEFT('Base Encuesta'!K43,1)),"")&gt;=3),"",VALUE(LEFT('Base Encuesta'!T43,1)))</f>
        <v/>
      </c>
      <c r="O69" t="str">
        <f>IF(OR('Base Encuesta'!V43="",IFERROR(VALUE(LEFT('Base Encuesta'!K43,1)),"")&gt;=3),"",VALUE(LEFT('Base Encuesta'!V43,1)))</f>
        <v/>
      </c>
      <c r="P69" t="str">
        <f>IF(OR('Base Encuesta'!W43="",IFERROR(VALUE(LEFT('Base Encuesta'!K43,1)),"")&gt;=3),"",VALUE(LEFT('Base Encuesta'!W43,1)))</f>
        <v/>
      </c>
      <c r="Q69" t="str">
        <f>IF(OR('Base Encuesta'!X43="",IFERROR(VALUE(LEFT('Base Encuesta'!K43,1)),"")&gt;=3),"",VALUE(LEFT('Base Encuesta'!X43,1)))</f>
        <v/>
      </c>
      <c r="R69" t="str">
        <f>IF(OR('Base Encuesta'!Y43="",IFERROR(VALUE(LEFT('Base Encuesta'!K43,1)),"")&gt;=3),"",VALUE(LEFT('Base Encuesta'!Y43,1)))</f>
        <v/>
      </c>
      <c r="S69" t="str">
        <f>IF(OR('Base Encuesta'!Z43="",IFERROR(VALUE(LEFT('Base Encuesta'!K43,1)),"")&gt;=3),"",VALUE(LEFT('Base Encuesta'!Z43,1)))</f>
        <v/>
      </c>
      <c r="T69" t="str">
        <f>IF(OR('Base Encuesta'!AA43="",IFERROR(VALUE(LEFT('Base Encuesta'!K43,1)),"")&gt;=3),"",VALUE(LEFT('Base Encuesta'!AA43,1)))</f>
        <v/>
      </c>
      <c r="U69" t="str">
        <f>IF(OR('Base Encuesta'!AB43="",IFERROR(VALUE(LEFT('Base Encuesta'!K43,1)),"")&gt;=3),"",VALUE(LEFT('Base Encuesta'!AB43,1)))</f>
        <v/>
      </c>
      <c r="V69" t="str">
        <f>IF(OR('Base Encuesta'!AC43="",IFERROR(VALUE(LEFT('Base Encuesta'!K43,1)),"")&gt;=3),"",VALUE(LEFT('Base Encuesta'!AC43,1)))</f>
        <v/>
      </c>
      <c r="W69" t="str">
        <f>IF(OR('Base Encuesta'!AE43="",IFERROR(VALUE(LEFT('Base Encuesta'!K43,1)),"")&gt;=3),"",VALUE(LEFT('Base Encuesta'!AE43,1)))</f>
        <v/>
      </c>
      <c r="X69" t="str">
        <f>IF(OR('Base Encuesta'!AF43="",IFERROR(VALUE(LEFT('Base Encuesta'!K43,1)),"")&gt;=3),"",IF(W69=1,VALUE(LEFT('Base Encuesta'!AF43,1)),""))</f>
        <v/>
      </c>
      <c r="Y69" t="str">
        <f>IF(OR('Base Encuesta'!AG43="",IFERROR(VALUE(LEFT('Base Encuesta'!K43,1)),"")&gt;=3),"",IF(W69=1,VALUE(LEFT('Base Encuesta'!AG43,1)),""))</f>
        <v/>
      </c>
      <c r="Z69" t="str">
        <f>IF(OR('Base Encuesta'!AH43="",IFERROR(VALUE(LEFT('Base Encuesta'!K43,1)),"")&gt;=3),"",IF(W69=1,VALUE(LEFT('Base Encuesta'!AH43,1)),""))</f>
        <v/>
      </c>
      <c r="AA69" t="str">
        <f>IF(OR('Base Encuesta'!AI43="",IFERROR(VALUE(LEFT('Base Encuesta'!K43,1)),"")&gt;=3),"",IF(W69=1,VALUE(LEFT('Base Encuesta'!AI43,1)),""))</f>
        <v/>
      </c>
      <c r="AB69" t="str">
        <f>IF(OR('Base Encuesta'!AJ43="",IFERROR(VALUE(LEFT('Base Encuesta'!K43,1)),"")&gt;=3),"",IF(W69=1,VALUE(LEFT('Base Encuesta'!AJ43,1)),""))</f>
        <v/>
      </c>
      <c r="AC69" t="str">
        <f>IF(OR('Base Encuesta'!AL43="",IFERROR(VALUE(LEFT('Base Encuesta'!K43,1)),"")&gt;=3),"",VALUE(LEFT('Base Encuesta'!AL43,1)))</f>
        <v/>
      </c>
      <c r="AD69" t="str">
        <f>IF(OR('Base Encuesta'!AM43="",IFERROR(VALUE(LEFT('Base Encuesta'!K43,1)),"")&gt;=3),"",VALUE(LEFT('Base Encuesta'!AM43,1)))</f>
        <v/>
      </c>
      <c r="AE69" t="str">
        <f>IF(OR('Base Encuesta'!AN43="",IFERROR(VALUE(LEFT('Base Encuesta'!K43,1)),"")&gt;=3),"",VALUE(LEFT('Base Encuesta'!AN43,1)))</f>
        <v/>
      </c>
      <c r="AF69" t="str">
        <f>IF(OR('Base Encuesta'!AO43="",IFERROR(VALUE(LEFT('Base Encuesta'!K43,1)),"")&gt;=3),"",VALUE(LEFT('Base Encuesta'!AO43,1)))</f>
        <v/>
      </c>
      <c r="AG69" t="str">
        <f>IF(OR('Base Encuesta'!AQ43="",IFERROR(VALUE(LEFT('Base Encuesta'!K43,1)),"")&gt;=3),"",VALUE(LEFT('Base Encuesta'!AQ43,1)))</f>
        <v/>
      </c>
      <c r="AH69" t="str">
        <f>IF(OR('Base Encuesta'!AR43="",IFERROR(VALUE(LEFT('Base Encuesta'!K43,1)),"")&gt;=3),"",VALUE(LEFT('Base Encuesta'!AR43,1)))</f>
        <v/>
      </c>
    </row>
    <row r="70" spans="1:34">
      <c r="A70" t="str">
        <f>IF('Base Encuesta'!C44="","",'Base Encuesta'!C44)</f>
        <v/>
      </c>
      <c r="B70" t="str">
        <f>IF('Base Encuesta'!D44="","",'Base Encuesta'!D44)</f>
        <v/>
      </c>
      <c r="C70" t="str">
        <f>IF('Base Encuesta'!E44="","",'Base Encuesta'!E44)</f>
        <v/>
      </c>
      <c r="D70" t="str">
        <f>IF('Base Encuesta'!F44="","",'Base Encuesta'!F44)</f>
        <v/>
      </c>
      <c r="E70" t="str">
        <f>IF('Base Encuesta'!G44="","",'Base Encuesta'!G44)</f>
        <v/>
      </c>
      <c r="F70" t="str">
        <f>IF('Base Encuesta'!H44="","",'Base Encuesta'!H44)</f>
        <v/>
      </c>
      <c r="G70" t="str">
        <f>IF('Base Encuesta'!I44="","",'Base Encuesta'!I44)</f>
        <v/>
      </c>
      <c r="H70" t="str">
        <f>IF('Base Encuesta'!J44="","",'Base Encuesta'!J44)</f>
        <v/>
      </c>
      <c r="I70" t="str">
        <f>IF('Base Encuesta'!K44="","",'Base Encuesta'!K44)</f>
        <v/>
      </c>
      <c r="J70" t="str">
        <f>IF(OR('Base Encuesta'!P44="",IFERROR(VALUE(LEFT('Base Encuesta'!K44,1)),"")&gt;=3),"",PROPER(TRIM('Base Encuesta'!P44)))</f>
        <v/>
      </c>
      <c r="K70" t="str">
        <f>IF(OR('Base Encuesta'!Q44="",IFERROR(VALUE(LEFT('Base Encuesta'!K44,1)),"")&gt;=3),"",'Base Encuesta'!Q44)</f>
        <v/>
      </c>
      <c r="L70" t="str">
        <f>IF(OR('Base Encuesta'!R44="",IFERROR(VALUE(LEFT('Base Encuesta'!K44,1)),"")&gt;=3),"",VALUE(LEFT('Base Encuesta'!R44,1)))</f>
        <v/>
      </c>
      <c r="M70" t="str">
        <f>IF(OR('Base Encuesta'!S44="",IFERROR(VALUE(LEFT('Base Encuesta'!K44,1)),"")&gt;=3),"",VALUE(LEFT('Base Encuesta'!S44,1)))</f>
        <v/>
      </c>
      <c r="N70" t="str">
        <f>IF(OR('Base Encuesta'!T44="",IFERROR(VALUE(LEFT('Base Encuesta'!K44,1)),"")&gt;=3),"",VALUE(LEFT('Base Encuesta'!T44,1)))</f>
        <v/>
      </c>
      <c r="O70" t="str">
        <f>IF(OR('Base Encuesta'!V44="",IFERROR(VALUE(LEFT('Base Encuesta'!K44,1)),"")&gt;=3),"",VALUE(LEFT('Base Encuesta'!V44,1)))</f>
        <v/>
      </c>
      <c r="P70" t="str">
        <f>IF(OR('Base Encuesta'!W44="",IFERROR(VALUE(LEFT('Base Encuesta'!K44,1)),"")&gt;=3),"",VALUE(LEFT('Base Encuesta'!W44,1)))</f>
        <v/>
      </c>
      <c r="Q70" t="str">
        <f>IF(OR('Base Encuesta'!X44="",IFERROR(VALUE(LEFT('Base Encuesta'!K44,1)),"")&gt;=3),"",VALUE(LEFT('Base Encuesta'!X44,1)))</f>
        <v/>
      </c>
      <c r="R70" t="str">
        <f>IF(OR('Base Encuesta'!Y44="",IFERROR(VALUE(LEFT('Base Encuesta'!K44,1)),"")&gt;=3),"",VALUE(LEFT('Base Encuesta'!Y44,1)))</f>
        <v/>
      </c>
      <c r="S70" t="str">
        <f>IF(OR('Base Encuesta'!Z44="",IFERROR(VALUE(LEFT('Base Encuesta'!K44,1)),"")&gt;=3),"",VALUE(LEFT('Base Encuesta'!Z44,1)))</f>
        <v/>
      </c>
      <c r="T70" t="str">
        <f>IF(OR('Base Encuesta'!AA44="",IFERROR(VALUE(LEFT('Base Encuesta'!K44,1)),"")&gt;=3),"",VALUE(LEFT('Base Encuesta'!AA44,1)))</f>
        <v/>
      </c>
      <c r="U70" t="str">
        <f>IF(OR('Base Encuesta'!AB44="",IFERROR(VALUE(LEFT('Base Encuesta'!K44,1)),"")&gt;=3),"",VALUE(LEFT('Base Encuesta'!AB44,1)))</f>
        <v/>
      </c>
      <c r="V70" t="str">
        <f>IF(OR('Base Encuesta'!AC44="",IFERROR(VALUE(LEFT('Base Encuesta'!K44,1)),"")&gt;=3),"",VALUE(LEFT('Base Encuesta'!AC44,1)))</f>
        <v/>
      </c>
      <c r="W70" t="str">
        <f>IF(OR('Base Encuesta'!AE44="",IFERROR(VALUE(LEFT('Base Encuesta'!K44,1)),"")&gt;=3),"",VALUE(LEFT('Base Encuesta'!AE44,1)))</f>
        <v/>
      </c>
      <c r="X70" t="str">
        <f>IF(OR('Base Encuesta'!AF44="",IFERROR(VALUE(LEFT('Base Encuesta'!K44,1)),"")&gt;=3),"",IF(W70=1,VALUE(LEFT('Base Encuesta'!AF44,1)),""))</f>
        <v/>
      </c>
      <c r="Y70" t="str">
        <f>IF(OR('Base Encuesta'!AG44="",IFERROR(VALUE(LEFT('Base Encuesta'!K44,1)),"")&gt;=3),"",IF(W70=1,VALUE(LEFT('Base Encuesta'!AG44,1)),""))</f>
        <v/>
      </c>
      <c r="Z70" t="str">
        <f>IF(OR('Base Encuesta'!AH44="",IFERROR(VALUE(LEFT('Base Encuesta'!K44,1)),"")&gt;=3),"",IF(W70=1,VALUE(LEFT('Base Encuesta'!AH44,1)),""))</f>
        <v/>
      </c>
      <c r="AA70" t="str">
        <f>IF(OR('Base Encuesta'!AI44="",IFERROR(VALUE(LEFT('Base Encuesta'!K44,1)),"")&gt;=3),"",IF(W70=1,VALUE(LEFT('Base Encuesta'!AI44,1)),""))</f>
        <v/>
      </c>
      <c r="AB70" t="str">
        <f>IF(OR('Base Encuesta'!AJ44="",IFERROR(VALUE(LEFT('Base Encuesta'!K44,1)),"")&gt;=3),"",IF(W70=1,VALUE(LEFT('Base Encuesta'!AJ44,1)),""))</f>
        <v/>
      </c>
      <c r="AC70" t="str">
        <f>IF(OR('Base Encuesta'!AL44="",IFERROR(VALUE(LEFT('Base Encuesta'!K44,1)),"")&gt;=3),"",VALUE(LEFT('Base Encuesta'!AL44,1)))</f>
        <v/>
      </c>
      <c r="AD70" t="str">
        <f>IF(OR('Base Encuesta'!AM44="",IFERROR(VALUE(LEFT('Base Encuesta'!K44,1)),"")&gt;=3),"",VALUE(LEFT('Base Encuesta'!AM44,1)))</f>
        <v/>
      </c>
      <c r="AE70" t="str">
        <f>IF(OR('Base Encuesta'!AN44="",IFERROR(VALUE(LEFT('Base Encuesta'!K44,1)),"")&gt;=3),"",VALUE(LEFT('Base Encuesta'!AN44,1)))</f>
        <v/>
      </c>
      <c r="AF70" t="str">
        <f>IF(OR('Base Encuesta'!AO44="",IFERROR(VALUE(LEFT('Base Encuesta'!K44,1)),"")&gt;=3),"",VALUE(LEFT('Base Encuesta'!AO44,1)))</f>
        <v/>
      </c>
      <c r="AG70" t="str">
        <f>IF(OR('Base Encuesta'!AQ44="",IFERROR(VALUE(LEFT('Base Encuesta'!K44,1)),"")&gt;=3),"",VALUE(LEFT('Base Encuesta'!AQ44,1)))</f>
        <v/>
      </c>
      <c r="AH70" t="str">
        <f>IF(OR('Base Encuesta'!AR44="",IFERROR(VALUE(LEFT('Base Encuesta'!K44,1)),"")&gt;=3),"",VALUE(LEFT('Base Encuesta'!AR44,1)))</f>
        <v/>
      </c>
    </row>
    <row r="71" spans="1:34">
      <c r="A71" t="str">
        <f>IF('Base Encuesta'!C45="","",'Base Encuesta'!C45)</f>
        <v/>
      </c>
      <c r="B71" t="str">
        <f>IF('Base Encuesta'!D45="","",'Base Encuesta'!D45)</f>
        <v/>
      </c>
      <c r="C71" t="str">
        <f>IF('Base Encuesta'!E45="","",'Base Encuesta'!E45)</f>
        <v/>
      </c>
      <c r="D71" t="str">
        <f>IF('Base Encuesta'!F45="","",'Base Encuesta'!F45)</f>
        <v/>
      </c>
      <c r="E71" t="str">
        <f>IF('Base Encuesta'!G45="","",'Base Encuesta'!G45)</f>
        <v/>
      </c>
      <c r="F71" t="str">
        <f>IF('Base Encuesta'!H45="","",'Base Encuesta'!H45)</f>
        <v/>
      </c>
      <c r="G71" t="str">
        <f>IF('Base Encuesta'!I45="","",'Base Encuesta'!I45)</f>
        <v/>
      </c>
      <c r="H71" t="str">
        <f>IF('Base Encuesta'!J45="","",'Base Encuesta'!J45)</f>
        <v/>
      </c>
      <c r="I71" t="str">
        <f>IF('Base Encuesta'!K45="","",'Base Encuesta'!K45)</f>
        <v/>
      </c>
      <c r="J71" t="str">
        <f>IF(OR('Base Encuesta'!P45="",IFERROR(VALUE(LEFT('Base Encuesta'!K45,1)),"")&gt;=3),"",PROPER(TRIM('Base Encuesta'!P45)))</f>
        <v/>
      </c>
      <c r="K71" t="str">
        <f>IF(OR('Base Encuesta'!Q45="",IFERROR(VALUE(LEFT('Base Encuesta'!K45,1)),"")&gt;=3),"",'Base Encuesta'!Q45)</f>
        <v/>
      </c>
      <c r="L71" t="str">
        <f>IF(OR('Base Encuesta'!R45="",IFERROR(VALUE(LEFT('Base Encuesta'!K45,1)),"")&gt;=3),"",VALUE(LEFT('Base Encuesta'!R45,1)))</f>
        <v/>
      </c>
      <c r="M71" t="str">
        <f>IF(OR('Base Encuesta'!S45="",IFERROR(VALUE(LEFT('Base Encuesta'!K45,1)),"")&gt;=3),"",VALUE(LEFT('Base Encuesta'!S45,1)))</f>
        <v/>
      </c>
      <c r="N71" t="str">
        <f>IF(OR('Base Encuesta'!T45="",IFERROR(VALUE(LEFT('Base Encuesta'!K45,1)),"")&gt;=3),"",VALUE(LEFT('Base Encuesta'!T45,1)))</f>
        <v/>
      </c>
      <c r="O71" t="str">
        <f>IF(OR('Base Encuesta'!V45="",IFERROR(VALUE(LEFT('Base Encuesta'!K45,1)),"")&gt;=3),"",VALUE(LEFT('Base Encuesta'!V45,1)))</f>
        <v/>
      </c>
      <c r="P71" t="str">
        <f>IF(OR('Base Encuesta'!W45="",IFERROR(VALUE(LEFT('Base Encuesta'!K45,1)),"")&gt;=3),"",VALUE(LEFT('Base Encuesta'!W45,1)))</f>
        <v/>
      </c>
      <c r="Q71" t="str">
        <f>IF(OR('Base Encuesta'!X45="",IFERROR(VALUE(LEFT('Base Encuesta'!K45,1)),"")&gt;=3),"",VALUE(LEFT('Base Encuesta'!X45,1)))</f>
        <v/>
      </c>
      <c r="R71" t="str">
        <f>IF(OR('Base Encuesta'!Y45="",IFERROR(VALUE(LEFT('Base Encuesta'!K45,1)),"")&gt;=3),"",VALUE(LEFT('Base Encuesta'!Y45,1)))</f>
        <v/>
      </c>
      <c r="S71" t="str">
        <f>IF(OR('Base Encuesta'!Z45="",IFERROR(VALUE(LEFT('Base Encuesta'!K45,1)),"")&gt;=3),"",VALUE(LEFT('Base Encuesta'!Z45,1)))</f>
        <v/>
      </c>
      <c r="T71" t="str">
        <f>IF(OR('Base Encuesta'!AA45="",IFERROR(VALUE(LEFT('Base Encuesta'!K45,1)),"")&gt;=3),"",VALUE(LEFT('Base Encuesta'!AA45,1)))</f>
        <v/>
      </c>
      <c r="U71" t="str">
        <f>IF(OR('Base Encuesta'!AB45="",IFERROR(VALUE(LEFT('Base Encuesta'!K45,1)),"")&gt;=3),"",VALUE(LEFT('Base Encuesta'!AB45,1)))</f>
        <v/>
      </c>
      <c r="V71" t="str">
        <f>IF(OR('Base Encuesta'!AC45="",IFERROR(VALUE(LEFT('Base Encuesta'!K45,1)),"")&gt;=3),"",VALUE(LEFT('Base Encuesta'!AC45,1)))</f>
        <v/>
      </c>
      <c r="W71" t="str">
        <f>IF(OR('Base Encuesta'!AE45="",IFERROR(VALUE(LEFT('Base Encuesta'!K45,1)),"")&gt;=3),"",VALUE(LEFT('Base Encuesta'!AE45,1)))</f>
        <v/>
      </c>
      <c r="X71" t="str">
        <f>IF(OR('Base Encuesta'!AF45="",IFERROR(VALUE(LEFT('Base Encuesta'!K45,1)),"")&gt;=3),"",IF(W71=1,VALUE(LEFT('Base Encuesta'!AF45,1)),""))</f>
        <v/>
      </c>
      <c r="Y71" t="str">
        <f>IF(OR('Base Encuesta'!AG45="",IFERROR(VALUE(LEFT('Base Encuesta'!K45,1)),"")&gt;=3),"",IF(W71=1,VALUE(LEFT('Base Encuesta'!AG45,1)),""))</f>
        <v/>
      </c>
      <c r="Z71" t="str">
        <f>IF(OR('Base Encuesta'!AH45="",IFERROR(VALUE(LEFT('Base Encuesta'!K45,1)),"")&gt;=3),"",IF(W71=1,VALUE(LEFT('Base Encuesta'!AH45,1)),""))</f>
        <v/>
      </c>
      <c r="AA71" t="str">
        <f>IF(OR('Base Encuesta'!AI45="",IFERROR(VALUE(LEFT('Base Encuesta'!K45,1)),"")&gt;=3),"",IF(W71=1,VALUE(LEFT('Base Encuesta'!AI45,1)),""))</f>
        <v/>
      </c>
      <c r="AB71" t="str">
        <f>IF(OR('Base Encuesta'!AJ45="",IFERROR(VALUE(LEFT('Base Encuesta'!K45,1)),"")&gt;=3),"",IF(W71=1,VALUE(LEFT('Base Encuesta'!AJ45,1)),""))</f>
        <v/>
      </c>
      <c r="AC71" t="str">
        <f>IF(OR('Base Encuesta'!AL45="",IFERROR(VALUE(LEFT('Base Encuesta'!K45,1)),"")&gt;=3),"",VALUE(LEFT('Base Encuesta'!AL45,1)))</f>
        <v/>
      </c>
      <c r="AD71" t="str">
        <f>IF(OR('Base Encuesta'!AM45="",IFERROR(VALUE(LEFT('Base Encuesta'!K45,1)),"")&gt;=3),"",VALUE(LEFT('Base Encuesta'!AM45,1)))</f>
        <v/>
      </c>
      <c r="AE71" t="str">
        <f>IF(OR('Base Encuesta'!AN45="",IFERROR(VALUE(LEFT('Base Encuesta'!K45,1)),"")&gt;=3),"",VALUE(LEFT('Base Encuesta'!AN45,1)))</f>
        <v/>
      </c>
      <c r="AF71" t="str">
        <f>IF(OR('Base Encuesta'!AO45="",IFERROR(VALUE(LEFT('Base Encuesta'!K45,1)),"")&gt;=3),"",VALUE(LEFT('Base Encuesta'!AO45,1)))</f>
        <v/>
      </c>
      <c r="AG71" t="str">
        <f>IF(OR('Base Encuesta'!AQ45="",IFERROR(VALUE(LEFT('Base Encuesta'!K45,1)),"")&gt;=3),"",VALUE(LEFT('Base Encuesta'!AQ45,1)))</f>
        <v/>
      </c>
      <c r="AH71" t="str">
        <f>IF(OR('Base Encuesta'!AR45="",IFERROR(VALUE(LEFT('Base Encuesta'!K45,1)),"")&gt;=3),"",VALUE(LEFT('Base Encuesta'!AR45,1)))</f>
        <v/>
      </c>
    </row>
    <row r="72" spans="1:34">
      <c r="A72" t="str">
        <f>IF('Base Encuesta'!C46="","",'Base Encuesta'!C46)</f>
        <v/>
      </c>
      <c r="B72" t="str">
        <f>IF('Base Encuesta'!D46="","",'Base Encuesta'!D46)</f>
        <v/>
      </c>
      <c r="C72" t="str">
        <f>IF('Base Encuesta'!E46="","",'Base Encuesta'!E46)</f>
        <v/>
      </c>
      <c r="D72" t="str">
        <f>IF('Base Encuesta'!F46="","",'Base Encuesta'!F46)</f>
        <v/>
      </c>
      <c r="E72" t="str">
        <f>IF('Base Encuesta'!G46="","",'Base Encuesta'!G46)</f>
        <v/>
      </c>
      <c r="F72" t="str">
        <f>IF('Base Encuesta'!H46="","",'Base Encuesta'!H46)</f>
        <v/>
      </c>
      <c r="G72" t="str">
        <f>IF('Base Encuesta'!I46="","",'Base Encuesta'!I46)</f>
        <v/>
      </c>
      <c r="H72" t="str">
        <f>IF('Base Encuesta'!J46="","",'Base Encuesta'!J46)</f>
        <v/>
      </c>
      <c r="I72" t="str">
        <f>IF('Base Encuesta'!K46="","",'Base Encuesta'!K46)</f>
        <v/>
      </c>
      <c r="J72" t="str">
        <f>IF(OR('Base Encuesta'!P46="",IFERROR(VALUE(LEFT('Base Encuesta'!K46,1)),"")&gt;=3),"",PROPER(TRIM('Base Encuesta'!P46)))</f>
        <v/>
      </c>
      <c r="K72" t="str">
        <f>IF(OR('Base Encuesta'!Q46="",IFERROR(VALUE(LEFT('Base Encuesta'!K46,1)),"")&gt;=3),"",'Base Encuesta'!Q46)</f>
        <v/>
      </c>
      <c r="L72" t="str">
        <f>IF(OR('Base Encuesta'!R46="",IFERROR(VALUE(LEFT('Base Encuesta'!K46,1)),"")&gt;=3),"",VALUE(LEFT('Base Encuesta'!R46,1)))</f>
        <v/>
      </c>
      <c r="M72" t="str">
        <f>IF(OR('Base Encuesta'!S46="",IFERROR(VALUE(LEFT('Base Encuesta'!K46,1)),"")&gt;=3),"",VALUE(LEFT('Base Encuesta'!S46,1)))</f>
        <v/>
      </c>
      <c r="N72" t="str">
        <f>IF(OR('Base Encuesta'!T46="",IFERROR(VALUE(LEFT('Base Encuesta'!K46,1)),"")&gt;=3),"",VALUE(LEFT('Base Encuesta'!T46,1)))</f>
        <v/>
      </c>
      <c r="O72" t="str">
        <f>IF(OR('Base Encuesta'!V46="",IFERROR(VALUE(LEFT('Base Encuesta'!K46,1)),"")&gt;=3),"",VALUE(LEFT('Base Encuesta'!V46,1)))</f>
        <v/>
      </c>
      <c r="P72" t="str">
        <f>IF(OR('Base Encuesta'!W46="",IFERROR(VALUE(LEFT('Base Encuesta'!K46,1)),"")&gt;=3),"",VALUE(LEFT('Base Encuesta'!W46,1)))</f>
        <v/>
      </c>
      <c r="Q72" t="str">
        <f>IF(OR('Base Encuesta'!X46="",IFERROR(VALUE(LEFT('Base Encuesta'!K46,1)),"")&gt;=3),"",VALUE(LEFT('Base Encuesta'!X46,1)))</f>
        <v/>
      </c>
      <c r="R72" t="str">
        <f>IF(OR('Base Encuesta'!Y46="",IFERROR(VALUE(LEFT('Base Encuesta'!K46,1)),"")&gt;=3),"",VALUE(LEFT('Base Encuesta'!Y46,1)))</f>
        <v/>
      </c>
      <c r="S72" t="str">
        <f>IF(OR('Base Encuesta'!Z46="",IFERROR(VALUE(LEFT('Base Encuesta'!K46,1)),"")&gt;=3),"",VALUE(LEFT('Base Encuesta'!Z46,1)))</f>
        <v/>
      </c>
      <c r="T72" t="str">
        <f>IF(OR('Base Encuesta'!AA46="",IFERROR(VALUE(LEFT('Base Encuesta'!K46,1)),"")&gt;=3),"",VALUE(LEFT('Base Encuesta'!AA46,1)))</f>
        <v/>
      </c>
      <c r="U72" t="str">
        <f>IF(OR('Base Encuesta'!AB46="",IFERROR(VALUE(LEFT('Base Encuesta'!K46,1)),"")&gt;=3),"",VALUE(LEFT('Base Encuesta'!AB46,1)))</f>
        <v/>
      </c>
      <c r="V72" t="str">
        <f>IF(OR('Base Encuesta'!AC46="",IFERROR(VALUE(LEFT('Base Encuesta'!K46,1)),"")&gt;=3),"",VALUE(LEFT('Base Encuesta'!AC46,1)))</f>
        <v/>
      </c>
      <c r="W72" t="str">
        <f>IF(OR('Base Encuesta'!AE46="",IFERROR(VALUE(LEFT('Base Encuesta'!K46,1)),"")&gt;=3),"",VALUE(LEFT('Base Encuesta'!AE46,1)))</f>
        <v/>
      </c>
      <c r="X72" t="str">
        <f>IF(OR('Base Encuesta'!AF46="",IFERROR(VALUE(LEFT('Base Encuesta'!K46,1)),"")&gt;=3),"",IF(W72=1,VALUE(LEFT('Base Encuesta'!AF46,1)),""))</f>
        <v/>
      </c>
      <c r="Y72" t="str">
        <f>IF(OR('Base Encuesta'!AG46="",IFERROR(VALUE(LEFT('Base Encuesta'!K46,1)),"")&gt;=3),"",IF(W72=1,VALUE(LEFT('Base Encuesta'!AG46,1)),""))</f>
        <v/>
      </c>
      <c r="Z72" t="str">
        <f>IF(OR('Base Encuesta'!AH46="",IFERROR(VALUE(LEFT('Base Encuesta'!K46,1)),"")&gt;=3),"",IF(W72=1,VALUE(LEFT('Base Encuesta'!AH46,1)),""))</f>
        <v/>
      </c>
      <c r="AA72" t="str">
        <f>IF(OR('Base Encuesta'!AI46="",IFERROR(VALUE(LEFT('Base Encuesta'!K46,1)),"")&gt;=3),"",IF(W72=1,VALUE(LEFT('Base Encuesta'!AI46,1)),""))</f>
        <v/>
      </c>
      <c r="AB72" t="str">
        <f>IF(OR('Base Encuesta'!AJ46="",IFERROR(VALUE(LEFT('Base Encuesta'!K46,1)),"")&gt;=3),"",IF(W72=1,VALUE(LEFT('Base Encuesta'!AJ46,1)),""))</f>
        <v/>
      </c>
      <c r="AC72" t="str">
        <f>IF(OR('Base Encuesta'!AL46="",IFERROR(VALUE(LEFT('Base Encuesta'!K46,1)),"")&gt;=3),"",VALUE(LEFT('Base Encuesta'!AL46,1)))</f>
        <v/>
      </c>
      <c r="AD72" t="str">
        <f>IF(OR('Base Encuesta'!AM46="",IFERROR(VALUE(LEFT('Base Encuesta'!K46,1)),"")&gt;=3),"",VALUE(LEFT('Base Encuesta'!AM46,1)))</f>
        <v/>
      </c>
      <c r="AE72" t="str">
        <f>IF(OR('Base Encuesta'!AN46="",IFERROR(VALUE(LEFT('Base Encuesta'!K46,1)),"")&gt;=3),"",VALUE(LEFT('Base Encuesta'!AN46,1)))</f>
        <v/>
      </c>
      <c r="AF72" t="str">
        <f>IF(OR('Base Encuesta'!AO46="",IFERROR(VALUE(LEFT('Base Encuesta'!K46,1)),"")&gt;=3),"",VALUE(LEFT('Base Encuesta'!AO46,1)))</f>
        <v/>
      </c>
      <c r="AG72" t="str">
        <f>IF(OR('Base Encuesta'!AQ46="",IFERROR(VALUE(LEFT('Base Encuesta'!K46,1)),"")&gt;=3),"",VALUE(LEFT('Base Encuesta'!AQ46,1)))</f>
        <v/>
      </c>
      <c r="AH72" t="str">
        <f>IF(OR('Base Encuesta'!AR46="",IFERROR(VALUE(LEFT('Base Encuesta'!K46,1)),"")&gt;=3),"",VALUE(LEFT('Base Encuesta'!AR46,1)))</f>
        <v/>
      </c>
    </row>
    <row r="73" spans="1:34">
      <c r="A73" t="str">
        <f>IF('Base Encuesta'!C47="","",'Base Encuesta'!C47)</f>
        <v/>
      </c>
      <c r="B73" t="str">
        <f>IF('Base Encuesta'!D47="","",'Base Encuesta'!D47)</f>
        <v/>
      </c>
      <c r="C73" t="str">
        <f>IF('Base Encuesta'!E47="","",'Base Encuesta'!E47)</f>
        <v/>
      </c>
      <c r="D73" t="str">
        <f>IF('Base Encuesta'!F47="","",'Base Encuesta'!F47)</f>
        <v/>
      </c>
      <c r="E73" t="str">
        <f>IF('Base Encuesta'!G47="","",'Base Encuesta'!G47)</f>
        <v/>
      </c>
      <c r="F73" t="str">
        <f>IF('Base Encuesta'!H47="","",'Base Encuesta'!H47)</f>
        <v/>
      </c>
      <c r="G73" t="str">
        <f>IF('Base Encuesta'!I47="","",'Base Encuesta'!I47)</f>
        <v/>
      </c>
      <c r="H73" t="str">
        <f>IF('Base Encuesta'!J47="","",'Base Encuesta'!J47)</f>
        <v/>
      </c>
      <c r="I73" t="str">
        <f>IF('Base Encuesta'!K47="","",'Base Encuesta'!K47)</f>
        <v/>
      </c>
      <c r="J73" t="str">
        <f>IF(OR('Base Encuesta'!P47="",IFERROR(VALUE(LEFT('Base Encuesta'!K47,1)),"")&gt;=3),"",PROPER(TRIM('Base Encuesta'!P47)))</f>
        <v/>
      </c>
      <c r="K73" t="str">
        <f>IF(OR('Base Encuesta'!Q47="",IFERROR(VALUE(LEFT('Base Encuesta'!K47,1)),"")&gt;=3),"",'Base Encuesta'!Q47)</f>
        <v/>
      </c>
      <c r="L73" t="str">
        <f>IF(OR('Base Encuesta'!R47="",IFERROR(VALUE(LEFT('Base Encuesta'!K47,1)),"")&gt;=3),"",VALUE(LEFT('Base Encuesta'!R47,1)))</f>
        <v/>
      </c>
      <c r="M73" t="str">
        <f>IF(OR('Base Encuesta'!S47="",IFERROR(VALUE(LEFT('Base Encuesta'!K47,1)),"")&gt;=3),"",VALUE(LEFT('Base Encuesta'!S47,1)))</f>
        <v/>
      </c>
      <c r="N73" t="str">
        <f>IF(OR('Base Encuesta'!T47="",IFERROR(VALUE(LEFT('Base Encuesta'!K47,1)),"")&gt;=3),"",VALUE(LEFT('Base Encuesta'!T47,1)))</f>
        <v/>
      </c>
      <c r="O73" t="str">
        <f>IF(OR('Base Encuesta'!V47="",IFERROR(VALUE(LEFT('Base Encuesta'!K47,1)),"")&gt;=3),"",VALUE(LEFT('Base Encuesta'!V47,1)))</f>
        <v/>
      </c>
      <c r="P73" t="str">
        <f>IF(OR('Base Encuesta'!W47="",IFERROR(VALUE(LEFT('Base Encuesta'!K47,1)),"")&gt;=3),"",VALUE(LEFT('Base Encuesta'!W47,1)))</f>
        <v/>
      </c>
      <c r="Q73" t="str">
        <f>IF(OR('Base Encuesta'!X47="",IFERROR(VALUE(LEFT('Base Encuesta'!K47,1)),"")&gt;=3),"",VALUE(LEFT('Base Encuesta'!X47,1)))</f>
        <v/>
      </c>
      <c r="R73" t="str">
        <f>IF(OR('Base Encuesta'!Y47="",IFERROR(VALUE(LEFT('Base Encuesta'!K47,1)),"")&gt;=3),"",VALUE(LEFT('Base Encuesta'!Y47,1)))</f>
        <v/>
      </c>
      <c r="S73" t="str">
        <f>IF(OR('Base Encuesta'!Z47="",IFERROR(VALUE(LEFT('Base Encuesta'!K47,1)),"")&gt;=3),"",VALUE(LEFT('Base Encuesta'!Z47,1)))</f>
        <v/>
      </c>
      <c r="T73" t="str">
        <f>IF(OR('Base Encuesta'!AA47="",IFERROR(VALUE(LEFT('Base Encuesta'!K47,1)),"")&gt;=3),"",VALUE(LEFT('Base Encuesta'!AA47,1)))</f>
        <v/>
      </c>
      <c r="U73" t="str">
        <f>IF(OR('Base Encuesta'!AB47="",IFERROR(VALUE(LEFT('Base Encuesta'!K47,1)),"")&gt;=3),"",VALUE(LEFT('Base Encuesta'!AB47,1)))</f>
        <v/>
      </c>
      <c r="V73" t="str">
        <f>IF(OR('Base Encuesta'!AC47="",IFERROR(VALUE(LEFT('Base Encuesta'!K47,1)),"")&gt;=3),"",VALUE(LEFT('Base Encuesta'!AC47,1)))</f>
        <v/>
      </c>
      <c r="W73" t="str">
        <f>IF(OR('Base Encuesta'!AE47="",IFERROR(VALUE(LEFT('Base Encuesta'!K47,1)),"")&gt;=3),"",VALUE(LEFT('Base Encuesta'!AE47,1)))</f>
        <v/>
      </c>
      <c r="X73" t="str">
        <f>IF(OR('Base Encuesta'!AF47="",IFERROR(VALUE(LEFT('Base Encuesta'!K47,1)),"")&gt;=3),"",IF(W73=1,VALUE(LEFT('Base Encuesta'!AF47,1)),""))</f>
        <v/>
      </c>
      <c r="Y73" t="str">
        <f>IF(OR('Base Encuesta'!AG47="",IFERROR(VALUE(LEFT('Base Encuesta'!K47,1)),"")&gt;=3),"",IF(W73=1,VALUE(LEFT('Base Encuesta'!AG47,1)),""))</f>
        <v/>
      </c>
      <c r="Z73" t="str">
        <f>IF(OR('Base Encuesta'!AH47="",IFERROR(VALUE(LEFT('Base Encuesta'!K47,1)),"")&gt;=3),"",IF(W73=1,VALUE(LEFT('Base Encuesta'!AH47,1)),""))</f>
        <v/>
      </c>
      <c r="AA73" t="str">
        <f>IF(OR('Base Encuesta'!AI47="",IFERROR(VALUE(LEFT('Base Encuesta'!K47,1)),"")&gt;=3),"",IF(W73=1,VALUE(LEFT('Base Encuesta'!AI47,1)),""))</f>
        <v/>
      </c>
      <c r="AB73" t="str">
        <f>IF(OR('Base Encuesta'!AJ47="",IFERROR(VALUE(LEFT('Base Encuesta'!K47,1)),"")&gt;=3),"",IF(W73=1,VALUE(LEFT('Base Encuesta'!AJ47,1)),""))</f>
        <v/>
      </c>
      <c r="AC73" t="str">
        <f>IF(OR('Base Encuesta'!AL47="",IFERROR(VALUE(LEFT('Base Encuesta'!K47,1)),"")&gt;=3),"",VALUE(LEFT('Base Encuesta'!AL47,1)))</f>
        <v/>
      </c>
      <c r="AD73" t="str">
        <f>IF(OR('Base Encuesta'!AM47="",IFERROR(VALUE(LEFT('Base Encuesta'!K47,1)),"")&gt;=3),"",VALUE(LEFT('Base Encuesta'!AM47,1)))</f>
        <v/>
      </c>
      <c r="AE73" t="str">
        <f>IF(OR('Base Encuesta'!AN47="",IFERROR(VALUE(LEFT('Base Encuesta'!K47,1)),"")&gt;=3),"",VALUE(LEFT('Base Encuesta'!AN47,1)))</f>
        <v/>
      </c>
      <c r="AF73" t="str">
        <f>IF(OR('Base Encuesta'!AO47="",IFERROR(VALUE(LEFT('Base Encuesta'!K47,1)),"")&gt;=3),"",VALUE(LEFT('Base Encuesta'!AO47,1)))</f>
        <v/>
      </c>
      <c r="AG73" t="str">
        <f>IF(OR('Base Encuesta'!AQ47="",IFERROR(VALUE(LEFT('Base Encuesta'!K47,1)),"")&gt;=3),"",VALUE(LEFT('Base Encuesta'!AQ47,1)))</f>
        <v/>
      </c>
      <c r="AH73" t="str">
        <f>IF(OR('Base Encuesta'!AR47="",IFERROR(VALUE(LEFT('Base Encuesta'!K47,1)),"")&gt;=3),"",VALUE(LEFT('Base Encuesta'!AR47,1)))</f>
        <v/>
      </c>
    </row>
    <row r="74" spans="1:34">
      <c r="A74" t="str">
        <f>IF('Base Encuesta'!C48="","",'Base Encuesta'!C48)</f>
        <v/>
      </c>
      <c r="B74" t="str">
        <f>IF('Base Encuesta'!D48="","",'Base Encuesta'!D48)</f>
        <v/>
      </c>
      <c r="C74" t="str">
        <f>IF('Base Encuesta'!E48="","",'Base Encuesta'!E48)</f>
        <v/>
      </c>
      <c r="D74" t="str">
        <f>IF('Base Encuesta'!F48="","",'Base Encuesta'!F48)</f>
        <v/>
      </c>
      <c r="E74" t="str">
        <f>IF('Base Encuesta'!G48="","",'Base Encuesta'!G48)</f>
        <v/>
      </c>
      <c r="F74" t="str">
        <f>IF('Base Encuesta'!H48="","",'Base Encuesta'!H48)</f>
        <v/>
      </c>
      <c r="G74" t="str">
        <f>IF('Base Encuesta'!I48="","",'Base Encuesta'!I48)</f>
        <v/>
      </c>
      <c r="H74" t="str">
        <f>IF('Base Encuesta'!J48="","",'Base Encuesta'!J48)</f>
        <v/>
      </c>
      <c r="I74" t="str">
        <f>IF('Base Encuesta'!K48="","",'Base Encuesta'!K48)</f>
        <v/>
      </c>
      <c r="J74" t="str">
        <f>IF(OR('Base Encuesta'!P48="",IFERROR(VALUE(LEFT('Base Encuesta'!K48,1)),"")&gt;=3),"",PROPER(TRIM('Base Encuesta'!P48)))</f>
        <v/>
      </c>
      <c r="K74" t="str">
        <f>IF(OR('Base Encuesta'!Q48="",IFERROR(VALUE(LEFT('Base Encuesta'!K48,1)),"")&gt;=3),"",'Base Encuesta'!Q48)</f>
        <v/>
      </c>
      <c r="L74" t="str">
        <f>IF(OR('Base Encuesta'!R48="",IFERROR(VALUE(LEFT('Base Encuesta'!K48,1)),"")&gt;=3),"",VALUE(LEFT('Base Encuesta'!R48,1)))</f>
        <v/>
      </c>
      <c r="M74" t="str">
        <f>IF(OR('Base Encuesta'!S48="",IFERROR(VALUE(LEFT('Base Encuesta'!K48,1)),"")&gt;=3),"",VALUE(LEFT('Base Encuesta'!S48,1)))</f>
        <v/>
      </c>
      <c r="N74" t="str">
        <f>IF(OR('Base Encuesta'!T48="",IFERROR(VALUE(LEFT('Base Encuesta'!K48,1)),"")&gt;=3),"",VALUE(LEFT('Base Encuesta'!T48,1)))</f>
        <v/>
      </c>
      <c r="O74" t="str">
        <f>IF(OR('Base Encuesta'!V48="",IFERROR(VALUE(LEFT('Base Encuesta'!K48,1)),"")&gt;=3),"",VALUE(LEFT('Base Encuesta'!V48,1)))</f>
        <v/>
      </c>
      <c r="P74" t="str">
        <f>IF(OR('Base Encuesta'!W48="",IFERROR(VALUE(LEFT('Base Encuesta'!K48,1)),"")&gt;=3),"",VALUE(LEFT('Base Encuesta'!W48,1)))</f>
        <v/>
      </c>
      <c r="Q74" t="str">
        <f>IF(OR('Base Encuesta'!X48="",IFERROR(VALUE(LEFT('Base Encuesta'!K48,1)),"")&gt;=3),"",VALUE(LEFT('Base Encuesta'!X48,1)))</f>
        <v/>
      </c>
      <c r="R74" t="str">
        <f>IF(OR('Base Encuesta'!Y48="",IFERROR(VALUE(LEFT('Base Encuesta'!K48,1)),"")&gt;=3),"",VALUE(LEFT('Base Encuesta'!Y48,1)))</f>
        <v/>
      </c>
      <c r="S74" t="str">
        <f>IF(OR('Base Encuesta'!Z48="",IFERROR(VALUE(LEFT('Base Encuesta'!K48,1)),"")&gt;=3),"",VALUE(LEFT('Base Encuesta'!Z48,1)))</f>
        <v/>
      </c>
      <c r="T74" t="str">
        <f>IF(OR('Base Encuesta'!AA48="",IFERROR(VALUE(LEFT('Base Encuesta'!K48,1)),"")&gt;=3),"",VALUE(LEFT('Base Encuesta'!AA48,1)))</f>
        <v/>
      </c>
      <c r="U74" t="str">
        <f>IF(OR('Base Encuesta'!AB48="",IFERROR(VALUE(LEFT('Base Encuesta'!K48,1)),"")&gt;=3),"",VALUE(LEFT('Base Encuesta'!AB48,1)))</f>
        <v/>
      </c>
      <c r="V74" t="str">
        <f>IF(OR('Base Encuesta'!AC48="",IFERROR(VALUE(LEFT('Base Encuesta'!K48,1)),"")&gt;=3),"",VALUE(LEFT('Base Encuesta'!AC48,1)))</f>
        <v/>
      </c>
      <c r="W74" t="str">
        <f>IF(OR('Base Encuesta'!AE48="",IFERROR(VALUE(LEFT('Base Encuesta'!K48,1)),"")&gt;=3),"",VALUE(LEFT('Base Encuesta'!AE48,1)))</f>
        <v/>
      </c>
      <c r="X74" t="str">
        <f>IF(OR('Base Encuesta'!AF48="",IFERROR(VALUE(LEFT('Base Encuesta'!K48,1)),"")&gt;=3),"",IF(W74=1,VALUE(LEFT('Base Encuesta'!AF48,1)),""))</f>
        <v/>
      </c>
      <c r="Y74" t="str">
        <f>IF(OR('Base Encuesta'!AG48="",IFERROR(VALUE(LEFT('Base Encuesta'!K48,1)),"")&gt;=3),"",IF(W74=1,VALUE(LEFT('Base Encuesta'!AG48,1)),""))</f>
        <v/>
      </c>
      <c r="Z74" t="str">
        <f>IF(OR('Base Encuesta'!AH48="",IFERROR(VALUE(LEFT('Base Encuesta'!K48,1)),"")&gt;=3),"",IF(W74=1,VALUE(LEFT('Base Encuesta'!AH48,1)),""))</f>
        <v/>
      </c>
      <c r="AA74" t="str">
        <f>IF(OR('Base Encuesta'!AI48="",IFERROR(VALUE(LEFT('Base Encuesta'!K48,1)),"")&gt;=3),"",IF(W74=1,VALUE(LEFT('Base Encuesta'!AI48,1)),""))</f>
        <v/>
      </c>
      <c r="AB74" t="str">
        <f>IF(OR('Base Encuesta'!AJ48="",IFERROR(VALUE(LEFT('Base Encuesta'!K48,1)),"")&gt;=3),"",IF(W74=1,VALUE(LEFT('Base Encuesta'!AJ48,1)),""))</f>
        <v/>
      </c>
      <c r="AC74" t="str">
        <f>IF(OR('Base Encuesta'!AL48="",IFERROR(VALUE(LEFT('Base Encuesta'!K48,1)),"")&gt;=3),"",VALUE(LEFT('Base Encuesta'!AL48,1)))</f>
        <v/>
      </c>
      <c r="AD74" t="str">
        <f>IF(OR('Base Encuesta'!AM48="",IFERROR(VALUE(LEFT('Base Encuesta'!K48,1)),"")&gt;=3),"",VALUE(LEFT('Base Encuesta'!AM48,1)))</f>
        <v/>
      </c>
      <c r="AE74" t="str">
        <f>IF(OR('Base Encuesta'!AN48="",IFERROR(VALUE(LEFT('Base Encuesta'!K48,1)),"")&gt;=3),"",VALUE(LEFT('Base Encuesta'!AN48,1)))</f>
        <v/>
      </c>
      <c r="AF74" t="str">
        <f>IF(OR('Base Encuesta'!AO48="",IFERROR(VALUE(LEFT('Base Encuesta'!K48,1)),"")&gt;=3),"",VALUE(LEFT('Base Encuesta'!AO48,1)))</f>
        <v/>
      </c>
      <c r="AG74" t="str">
        <f>IF(OR('Base Encuesta'!AQ48="",IFERROR(VALUE(LEFT('Base Encuesta'!K48,1)),"")&gt;=3),"",VALUE(LEFT('Base Encuesta'!AQ48,1)))</f>
        <v/>
      </c>
      <c r="AH74" t="str">
        <f>IF(OR('Base Encuesta'!AR48="",IFERROR(VALUE(LEFT('Base Encuesta'!K48,1)),"")&gt;=3),"",VALUE(LEFT('Base Encuesta'!AR48,1)))</f>
        <v/>
      </c>
    </row>
    <row r="75" spans="1:34">
      <c r="A75" t="str">
        <f>IF('Base Encuesta'!C49="","",'Base Encuesta'!C49)</f>
        <v/>
      </c>
      <c r="B75" t="str">
        <f>IF('Base Encuesta'!D49="","",'Base Encuesta'!D49)</f>
        <v/>
      </c>
      <c r="C75" t="str">
        <f>IF('Base Encuesta'!E49="","",'Base Encuesta'!E49)</f>
        <v/>
      </c>
      <c r="D75" t="str">
        <f>IF('Base Encuesta'!F49="","",'Base Encuesta'!F49)</f>
        <v/>
      </c>
      <c r="E75" t="str">
        <f>IF('Base Encuesta'!G49="","",'Base Encuesta'!G49)</f>
        <v/>
      </c>
      <c r="F75" t="str">
        <f>IF('Base Encuesta'!H49="","",'Base Encuesta'!H49)</f>
        <v/>
      </c>
      <c r="G75" t="str">
        <f>IF('Base Encuesta'!I49="","",'Base Encuesta'!I49)</f>
        <v/>
      </c>
      <c r="H75" t="str">
        <f>IF('Base Encuesta'!J49="","",'Base Encuesta'!J49)</f>
        <v/>
      </c>
      <c r="I75" t="str">
        <f>IF('Base Encuesta'!K49="","",'Base Encuesta'!K49)</f>
        <v/>
      </c>
      <c r="J75" t="str">
        <f>IF(OR('Base Encuesta'!P49="",IFERROR(VALUE(LEFT('Base Encuesta'!K49,1)),"")&gt;=3),"",PROPER(TRIM('Base Encuesta'!P49)))</f>
        <v/>
      </c>
      <c r="K75" t="str">
        <f>IF(OR('Base Encuesta'!Q49="",IFERROR(VALUE(LEFT('Base Encuesta'!K49,1)),"")&gt;=3),"",'Base Encuesta'!Q49)</f>
        <v/>
      </c>
      <c r="L75" t="str">
        <f>IF(OR('Base Encuesta'!R49="",IFERROR(VALUE(LEFT('Base Encuesta'!K49,1)),"")&gt;=3),"",VALUE(LEFT('Base Encuesta'!R49,1)))</f>
        <v/>
      </c>
      <c r="M75" t="str">
        <f>IF(OR('Base Encuesta'!S49="",IFERROR(VALUE(LEFT('Base Encuesta'!K49,1)),"")&gt;=3),"",VALUE(LEFT('Base Encuesta'!S49,1)))</f>
        <v/>
      </c>
      <c r="N75" t="str">
        <f>IF(OR('Base Encuesta'!T49="",IFERROR(VALUE(LEFT('Base Encuesta'!K49,1)),"")&gt;=3),"",VALUE(LEFT('Base Encuesta'!T49,1)))</f>
        <v/>
      </c>
      <c r="O75" t="str">
        <f>IF(OR('Base Encuesta'!V49="",IFERROR(VALUE(LEFT('Base Encuesta'!K49,1)),"")&gt;=3),"",VALUE(LEFT('Base Encuesta'!V49,1)))</f>
        <v/>
      </c>
      <c r="P75" t="str">
        <f>IF(OR('Base Encuesta'!W49="",IFERROR(VALUE(LEFT('Base Encuesta'!K49,1)),"")&gt;=3),"",VALUE(LEFT('Base Encuesta'!W49,1)))</f>
        <v/>
      </c>
      <c r="Q75" t="str">
        <f>IF(OR('Base Encuesta'!X49="",IFERROR(VALUE(LEFT('Base Encuesta'!K49,1)),"")&gt;=3),"",VALUE(LEFT('Base Encuesta'!X49,1)))</f>
        <v/>
      </c>
      <c r="R75" t="str">
        <f>IF(OR('Base Encuesta'!Y49="",IFERROR(VALUE(LEFT('Base Encuesta'!K49,1)),"")&gt;=3),"",VALUE(LEFT('Base Encuesta'!Y49,1)))</f>
        <v/>
      </c>
      <c r="S75" t="str">
        <f>IF(OR('Base Encuesta'!Z49="",IFERROR(VALUE(LEFT('Base Encuesta'!K49,1)),"")&gt;=3),"",VALUE(LEFT('Base Encuesta'!Z49,1)))</f>
        <v/>
      </c>
      <c r="T75" t="str">
        <f>IF(OR('Base Encuesta'!AA49="",IFERROR(VALUE(LEFT('Base Encuesta'!K49,1)),"")&gt;=3),"",VALUE(LEFT('Base Encuesta'!AA49,1)))</f>
        <v/>
      </c>
      <c r="U75" t="str">
        <f>IF(OR('Base Encuesta'!AB49="",IFERROR(VALUE(LEFT('Base Encuesta'!K49,1)),"")&gt;=3),"",VALUE(LEFT('Base Encuesta'!AB49,1)))</f>
        <v/>
      </c>
      <c r="V75" t="str">
        <f>IF(OR('Base Encuesta'!AC49="",IFERROR(VALUE(LEFT('Base Encuesta'!K49,1)),"")&gt;=3),"",VALUE(LEFT('Base Encuesta'!AC49,1)))</f>
        <v/>
      </c>
      <c r="W75" t="str">
        <f>IF(OR('Base Encuesta'!AE49="",IFERROR(VALUE(LEFT('Base Encuesta'!K49,1)),"")&gt;=3),"",VALUE(LEFT('Base Encuesta'!AE49,1)))</f>
        <v/>
      </c>
      <c r="X75" t="str">
        <f>IF(OR('Base Encuesta'!AF49="",IFERROR(VALUE(LEFT('Base Encuesta'!K49,1)),"")&gt;=3),"",IF(W75=1,VALUE(LEFT('Base Encuesta'!AF49,1)),""))</f>
        <v/>
      </c>
      <c r="Y75" t="str">
        <f>IF(OR('Base Encuesta'!AG49="",IFERROR(VALUE(LEFT('Base Encuesta'!K49,1)),"")&gt;=3),"",IF(W75=1,VALUE(LEFT('Base Encuesta'!AG49,1)),""))</f>
        <v/>
      </c>
      <c r="Z75" t="str">
        <f>IF(OR('Base Encuesta'!AH49="",IFERROR(VALUE(LEFT('Base Encuesta'!K49,1)),"")&gt;=3),"",IF(W75=1,VALUE(LEFT('Base Encuesta'!AH49,1)),""))</f>
        <v/>
      </c>
      <c r="AA75" t="str">
        <f>IF(OR('Base Encuesta'!AI49="",IFERROR(VALUE(LEFT('Base Encuesta'!K49,1)),"")&gt;=3),"",IF(W75=1,VALUE(LEFT('Base Encuesta'!AI49,1)),""))</f>
        <v/>
      </c>
      <c r="AB75" t="str">
        <f>IF(OR('Base Encuesta'!AJ49="",IFERROR(VALUE(LEFT('Base Encuesta'!K49,1)),"")&gt;=3),"",IF(W75=1,VALUE(LEFT('Base Encuesta'!AJ49,1)),""))</f>
        <v/>
      </c>
      <c r="AC75" t="str">
        <f>IF(OR('Base Encuesta'!AL49="",IFERROR(VALUE(LEFT('Base Encuesta'!K49,1)),"")&gt;=3),"",VALUE(LEFT('Base Encuesta'!AL49,1)))</f>
        <v/>
      </c>
      <c r="AD75" t="str">
        <f>IF(OR('Base Encuesta'!AM49="",IFERROR(VALUE(LEFT('Base Encuesta'!K49,1)),"")&gt;=3),"",VALUE(LEFT('Base Encuesta'!AM49,1)))</f>
        <v/>
      </c>
      <c r="AE75" t="str">
        <f>IF(OR('Base Encuesta'!AN49="",IFERROR(VALUE(LEFT('Base Encuesta'!K49,1)),"")&gt;=3),"",VALUE(LEFT('Base Encuesta'!AN49,1)))</f>
        <v/>
      </c>
      <c r="AF75" t="str">
        <f>IF(OR('Base Encuesta'!AO49="",IFERROR(VALUE(LEFT('Base Encuesta'!K49,1)),"")&gt;=3),"",VALUE(LEFT('Base Encuesta'!AO49,1)))</f>
        <v/>
      </c>
      <c r="AG75" t="str">
        <f>IF(OR('Base Encuesta'!AQ49="",IFERROR(VALUE(LEFT('Base Encuesta'!K49,1)),"")&gt;=3),"",VALUE(LEFT('Base Encuesta'!AQ49,1)))</f>
        <v/>
      </c>
      <c r="AH75" t="str">
        <f>IF(OR('Base Encuesta'!AR49="",IFERROR(VALUE(LEFT('Base Encuesta'!K49,1)),"")&gt;=3),"",VALUE(LEFT('Base Encuesta'!AR49,1)))</f>
        <v/>
      </c>
    </row>
    <row r="76" spans="1:34">
      <c r="A76" t="str">
        <f>IF('Base Encuesta'!C50="","",'Base Encuesta'!C50)</f>
        <v/>
      </c>
      <c r="B76" t="str">
        <f>IF('Base Encuesta'!D50="","",'Base Encuesta'!D50)</f>
        <v/>
      </c>
      <c r="C76" t="str">
        <f>IF('Base Encuesta'!E50="","",'Base Encuesta'!E50)</f>
        <v/>
      </c>
      <c r="D76" t="str">
        <f>IF('Base Encuesta'!F50="","",'Base Encuesta'!F50)</f>
        <v/>
      </c>
      <c r="E76" t="str">
        <f>IF('Base Encuesta'!G50="","",'Base Encuesta'!G50)</f>
        <v/>
      </c>
      <c r="F76" t="str">
        <f>IF('Base Encuesta'!H50="","",'Base Encuesta'!H50)</f>
        <v/>
      </c>
      <c r="G76" t="str">
        <f>IF('Base Encuesta'!I50="","",'Base Encuesta'!I50)</f>
        <v/>
      </c>
      <c r="H76" t="str">
        <f>IF('Base Encuesta'!J50="","",'Base Encuesta'!J50)</f>
        <v/>
      </c>
      <c r="I76" t="str">
        <f>IF('Base Encuesta'!K50="","",'Base Encuesta'!K50)</f>
        <v/>
      </c>
      <c r="J76" t="str">
        <f>IF(OR('Base Encuesta'!P50="",IFERROR(VALUE(LEFT('Base Encuesta'!K50,1)),"")&gt;=3),"",PROPER(TRIM('Base Encuesta'!P50)))</f>
        <v/>
      </c>
      <c r="K76" t="str">
        <f>IF(OR('Base Encuesta'!Q50="",IFERROR(VALUE(LEFT('Base Encuesta'!K50,1)),"")&gt;=3),"",'Base Encuesta'!Q50)</f>
        <v/>
      </c>
      <c r="L76" t="str">
        <f>IF(OR('Base Encuesta'!R50="",IFERROR(VALUE(LEFT('Base Encuesta'!K50,1)),"")&gt;=3),"",VALUE(LEFT('Base Encuesta'!R50,1)))</f>
        <v/>
      </c>
      <c r="M76" t="str">
        <f>IF(OR('Base Encuesta'!S50="",IFERROR(VALUE(LEFT('Base Encuesta'!K50,1)),"")&gt;=3),"",VALUE(LEFT('Base Encuesta'!S50,1)))</f>
        <v/>
      </c>
      <c r="N76" t="str">
        <f>IF(OR('Base Encuesta'!T50="",IFERROR(VALUE(LEFT('Base Encuesta'!K50,1)),"")&gt;=3),"",VALUE(LEFT('Base Encuesta'!T50,1)))</f>
        <v/>
      </c>
      <c r="O76" t="str">
        <f>IF(OR('Base Encuesta'!V50="",IFERROR(VALUE(LEFT('Base Encuesta'!K50,1)),"")&gt;=3),"",VALUE(LEFT('Base Encuesta'!V50,1)))</f>
        <v/>
      </c>
      <c r="P76" t="str">
        <f>IF(OR('Base Encuesta'!W50="",IFERROR(VALUE(LEFT('Base Encuesta'!K50,1)),"")&gt;=3),"",VALUE(LEFT('Base Encuesta'!W50,1)))</f>
        <v/>
      </c>
      <c r="Q76" t="str">
        <f>IF(OR('Base Encuesta'!X50="",IFERROR(VALUE(LEFT('Base Encuesta'!K50,1)),"")&gt;=3),"",VALUE(LEFT('Base Encuesta'!X50,1)))</f>
        <v/>
      </c>
      <c r="R76" t="str">
        <f>IF(OR('Base Encuesta'!Y50="",IFERROR(VALUE(LEFT('Base Encuesta'!K50,1)),"")&gt;=3),"",VALUE(LEFT('Base Encuesta'!Y50,1)))</f>
        <v/>
      </c>
      <c r="S76" t="str">
        <f>IF(OR('Base Encuesta'!Z50="",IFERROR(VALUE(LEFT('Base Encuesta'!K50,1)),"")&gt;=3),"",VALUE(LEFT('Base Encuesta'!Z50,1)))</f>
        <v/>
      </c>
      <c r="T76" t="str">
        <f>IF(OR('Base Encuesta'!AA50="",IFERROR(VALUE(LEFT('Base Encuesta'!K50,1)),"")&gt;=3),"",VALUE(LEFT('Base Encuesta'!AA50,1)))</f>
        <v/>
      </c>
      <c r="U76" t="str">
        <f>IF(OR('Base Encuesta'!AB50="",IFERROR(VALUE(LEFT('Base Encuesta'!K50,1)),"")&gt;=3),"",VALUE(LEFT('Base Encuesta'!AB50,1)))</f>
        <v/>
      </c>
      <c r="V76" t="str">
        <f>IF(OR('Base Encuesta'!AC50="",IFERROR(VALUE(LEFT('Base Encuesta'!K50,1)),"")&gt;=3),"",VALUE(LEFT('Base Encuesta'!AC50,1)))</f>
        <v/>
      </c>
      <c r="W76" t="str">
        <f>IF(OR('Base Encuesta'!AE50="",IFERROR(VALUE(LEFT('Base Encuesta'!K50,1)),"")&gt;=3),"",VALUE(LEFT('Base Encuesta'!AE50,1)))</f>
        <v/>
      </c>
      <c r="X76" t="str">
        <f>IF(OR('Base Encuesta'!AF50="",IFERROR(VALUE(LEFT('Base Encuesta'!K50,1)),"")&gt;=3),"",IF(W76=1,VALUE(LEFT('Base Encuesta'!AF50,1)),""))</f>
        <v/>
      </c>
      <c r="Y76" t="str">
        <f>IF(OR('Base Encuesta'!AG50="",IFERROR(VALUE(LEFT('Base Encuesta'!K50,1)),"")&gt;=3),"",IF(W76=1,VALUE(LEFT('Base Encuesta'!AG50,1)),""))</f>
        <v/>
      </c>
      <c r="Z76" t="str">
        <f>IF(OR('Base Encuesta'!AH50="",IFERROR(VALUE(LEFT('Base Encuesta'!K50,1)),"")&gt;=3),"",IF(W76=1,VALUE(LEFT('Base Encuesta'!AH50,1)),""))</f>
        <v/>
      </c>
      <c r="AA76" t="str">
        <f>IF(OR('Base Encuesta'!AI50="",IFERROR(VALUE(LEFT('Base Encuesta'!K50,1)),"")&gt;=3),"",IF(W76=1,VALUE(LEFT('Base Encuesta'!AI50,1)),""))</f>
        <v/>
      </c>
      <c r="AB76" t="str">
        <f>IF(OR('Base Encuesta'!AJ50="",IFERROR(VALUE(LEFT('Base Encuesta'!K50,1)),"")&gt;=3),"",IF(W76=1,VALUE(LEFT('Base Encuesta'!AJ50,1)),""))</f>
        <v/>
      </c>
      <c r="AC76" t="str">
        <f>IF(OR('Base Encuesta'!AL50="",IFERROR(VALUE(LEFT('Base Encuesta'!K50,1)),"")&gt;=3),"",VALUE(LEFT('Base Encuesta'!AL50,1)))</f>
        <v/>
      </c>
      <c r="AD76" t="str">
        <f>IF(OR('Base Encuesta'!AM50="",IFERROR(VALUE(LEFT('Base Encuesta'!K50,1)),"")&gt;=3),"",VALUE(LEFT('Base Encuesta'!AM50,1)))</f>
        <v/>
      </c>
      <c r="AE76" t="str">
        <f>IF(OR('Base Encuesta'!AN50="",IFERROR(VALUE(LEFT('Base Encuesta'!K50,1)),"")&gt;=3),"",VALUE(LEFT('Base Encuesta'!AN50,1)))</f>
        <v/>
      </c>
      <c r="AF76" t="str">
        <f>IF(OR('Base Encuesta'!AO50="",IFERROR(VALUE(LEFT('Base Encuesta'!K50,1)),"")&gt;=3),"",VALUE(LEFT('Base Encuesta'!AO50,1)))</f>
        <v/>
      </c>
      <c r="AG76" t="str">
        <f>IF(OR('Base Encuesta'!AQ50="",IFERROR(VALUE(LEFT('Base Encuesta'!K50,1)),"")&gt;=3),"",VALUE(LEFT('Base Encuesta'!AQ50,1)))</f>
        <v/>
      </c>
      <c r="AH76" t="str">
        <f>IF(OR('Base Encuesta'!AR50="",IFERROR(VALUE(LEFT('Base Encuesta'!K50,1)),"")&gt;=3),"",VALUE(LEFT('Base Encuesta'!AR50,1)))</f>
        <v/>
      </c>
    </row>
    <row r="77" spans="1:34">
      <c r="A77" t="str">
        <f>IF('Base Encuesta'!C51="","",'Base Encuesta'!C51)</f>
        <v/>
      </c>
      <c r="B77" t="str">
        <f>IF('Base Encuesta'!D51="","",'Base Encuesta'!D51)</f>
        <v/>
      </c>
      <c r="C77" t="str">
        <f>IF('Base Encuesta'!E51="","",'Base Encuesta'!E51)</f>
        <v/>
      </c>
      <c r="D77" t="str">
        <f>IF('Base Encuesta'!F51="","",'Base Encuesta'!F51)</f>
        <v/>
      </c>
      <c r="E77" t="str">
        <f>IF('Base Encuesta'!G51="","",'Base Encuesta'!G51)</f>
        <v/>
      </c>
      <c r="F77" t="str">
        <f>IF('Base Encuesta'!H51="","",'Base Encuesta'!H51)</f>
        <v/>
      </c>
      <c r="G77" t="str">
        <f>IF('Base Encuesta'!I51="","",'Base Encuesta'!I51)</f>
        <v/>
      </c>
      <c r="H77" t="str">
        <f>IF('Base Encuesta'!J51="","",'Base Encuesta'!J51)</f>
        <v/>
      </c>
      <c r="I77" t="str">
        <f>IF('Base Encuesta'!K51="","",'Base Encuesta'!K51)</f>
        <v/>
      </c>
      <c r="J77" t="str">
        <f>IF(OR('Base Encuesta'!P51="",IFERROR(VALUE(LEFT('Base Encuesta'!K51,1)),"")&gt;=3),"",PROPER(TRIM('Base Encuesta'!P51)))</f>
        <v/>
      </c>
      <c r="K77" t="str">
        <f>IF(OR('Base Encuesta'!Q51="",IFERROR(VALUE(LEFT('Base Encuesta'!K51,1)),"")&gt;=3),"",'Base Encuesta'!Q51)</f>
        <v/>
      </c>
      <c r="L77" t="str">
        <f>IF(OR('Base Encuesta'!R51="",IFERROR(VALUE(LEFT('Base Encuesta'!K51,1)),"")&gt;=3),"",VALUE(LEFT('Base Encuesta'!R51,1)))</f>
        <v/>
      </c>
      <c r="M77" t="str">
        <f>IF(OR('Base Encuesta'!S51="",IFERROR(VALUE(LEFT('Base Encuesta'!K51,1)),"")&gt;=3),"",VALUE(LEFT('Base Encuesta'!S51,1)))</f>
        <v/>
      </c>
      <c r="N77" t="str">
        <f>IF(OR('Base Encuesta'!T51="",IFERROR(VALUE(LEFT('Base Encuesta'!K51,1)),"")&gt;=3),"",VALUE(LEFT('Base Encuesta'!T51,1)))</f>
        <v/>
      </c>
      <c r="O77" t="str">
        <f>IF(OR('Base Encuesta'!V51="",IFERROR(VALUE(LEFT('Base Encuesta'!K51,1)),"")&gt;=3),"",VALUE(LEFT('Base Encuesta'!V51,1)))</f>
        <v/>
      </c>
      <c r="P77" t="str">
        <f>IF(OR('Base Encuesta'!W51="",IFERROR(VALUE(LEFT('Base Encuesta'!K51,1)),"")&gt;=3),"",VALUE(LEFT('Base Encuesta'!W51,1)))</f>
        <v/>
      </c>
      <c r="Q77" t="str">
        <f>IF(OR('Base Encuesta'!X51="",IFERROR(VALUE(LEFT('Base Encuesta'!K51,1)),"")&gt;=3),"",VALUE(LEFT('Base Encuesta'!X51,1)))</f>
        <v/>
      </c>
      <c r="R77" t="str">
        <f>IF(OR('Base Encuesta'!Y51="",IFERROR(VALUE(LEFT('Base Encuesta'!K51,1)),"")&gt;=3),"",VALUE(LEFT('Base Encuesta'!Y51,1)))</f>
        <v/>
      </c>
      <c r="S77" t="str">
        <f>IF(OR('Base Encuesta'!Z51="",IFERROR(VALUE(LEFT('Base Encuesta'!K51,1)),"")&gt;=3),"",VALUE(LEFT('Base Encuesta'!Z51,1)))</f>
        <v/>
      </c>
      <c r="T77" t="str">
        <f>IF(OR('Base Encuesta'!AA51="",IFERROR(VALUE(LEFT('Base Encuesta'!K51,1)),"")&gt;=3),"",VALUE(LEFT('Base Encuesta'!AA51,1)))</f>
        <v/>
      </c>
      <c r="U77" t="str">
        <f>IF(OR('Base Encuesta'!AB51="",IFERROR(VALUE(LEFT('Base Encuesta'!K51,1)),"")&gt;=3),"",VALUE(LEFT('Base Encuesta'!AB51,1)))</f>
        <v/>
      </c>
      <c r="V77" t="str">
        <f>IF(OR('Base Encuesta'!AC51="",IFERROR(VALUE(LEFT('Base Encuesta'!K51,1)),"")&gt;=3),"",VALUE(LEFT('Base Encuesta'!AC51,1)))</f>
        <v/>
      </c>
      <c r="W77" t="str">
        <f>IF(OR('Base Encuesta'!AE51="",IFERROR(VALUE(LEFT('Base Encuesta'!K51,1)),"")&gt;=3),"",VALUE(LEFT('Base Encuesta'!AE51,1)))</f>
        <v/>
      </c>
      <c r="X77" t="str">
        <f>IF(OR('Base Encuesta'!AF51="",IFERROR(VALUE(LEFT('Base Encuesta'!K51,1)),"")&gt;=3),"",IF(W77=1,VALUE(LEFT('Base Encuesta'!AF51,1)),""))</f>
        <v/>
      </c>
      <c r="Y77" t="str">
        <f>IF(OR('Base Encuesta'!AG51="",IFERROR(VALUE(LEFT('Base Encuesta'!K51,1)),"")&gt;=3),"",IF(W77=1,VALUE(LEFT('Base Encuesta'!AG51,1)),""))</f>
        <v/>
      </c>
      <c r="Z77" t="str">
        <f>IF(OR('Base Encuesta'!AH51="",IFERROR(VALUE(LEFT('Base Encuesta'!K51,1)),"")&gt;=3),"",IF(W77=1,VALUE(LEFT('Base Encuesta'!AH51,1)),""))</f>
        <v/>
      </c>
      <c r="AA77" t="str">
        <f>IF(OR('Base Encuesta'!AI51="",IFERROR(VALUE(LEFT('Base Encuesta'!K51,1)),"")&gt;=3),"",IF(W77=1,VALUE(LEFT('Base Encuesta'!AI51,1)),""))</f>
        <v/>
      </c>
      <c r="AB77" t="str">
        <f>IF(OR('Base Encuesta'!AJ51="",IFERROR(VALUE(LEFT('Base Encuesta'!K51,1)),"")&gt;=3),"",IF(W77=1,VALUE(LEFT('Base Encuesta'!AJ51,1)),""))</f>
        <v/>
      </c>
      <c r="AC77" t="str">
        <f>IF(OR('Base Encuesta'!AL51="",IFERROR(VALUE(LEFT('Base Encuesta'!K51,1)),"")&gt;=3),"",VALUE(LEFT('Base Encuesta'!AL51,1)))</f>
        <v/>
      </c>
      <c r="AD77" t="str">
        <f>IF(OR('Base Encuesta'!AM51="",IFERROR(VALUE(LEFT('Base Encuesta'!K51,1)),"")&gt;=3),"",VALUE(LEFT('Base Encuesta'!AM51,1)))</f>
        <v/>
      </c>
      <c r="AE77" t="str">
        <f>IF(OR('Base Encuesta'!AN51="",IFERROR(VALUE(LEFT('Base Encuesta'!K51,1)),"")&gt;=3),"",VALUE(LEFT('Base Encuesta'!AN51,1)))</f>
        <v/>
      </c>
      <c r="AF77" t="str">
        <f>IF(OR('Base Encuesta'!AO51="",IFERROR(VALUE(LEFT('Base Encuesta'!K51,1)),"")&gt;=3),"",VALUE(LEFT('Base Encuesta'!AO51,1)))</f>
        <v/>
      </c>
      <c r="AG77" t="str">
        <f>IF(OR('Base Encuesta'!AQ51="",IFERROR(VALUE(LEFT('Base Encuesta'!K51,1)),"")&gt;=3),"",VALUE(LEFT('Base Encuesta'!AQ51,1)))</f>
        <v/>
      </c>
      <c r="AH77" t="str">
        <f>IF(OR('Base Encuesta'!AR51="",IFERROR(VALUE(LEFT('Base Encuesta'!K51,1)),"")&gt;=3),"",VALUE(LEFT('Base Encuesta'!AR51,1)))</f>
        <v/>
      </c>
    </row>
    <row r="78" spans="1:34">
      <c r="A78" t="str">
        <f>IF('Base Encuesta'!C52="","",'Base Encuesta'!C52)</f>
        <v/>
      </c>
      <c r="B78" t="str">
        <f>IF('Base Encuesta'!D52="","",'Base Encuesta'!D52)</f>
        <v/>
      </c>
      <c r="C78" t="str">
        <f>IF('Base Encuesta'!E52="","",'Base Encuesta'!E52)</f>
        <v/>
      </c>
      <c r="D78" t="str">
        <f>IF('Base Encuesta'!F52="","",'Base Encuesta'!F52)</f>
        <v/>
      </c>
      <c r="E78" t="str">
        <f>IF('Base Encuesta'!G52="","",'Base Encuesta'!G52)</f>
        <v/>
      </c>
      <c r="F78" t="str">
        <f>IF('Base Encuesta'!H52="","",'Base Encuesta'!H52)</f>
        <v/>
      </c>
      <c r="G78" t="str">
        <f>IF('Base Encuesta'!I52="","",'Base Encuesta'!I52)</f>
        <v/>
      </c>
      <c r="H78" t="str">
        <f>IF('Base Encuesta'!J52="","",'Base Encuesta'!J52)</f>
        <v/>
      </c>
      <c r="I78" t="str">
        <f>IF('Base Encuesta'!K52="","",'Base Encuesta'!K52)</f>
        <v/>
      </c>
      <c r="J78" t="str">
        <f>IF(OR('Base Encuesta'!P52="",IFERROR(VALUE(LEFT('Base Encuesta'!K52,1)),"")&gt;=3),"",PROPER(TRIM('Base Encuesta'!P52)))</f>
        <v/>
      </c>
      <c r="K78" t="str">
        <f>IF(OR('Base Encuesta'!Q52="",IFERROR(VALUE(LEFT('Base Encuesta'!K52,1)),"")&gt;=3),"",'Base Encuesta'!Q52)</f>
        <v/>
      </c>
      <c r="L78" t="str">
        <f>IF(OR('Base Encuesta'!R52="",IFERROR(VALUE(LEFT('Base Encuesta'!K52,1)),"")&gt;=3),"",VALUE(LEFT('Base Encuesta'!R52,1)))</f>
        <v/>
      </c>
      <c r="M78" t="str">
        <f>IF(OR('Base Encuesta'!S52="",IFERROR(VALUE(LEFT('Base Encuesta'!K52,1)),"")&gt;=3),"",VALUE(LEFT('Base Encuesta'!S52,1)))</f>
        <v/>
      </c>
      <c r="N78" t="str">
        <f>IF(OR('Base Encuesta'!T52="",IFERROR(VALUE(LEFT('Base Encuesta'!K52,1)),"")&gt;=3),"",VALUE(LEFT('Base Encuesta'!T52,1)))</f>
        <v/>
      </c>
      <c r="O78" t="str">
        <f>IF(OR('Base Encuesta'!V52="",IFERROR(VALUE(LEFT('Base Encuesta'!K52,1)),"")&gt;=3),"",VALUE(LEFT('Base Encuesta'!V52,1)))</f>
        <v/>
      </c>
      <c r="P78" t="str">
        <f>IF(OR('Base Encuesta'!W52="",IFERROR(VALUE(LEFT('Base Encuesta'!K52,1)),"")&gt;=3),"",VALUE(LEFT('Base Encuesta'!W52,1)))</f>
        <v/>
      </c>
      <c r="Q78" t="str">
        <f>IF(OR('Base Encuesta'!X52="",IFERROR(VALUE(LEFT('Base Encuesta'!K52,1)),"")&gt;=3),"",VALUE(LEFT('Base Encuesta'!X52,1)))</f>
        <v/>
      </c>
      <c r="R78" t="str">
        <f>IF(OR('Base Encuesta'!Y52="",IFERROR(VALUE(LEFT('Base Encuesta'!K52,1)),"")&gt;=3),"",VALUE(LEFT('Base Encuesta'!Y52,1)))</f>
        <v/>
      </c>
      <c r="S78" t="str">
        <f>IF(OR('Base Encuesta'!Z52="",IFERROR(VALUE(LEFT('Base Encuesta'!K52,1)),"")&gt;=3),"",VALUE(LEFT('Base Encuesta'!Z52,1)))</f>
        <v/>
      </c>
      <c r="T78" t="str">
        <f>IF(OR('Base Encuesta'!AA52="",IFERROR(VALUE(LEFT('Base Encuesta'!K52,1)),"")&gt;=3),"",VALUE(LEFT('Base Encuesta'!AA52,1)))</f>
        <v/>
      </c>
      <c r="U78" t="str">
        <f>IF(OR('Base Encuesta'!AB52="",IFERROR(VALUE(LEFT('Base Encuesta'!K52,1)),"")&gt;=3),"",VALUE(LEFT('Base Encuesta'!AB52,1)))</f>
        <v/>
      </c>
      <c r="V78" t="str">
        <f>IF(OR('Base Encuesta'!AC52="",IFERROR(VALUE(LEFT('Base Encuesta'!K52,1)),"")&gt;=3),"",VALUE(LEFT('Base Encuesta'!AC52,1)))</f>
        <v/>
      </c>
      <c r="W78" t="str">
        <f>IF(OR('Base Encuesta'!AE52="",IFERROR(VALUE(LEFT('Base Encuesta'!K52,1)),"")&gt;=3),"",VALUE(LEFT('Base Encuesta'!AE52,1)))</f>
        <v/>
      </c>
      <c r="X78" t="str">
        <f>IF(OR('Base Encuesta'!AF52="",IFERROR(VALUE(LEFT('Base Encuesta'!K52,1)),"")&gt;=3),"",IF(W78=1,VALUE(LEFT('Base Encuesta'!AF52,1)),""))</f>
        <v/>
      </c>
      <c r="Y78" t="str">
        <f>IF(OR('Base Encuesta'!AG52="",IFERROR(VALUE(LEFT('Base Encuesta'!K52,1)),"")&gt;=3),"",IF(W78=1,VALUE(LEFT('Base Encuesta'!AG52,1)),""))</f>
        <v/>
      </c>
      <c r="Z78" t="str">
        <f>IF(OR('Base Encuesta'!AH52="",IFERROR(VALUE(LEFT('Base Encuesta'!K52,1)),"")&gt;=3),"",IF(W78=1,VALUE(LEFT('Base Encuesta'!AH52,1)),""))</f>
        <v/>
      </c>
      <c r="AA78" t="str">
        <f>IF(OR('Base Encuesta'!AI52="",IFERROR(VALUE(LEFT('Base Encuesta'!K52,1)),"")&gt;=3),"",IF(W78=1,VALUE(LEFT('Base Encuesta'!AI52,1)),""))</f>
        <v/>
      </c>
      <c r="AB78" t="str">
        <f>IF(OR('Base Encuesta'!AJ52="",IFERROR(VALUE(LEFT('Base Encuesta'!K52,1)),"")&gt;=3),"",IF(W78=1,VALUE(LEFT('Base Encuesta'!AJ52,1)),""))</f>
        <v/>
      </c>
      <c r="AC78" t="str">
        <f>IF(OR('Base Encuesta'!AL52="",IFERROR(VALUE(LEFT('Base Encuesta'!K52,1)),"")&gt;=3),"",VALUE(LEFT('Base Encuesta'!AL52,1)))</f>
        <v/>
      </c>
      <c r="AD78" t="str">
        <f>IF(OR('Base Encuesta'!AM52="",IFERROR(VALUE(LEFT('Base Encuesta'!K52,1)),"")&gt;=3),"",VALUE(LEFT('Base Encuesta'!AM52,1)))</f>
        <v/>
      </c>
      <c r="AE78" t="str">
        <f>IF(OR('Base Encuesta'!AN52="",IFERROR(VALUE(LEFT('Base Encuesta'!K52,1)),"")&gt;=3),"",VALUE(LEFT('Base Encuesta'!AN52,1)))</f>
        <v/>
      </c>
      <c r="AF78" t="str">
        <f>IF(OR('Base Encuesta'!AO52="",IFERROR(VALUE(LEFT('Base Encuesta'!K52,1)),"")&gt;=3),"",VALUE(LEFT('Base Encuesta'!AO52,1)))</f>
        <v/>
      </c>
      <c r="AG78" t="str">
        <f>IF(OR('Base Encuesta'!AQ52="",IFERROR(VALUE(LEFT('Base Encuesta'!K52,1)),"")&gt;=3),"",VALUE(LEFT('Base Encuesta'!AQ52,1)))</f>
        <v/>
      </c>
      <c r="AH78" t="str">
        <f>IF(OR('Base Encuesta'!AR52="",IFERROR(VALUE(LEFT('Base Encuesta'!K52,1)),"")&gt;=3),"",VALUE(LEFT('Base Encuesta'!AR52,1)))</f>
        <v/>
      </c>
    </row>
    <row r="79" spans="1:34">
      <c r="A79" t="str">
        <f>IF('Base Encuesta'!C53="","",'Base Encuesta'!C53)</f>
        <v/>
      </c>
      <c r="B79" t="str">
        <f>IF('Base Encuesta'!D53="","",'Base Encuesta'!D53)</f>
        <v/>
      </c>
      <c r="C79" t="str">
        <f>IF('Base Encuesta'!E53="","",'Base Encuesta'!E53)</f>
        <v/>
      </c>
      <c r="D79" t="str">
        <f>IF('Base Encuesta'!F53="","",'Base Encuesta'!F53)</f>
        <v/>
      </c>
      <c r="E79" t="str">
        <f>IF('Base Encuesta'!G53="","",'Base Encuesta'!G53)</f>
        <v/>
      </c>
      <c r="F79" t="str">
        <f>IF('Base Encuesta'!H53="","",'Base Encuesta'!H53)</f>
        <v/>
      </c>
      <c r="G79" t="str">
        <f>IF('Base Encuesta'!I53="","",'Base Encuesta'!I53)</f>
        <v/>
      </c>
      <c r="H79" t="str">
        <f>IF('Base Encuesta'!J53="","",'Base Encuesta'!J53)</f>
        <v/>
      </c>
      <c r="I79" t="str">
        <f>IF('Base Encuesta'!K53="","",'Base Encuesta'!K53)</f>
        <v/>
      </c>
      <c r="J79" t="str">
        <f>IF(OR('Base Encuesta'!P53="",IFERROR(VALUE(LEFT('Base Encuesta'!K53,1)),"")&gt;=3),"",PROPER(TRIM('Base Encuesta'!P53)))</f>
        <v/>
      </c>
      <c r="K79" t="str">
        <f>IF(OR('Base Encuesta'!Q53="",IFERROR(VALUE(LEFT('Base Encuesta'!K53,1)),"")&gt;=3),"",'Base Encuesta'!Q53)</f>
        <v/>
      </c>
      <c r="L79" t="str">
        <f>IF(OR('Base Encuesta'!R53="",IFERROR(VALUE(LEFT('Base Encuesta'!K53,1)),"")&gt;=3),"",VALUE(LEFT('Base Encuesta'!R53,1)))</f>
        <v/>
      </c>
      <c r="M79" t="str">
        <f>IF(OR('Base Encuesta'!S53="",IFERROR(VALUE(LEFT('Base Encuesta'!K53,1)),"")&gt;=3),"",VALUE(LEFT('Base Encuesta'!S53,1)))</f>
        <v/>
      </c>
      <c r="N79" t="str">
        <f>IF(OR('Base Encuesta'!T53="",IFERROR(VALUE(LEFT('Base Encuesta'!K53,1)),"")&gt;=3),"",VALUE(LEFT('Base Encuesta'!T53,1)))</f>
        <v/>
      </c>
      <c r="O79" t="str">
        <f>IF(OR('Base Encuesta'!V53="",IFERROR(VALUE(LEFT('Base Encuesta'!K53,1)),"")&gt;=3),"",VALUE(LEFT('Base Encuesta'!V53,1)))</f>
        <v/>
      </c>
      <c r="P79" t="str">
        <f>IF(OR('Base Encuesta'!W53="",IFERROR(VALUE(LEFT('Base Encuesta'!K53,1)),"")&gt;=3),"",VALUE(LEFT('Base Encuesta'!W53,1)))</f>
        <v/>
      </c>
      <c r="Q79" t="str">
        <f>IF(OR('Base Encuesta'!X53="",IFERROR(VALUE(LEFT('Base Encuesta'!K53,1)),"")&gt;=3),"",VALUE(LEFT('Base Encuesta'!X53,1)))</f>
        <v/>
      </c>
      <c r="R79" t="str">
        <f>IF(OR('Base Encuesta'!Y53="",IFERROR(VALUE(LEFT('Base Encuesta'!K53,1)),"")&gt;=3),"",VALUE(LEFT('Base Encuesta'!Y53,1)))</f>
        <v/>
      </c>
      <c r="S79" t="str">
        <f>IF(OR('Base Encuesta'!Z53="",IFERROR(VALUE(LEFT('Base Encuesta'!K53,1)),"")&gt;=3),"",VALUE(LEFT('Base Encuesta'!Z53,1)))</f>
        <v/>
      </c>
      <c r="T79" t="str">
        <f>IF(OR('Base Encuesta'!AA53="",IFERROR(VALUE(LEFT('Base Encuesta'!K53,1)),"")&gt;=3),"",VALUE(LEFT('Base Encuesta'!AA53,1)))</f>
        <v/>
      </c>
      <c r="U79" t="str">
        <f>IF(OR('Base Encuesta'!AB53="",IFERROR(VALUE(LEFT('Base Encuesta'!K53,1)),"")&gt;=3),"",VALUE(LEFT('Base Encuesta'!AB53,1)))</f>
        <v/>
      </c>
      <c r="V79" t="str">
        <f>IF(OR('Base Encuesta'!AC53="",IFERROR(VALUE(LEFT('Base Encuesta'!K53,1)),"")&gt;=3),"",VALUE(LEFT('Base Encuesta'!AC53,1)))</f>
        <v/>
      </c>
      <c r="W79" t="str">
        <f>IF(OR('Base Encuesta'!AE53="",IFERROR(VALUE(LEFT('Base Encuesta'!K53,1)),"")&gt;=3),"",VALUE(LEFT('Base Encuesta'!AE53,1)))</f>
        <v/>
      </c>
      <c r="X79" t="str">
        <f>IF(OR('Base Encuesta'!AF53="",IFERROR(VALUE(LEFT('Base Encuesta'!K53,1)),"")&gt;=3),"",IF(W79=1,VALUE(LEFT('Base Encuesta'!AF53,1)),""))</f>
        <v/>
      </c>
      <c r="Y79" t="str">
        <f>IF(OR('Base Encuesta'!AG53="",IFERROR(VALUE(LEFT('Base Encuesta'!K53,1)),"")&gt;=3),"",IF(W79=1,VALUE(LEFT('Base Encuesta'!AG53,1)),""))</f>
        <v/>
      </c>
      <c r="Z79" t="str">
        <f>IF(OR('Base Encuesta'!AH53="",IFERROR(VALUE(LEFT('Base Encuesta'!K53,1)),"")&gt;=3),"",IF(W79=1,VALUE(LEFT('Base Encuesta'!AH53,1)),""))</f>
        <v/>
      </c>
      <c r="AA79" t="str">
        <f>IF(OR('Base Encuesta'!AI53="",IFERROR(VALUE(LEFT('Base Encuesta'!K53,1)),"")&gt;=3),"",IF(W79=1,VALUE(LEFT('Base Encuesta'!AI53,1)),""))</f>
        <v/>
      </c>
      <c r="AB79" t="str">
        <f>IF(OR('Base Encuesta'!AJ53="",IFERROR(VALUE(LEFT('Base Encuesta'!K53,1)),"")&gt;=3),"",IF(W79=1,VALUE(LEFT('Base Encuesta'!AJ53,1)),""))</f>
        <v/>
      </c>
      <c r="AC79" t="str">
        <f>IF(OR('Base Encuesta'!AL53="",IFERROR(VALUE(LEFT('Base Encuesta'!K53,1)),"")&gt;=3),"",VALUE(LEFT('Base Encuesta'!AL53,1)))</f>
        <v/>
      </c>
      <c r="AD79" t="str">
        <f>IF(OR('Base Encuesta'!AM53="",IFERROR(VALUE(LEFT('Base Encuesta'!K53,1)),"")&gt;=3),"",VALUE(LEFT('Base Encuesta'!AM53,1)))</f>
        <v/>
      </c>
      <c r="AE79" t="str">
        <f>IF(OR('Base Encuesta'!AN53="",IFERROR(VALUE(LEFT('Base Encuesta'!K53,1)),"")&gt;=3),"",VALUE(LEFT('Base Encuesta'!AN53,1)))</f>
        <v/>
      </c>
      <c r="AF79" t="str">
        <f>IF(OR('Base Encuesta'!AO53="",IFERROR(VALUE(LEFT('Base Encuesta'!K53,1)),"")&gt;=3),"",VALUE(LEFT('Base Encuesta'!AO53,1)))</f>
        <v/>
      </c>
      <c r="AG79" t="str">
        <f>IF(OR('Base Encuesta'!AQ53="",IFERROR(VALUE(LEFT('Base Encuesta'!K53,1)),"")&gt;=3),"",VALUE(LEFT('Base Encuesta'!AQ53,1)))</f>
        <v/>
      </c>
      <c r="AH79" t="str">
        <f>IF(OR('Base Encuesta'!AR53="",IFERROR(VALUE(LEFT('Base Encuesta'!K53,1)),"")&gt;=3),"",VALUE(LEFT('Base Encuesta'!AR53,1)))</f>
        <v/>
      </c>
    </row>
    <row r="80" spans="1:34">
      <c r="A80" t="str">
        <f>IF('Base Encuesta'!C54="","",'Base Encuesta'!C54)</f>
        <v/>
      </c>
      <c r="B80" t="str">
        <f>IF('Base Encuesta'!D54="","",'Base Encuesta'!D54)</f>
        <v/>
      </c>
      <c r="C80" t="str">
        <f>IF('Base Encuesta'!E54="","",'Base Encuesta'!E54)</f>
        <v/>
      </c>
      <c r="D80" t="str">
        <f>IF('Base Encuesta'!F54="","",'Base Encuesta'!F54)</f>
        <v/>
      </c>
      <c r="E80" t="str">
        <f>IF('Base Encuesta'!G54="","",'Base Encuesta'!G54)</f>
        <v/>
      </c>
      <c r="F80" t="str">
        <f>IF('Base Encuesta'!H54="","",'Base Encuesta'!H54)</f>
        <v/>
      </c>
      <c r="G80" t="str">
        <f>IF('Base Encuesta'!I54="","",'Base Encuesta'!I54)</f>
        <v/>
      </c>
      <c r="H80" t="str">
        <f>IF('Base Encuesta'!J54="","",'Base Encuesta'!J54)</f>
        <v/>
      </c>
      <c r="I80" t="str">
        <f>IF('Base Encuesta'!K54="","",'Base Encuesta'!K54)</f>
        <v/>
      </c>
      <c r="J80" t="str">
        <f>IF(OR('Base Encuesta'!P54="",IFERROR(VALUE(LEFT('Base Encuesta'!K54,1)),"")&gt;=3),"",PROPER(TRIM('Base Encuesta'!P54)))</f>
        <v/>
      </c>
      <c r="K80" t="str">
        <f>IF(OR('Base Encuesta'!Q54="",IFERROR(VALUE(LEFT('Base Encuesta'!K54,1)),"")&gt;=3),"",'Base Encuesta'!Q54)</f>
        <v/>
      </c>
      <c r="L80" t="str">
        <f>IF(OR('Base Encuesta'!R54="",IFERROR(VALUE(LEFT('Base Encuesta'!K54,1)),"")&gt;=3),"",VALUE(LEFT('Base Encuesta'!R54,1)))</f>
        <v/>
      </c>
      <c r="M80" t="str">
        <f>IF(OR('Base Encuesta'!S54="",IFERROR(VALUE(LEFT('Base Encuesta'!K54,1)),"")&gt;=3),"",VALUE(LEFT('Base Encuesta'!S54,1)))</f>
        <v/>
      </c>
      <c r="N80" t="str">
        <f>IF(OR('Base Encuesta'!T54="",IFERROR(VALUE(LEFT('Base Encuesta'!K54,1)),"")&gt;=3),"",VALUE(LEFT('Base Encuesta'!T54,1)))</f>
        <v/>
      </c>
      <c r="O80" t="str">
        <f>IF(OR('Base Encuesta'!V54="",IFERROR(VALUE(LEFT('Base Encuesta'!K54,1)),"")&gt;=3),"",VALUE(LEFT('Base Encuesta'!V54,1)))</f>
        <v/>
      </c>
      <c r="P80" t="str">
        <f>IF(OR('Base Encuesta'!W54="",IFERROR(VALUE(LEFT('Base Encuesta'!K54,1)),"")&gt;=3),"",VALUE(LEFT('Base Encuesta'!W54,1)))</f>
        <v/>
      </c>
      <c r="Q80" t="str">
        <f>IF(OR('Base Encuesta'!X54="",IFERROR(VALUE(LEFT('Base Encuesta'!K54,1)),"")&gt;=3),"",VALUE(LEFT('Base Encuesta'!X54,1)))</f>
        <v/>
      </c>
      <c r="R80" t="str">
        <f>IF(OR('Base Encuesta'!Y54="",IFERROR(VALUE(LEFT('Base Encuesta'!K54,1)),"")&gt;=3),"",VALUE(LEFT('Base Encuesta'!Y54,1)))</f>
        <v/>
      </c>
      <c r="S80" t="str">
        <f>IF(OR('Base Encuesta'!Z54="",IFERROR(VALUE(LEFT('Base Encuesta'!K54,1)),"")&gt;=3),"",VALUE(LEFT('Base Encuesta'!Z54,1)))</f>
        <v/>
      </c>
      <c r="T80" t="str">
        <f>IF(OR('Base Encuesta'!AA54="",IFERROR(VALUE(LEFT('Base Encuesta'!K54,1)),"")&gt;=3),"",VALUE(LEFT('Base Encuesta'!AA54,1)))</f>
        <v/>
      </c>
      <c r="U80" t="str">
        <f>IF(OR('Base Encuesta'!AB54="",IFERROR(VALUE(LEFT('Base Encuesta'!K54,1)),"")&gt;=3),"",VALUE(LEFT('Base Encuesta'!AB54,1)))</f>
        <v/>
      </c>
      <c r="V80" t="str">
        <f>IF(OR('Base Encuesta'!AC54="",IFERROR(VALUE(LEFT('Base Encuesta'!K54,1)),"")&gt;=3),"",VALUE(LEFT('Base Encuesta'!AC54,1)))</f>
        <v/>
      </c>
      <c r="W80" t="str">
        <f>IF(OR('Base Encuesta'!AE54="",IFERROR(VALUE(LEFT('Base Encuesta'!K54,1)),"")&gt;=3),"",VALUE(LEFT('Base Encuesta'!AE54,1)))</f>
        <v/>
      </c>
      <c r="X80" t="str">
        <f>IF(OR('Base Encuesta'!AF54="",IFERROR(VALUE(LEFT('Base Encuesta'!K54,1)),"")&gt;=3),"",IF(W80=1,VALUE(LEFT('Base Encuesta'!AF54,1)),""))</f>
        <v/>
      </c>
      <c r="Y80" t="str">
        <f>IF(OR('Base Encuesta'!AG54="",IFERROR(VALUE(LEFT('Base Encuesta'!K54,1)),"")&gt;=3),"",IF(W80=1,VALUE(LEFT('Base Encuesta'!AG54,1)),""))</f>
        <v/>
      </c>
      <c r="Z80" t="str">
        <f>IF(OR('Base Encuesta'!AH54="",IFERROR(VALUE(LEFT('Base Encuesta'!K54,1)),"")&gt;=3),"",IF(W80=1,VALUE(LEFT('Base Encuesta'!AH54,1)),""))</f>
        <v/>
      </c>
      <c r="AA80" t="str">
        <f>IF(OR('Base Encuesta'!AI54="",IFERROR(VALUE(LEFT('Base Encuesta'!K54,1)),"")&gt;=3),"",IF(W80=1,VALUE(LEFT('Base Encuesta'!AI54,1)),""))</f>
        <v/>
      </c>
      <c r="AB80" t="str">
        <f>IF(OR('Base Encuesta'!AJ54="",IFERROR(VALUE(LEFT('Base Encuesta'!K54,1)),"")&gt;=3),"",IF(W80=1,VALUE(LEFT('Base Encuesta'!AJ54,1)),""))</f>
        <v/>
      </c>
      <c r="AC80" t="str">
        <f>IF(OR('Base Encuesta'!AL54="",IFERROR(VALUE(LEFT('Base Encuesta'!K54,1)),"")&gt;=3),"",VALUE(LEFT('Base Encuesta'!AL54,1)))</f>
        <v/>
      </c>
      <c r="AD80" t="str">
        <f>IF(OR('Base Encuesta'!AM54="",IFERROR(VALUE(LEFT('Base Encuesta'!K54,1)),"")&gt;=3),"",VALUE(LEFT('Base Encuesta'!AM54,1)))</f>
        <v/>
      </c>
      <c r="AE80" t="str">
        <f>IF(OR('Base Encuesta'!AN54="",IFERROR(VALUE(LEFT('Base Encuesta'!K54,1)),"")&gt;=3),"",VALUE(LEFT('Base Encuesta'!AN54,1)))</f>
        <v/>
      </c>
      <c r="AF80" t="str">
        <f>IF(OR('Base Encuesta'!AO54="",IFERROR(VALUE(LEFT('Base Encuesta'!K54,1)),"")&gt;=3),"",VALUE(LEFT('Base Encuesta'!AO54,1)))</f>
        <v/>
      </c>
      <c r="AG80" t="str">
        <f>IF(OR('Base Encuesta'!AQ54="",IFERROR(VALUE(LEFT('Base Encuesta'!K54,1)),"")&gt;=3),"",VALUE(LEFT('Base Encuesta'!AQ54,1)))</f>
        <v/>
      </c>
      <c r="AH80" t="str">
        <f>IF(OR('Base Encuesta'!AR54="",IFERROR(VALUE(LEFT('Base Encuesta'!K54,1)),"")&gt;=3),"",VALUE(LEFT('Base Encuesta'!AR54,1)))</f>
        <v/>
      </c>
    </row>
    <row r="81" spans="1:34">
      <c r="A81" t="str">
        <f>IF('Base Encuesta'!C55="","",'Base Encuesta'!C55)</f>
        <v/>
      </c>
      <c r="B81" t="str">
        <f>IF('Base Encuesta'!D55="","",'Base Encuesta'!D55)</f>
        <v/>
      </c>
      <c r="C81" t="str">
        <f>IF('Base Encuesta'!E55="","",'Base Encuesta'!E55)</f>
        <v/>
      </c>
      <c r="D81" t="str">
        <f>IF('Base Encuesta'!F55="","",'Base Encuesta'!F55)</f>
        <v/>
      </c>
      <c r="E81" t="str">
        <f>IF('Base Encuesta'!G55="","",'Base Encuesta'!G55)</f>
        <v/>
      </c>
      <c r="F81" t="str">
        <f>IF('Base Encuesta'!H55="","",'Base Encuesta'!H55)</f>
        <v/>
      </c>
      <c r="G81" t="str">
        <f>IF('Base Encuesta'!I55="","",'Base Encuesta'!I55)</f>
        <v/>
      </c>
      <c r="H81" t="str">
        <f>IF('Base Encuesta'!J55="","",'Base Encuesta'!J55)</f>
        <v/>
      </c>
      <c r="I81" t="str">
        <f>IF('Base Encuesta'!K55="","",'Base Encuesta'!K55)</f>
        <v/>
      </c>
      <c r="J81" t="str">
        <f>IF(OR('Base Encuesta'!P55="",IFERROR(VALUE(LEFT('Base Encuesta'!K55,1)),"")&gt;=3),"",PROPER(TRIM('Base Encuesta'!P55)))</f>
        <v/>
      </c>
      <c r="K81" t="str">
        <f>IF(OR('Base Encuesta'!Q55="",IFERROR(VALUE(LEFT('Base Encuesta'!K55,1)),"")&gt;=3),"",'Base Encuesta'!Q55)</f>
        <v/>
      </c>
      <c r="L81" t="str">
        <f>IF(OR('Base Encuesta'!R55="",IFERROR(VALUE(LEFT('Base Encuesta'!K55,1)),"")&gt;=3),"",VALUE(LEFT('Base Encuesta'!R55,1)))</f>
        <v/>
      </c>
      <c r="M81" t="str">
        <f>IF(OR('Base Encuesta'!S55="",IFERROR(VALUE(LEFT('Base Encuesta'!K55,1)),"")&gt;=3),"",VALUE(LEFT('Base Encuesta'!S55,1)))</f>
        <v/>
      </c>
      <c r="N81" t="str">
        <f>IF(OR('Base Encuesta'!T55="",IFERROR(VALUE(LEFT('Base Encuesta'!K55,1)),"")&gt;=3),"",VALUE(LEFT('Base Encuesta'!T55,1)))</f>
        <v/>
      </c>
      <c r="O81" t="str">
        <f>IF(OR('Base Encuesta'!V55="",IFERROR(VALUE(LEFT('Base Encuesta'!K55,1)),"")&gt;=3),"",VALUE(LEFT('Base Encuesta'!V55,1)))</f>
        <v/>
      </c>
      <c r="P81" t="str">
        <f>IF(OR('Base Encuesta'!W55="",IFERROR(VALUE(LEFT('Base Encuesta'!K55,1)),"")&gt;=3),"",VALUE(LEFT('Base Encuesta'!W55,1)))</f>
        <v/>
      </c>
      <c r="Q81" t="str">
        <f>IF(OR('Base Encuesta'!X55="",IFERROR(VALUE(LEFT('Base Encuesta'!K55,1)),"")&gt;=3),"",VALUE(LEFT('Base Encuesta'!X55,1)))</f>
        <v/>
      </c>
      <c r="R81" t="str">
        <f>IF(OR('Base Encuesta'!Y55="",IFERROR(VALUE(LEFT('Base Encuesta'!K55,1)),"")&gt;=3),"",VALUE(LEFT('Base Encuesta'!Y55,1)))</f>
        <v/>
      </c>
      <c r="S81" t="str">
        <f>IF(OR('Base Encuesta'!Z55="",IFERROR(VALUE(LEFT('Base Encuesta'!K55,1)),"")&gt;=3),"",VALUE(LEFT('Base Encuesta'!Z55,1)))</f>
        <v/>
      </c>
      <c r="T81" t="str">
        <f>IF(OR('Base Encuesta'!AA55="",IFERROR(VALUE(LEFT('Base Encuesta'!K55,1)),"")&gt;=3),"",VALUE(LEFT('Base Encuesta'!AA55,1)))</f>
        <v/>
      </c>
      <c r="U81" t="str">
        <f>IF(OR('Base Encuesta'!AB55="",IFERROR(VALUE(LEFT('Base Encuesta'!K55,1)),"")&gt;=3),"",VALUE(LEFT('Base Encuesta'!AB55,1)))</f>
        <v/>
      </c>
      <c r="V81" t="str">
        <f>IF(OR('Base Encuesta'!AC55="",IFERROR(VALUE(LEFT('Base Encuesta'!K55,1)),"")&gt;=3),"",VALUE(LEFT('Base Encuesta'!AC55,1)))</f>
        <v/>
      </c>
      <c r="W81" t="str">
        <f>IF(OR('Base Encuesta'!AE55="",IFERROR(VALUE(LEFT('Base Encuesta'!K55,1)),"")&gt;=3),"",VALUE(LEFT('Base Encuesta'!AE55,1)))</f>
        <v/>
      </c>
      <c r="X81" t="str">
        <f>IF(OR('Base Encuesta'!AF55="",IFERROR(VALUE(LEFT('Base Encuesta'!K55,1)),"")&gt;=3),"",IF(W81=1,VALUE(LEFT('Base Encuesta'!AF55,1)),""))</f>
        <v/>
      </c>
      <c r="Y81" t="str">
        <f>IF(OR('Base Encuesta'!AG55="",IFERROR(VALUE(LEFT('Base Encuesta'!K55,1)),"")&gt;=3),"",IF(W81=1,VALUE(LEFT('Base Encuesta'!AG55,1)),""))</f>
        <v/>
      </c>
      <c r="Z81" t="str">
        <f>IF(OR('Base Encuesta'!AH55="",IFERROR(VALUE(LEFT('Base Encuesta'!K55,1)),"")&gt;=3),"",IF(W81=1,VALUE(LEFT('Base Encuesta'!AH55,1)),""))</f>
        <v/>
      </c>
      <c r="AA81" t="str">
        <f>IF(OR('Base Encuesta'!AI55="",IFERROR(VALUE(LEFT('Base Encuesta'!K55,1)),"")&gt;=3),"",IF(W81=1,VALUE(LEFT('Base Encuesta'!AI55,1)),""))</f>
        <v/>
      </c>
      <c r="AB81" t="str">
        <f>IF(OR('Base Encuesta'!AJ55="",IFERROR(VALUE(LEFT('Base Encuesta'!K55,1)),"")&gt;=3),"",IF(W81=1,VALUE(LEFT('Base Encuesta'!AJ55,1)),""))</f>
        <v/>
      </c>
      <c r="AC81" t="str">
        <f>IF(OR('Base Encuesta'!AL55="",IFERROR(VALUE(LEFT('Base Encuesta'!K55,1)),"")&gt;=3),"",VALUE(LEFT('Base Encuesta'!AL55,1)))</f>
        <v/>
      </c>
      <c r="AD81" t="str">
        <f>IF(OR('Base Encuesta'!AM55="",IFERROR(VALUE(LEFT('Base Encuesta'!K55,1)),"")&gt;=3),"",VALUE(LEFT('Base Encuesta'!AM55,1)))</f>
        <v/>
      </c>
      <c r="AE81" t="str">
        <f>IF(OR('Base Encuesta'!AN55="",IFERROR(VALUE(LEFT('Base Encuesta'!K55,1)),"")&gt;=3),"",VALUE(LEFT('Base Encuesta'!AN55,1)))</f>
        <v/>
      </c>
      <c r="AF81" t="str">
        <f>IF(OR('Base Encuesta'!AO55="",IFERROR(VALUE(LEFT('Base Encuesta'!K55,1)),"")&gt;=3),"",VALUE(LEFT('Base Encuesta'!AO55,1)))</f>
        <v/>
      </c>
      <c r="AG81" t="str">
        <f>IF(OR('Base Encuesta'!AQ55="",IFERROR(VALUE(LEFT('Base Encuesta'!K55,1)),"")&gt;=3),"",VALUE(LEFT('Base Encuesta'!AQ55,1)))</f>
        <v/>
      </c>
      <c r="AH81" t="str">
        <f>IF(OR('Base Encuesta'!AR55="",IFERROR(VALUE(LEFT('Base Encuesta'!K55,1)),"")&gt;=3),"",VALUE(LEFT('Base Encuesta'!AR55,1)))</f>
        <v/>
      </c>
    </row>
    <row r="82" spans="1:34">
      <c r="A82" t="str">
        <f>IF('Base Encuesta'!C56="","",'Base Encuesta'!C56)</f>
        <v/>
      </c>
      <c r="B82" t="str">
        <f>IF('Base Encuesta'!D56="","",'Base Encuesta'!D56)</f>
        <v/>
      </c>
      <c r="C82" t="str">
        <f>IF('Base Encuesta'!E56="","",'Base Encuesta'!E56)</f>
        <v/>
      </c>
      <c r="D82" t="str">
        <f>IF('Base Encuesta'!F56="","",'Base Encuesta'!F56)</f>
        <v/>
      </c>
      <c r="E82" t="str">
        <f>IF('Base Encuesta'!G56="","",'Base Encuesta'!G56)</f>
        <v/>
      </c>
      <c r="F82" t="str">
        <f>IF('Base Encuesta'!H56="","",'Base Encuesta'!H56)</f>
        <v/>
      </c>
      <c r="G82" t="str">
        <f>IF('Base Encuesta'!I56="","",'Base Encuesta'!I56)</f>
        <v/>
      </c>
      <c r="H82" t="str">
        <f>IF('Base Encuesta'!J56="","",'Base Encuesta'!J56)</f>
        <v/>
      </c>
      <c r="I82" t="str">
        <f>IF('Base Encuesta'!K56="","",'Base Encuesta'!K56)</f>
        <v/>
      </c>
      <c r="J82" t="str">
        <f>IF(OR('Base Encuesta'!P56="",IFERROR(VALUE(LEFT('Base Encuesta'!K56,1)),"")&gt;=3),"",PROPER(TRIM('Base Encuesta'!P56)))</f>
        <v/>
      </c>
      <c r="K82" t="str">
        <f>IF(OR('Base Encuesta'!Q56="",IFERROR(VALUE(LEFT('Base Encuesta'!K56,1)),"")&gt;=3),"",'Base Encuesta'!Q56)</f>
        <v/>
      </c>
      <c r="L82" t="str">
        <f>IF(OR('Base Encuesta'!R56="",IFERROR(VALUE(LEFT('Base Encuesta'!K56,1)),"")&gt;=3),"",VALUE(LEFT('Base Encuesta'!R56,1)))</f>
        <v/>
      </c>
      <c r="M82" t="str">
        <f>IF(OR('Base Encuesta'!S56="",IFERROR(VALUE(LEFT('Base Encuesta'!K56,1)),"")&gt;=3),"",VALUE(LEFT('Base Encuesta'!S56,1)))</f>
        <v/>
      </c>
      <c r="N82" t="str">
        <f>IF(OR('Base Encuesta'!T56="",IFERROR(VALUE(LEFT('Base Encuesta'!K56,1)),"")&gt;=3),"",VALUE(LEFT('Base Encuesta'!T56,1)))</f>
        <v/>
      </c>
      <c r="O82" t="str">
        <f>IF(OR('Base Encuesta'!V56="",IFERROR(VALUE(LEFT('Base Encuesta'!K56,1)),"")&gt;=3),"",VALUE(LEFT('Base Encuesta'!V56,1)))</f>
        <v/>
      </c>
      <c r="P82" t="str">
        <f>IF(OR('Base Encuesta'!W56="",IFERROR(VALUE(LEFT('Base Encuesta'!K56,1)),"")&gt;=3),"",VALUE(LEFT('Base Encuesta'!W56,1)))</f>
        <v/>
      </c>
      <c r="Q82" t="str">
        <f>IF(OR('Base Encuesta'!X56="",IFERROR(VALUE(LEFT('Base Encuesta'!K56,1)),"")&gt;=3),"",VALUE(LEFT('Base Encuesta'!X56,1)))</f>
        <v/>
      </c>
      <c r="R82" t="str">
        <f>IF(OR('Base Encuesta'!Y56="",IFERROR(VALUE(LEFT('Base Encuesta'!K56,1)),"")&gt;=3),"",VALUE(LEFT('Base Encuesta'!Y56,1)))</f>
        <v/>
      </c>
      <c r="S82" t="str">
        <f>IF(OR('Base Encuesta'!Z56="",IFERROR(VALUE(LEFT('Base Encuesta'!K56,1)),"")&gt;=3),"",VALUE(LEFT('Base Encuesta'!Z56,1)))</f>
        <v/>
      </c>
      <c r="T82" t="str">
        <f>IF(OR('Base Encuesta'!AA56="",IFERROR(VALUE(LEFT('Base Encuesta'!K56,1)),"")&gt;=3),"",VALUE(LEFT('Base Encuesta'!AA56,1)))</f>
        <v/>
      </c>
      <c r="U82" t="str">
        <f>IF(OR('Base Encuesta'!AB56="",IFERROR(VALUE(LEFT('Base Encuesta'!K56,1)),"")&gt;=3),"",VALUE(LEFT('Base Encuesta'!AB56,1)))</f>
        <v/>
      </c>
      <c r="V82" t="str">
        <f>IF(OR('Base Encuesta'!AC56="",IFERROR(VALUE(LEFT('Base Encuesta'!K56,1)),"")&gt;=3),"",VALUE(LEFT('Base Encuesta'!AC56,1)))</f>
        <v/>
      </c>
      <c r="W82" t="str">
        <f>IF(OR('Base Encuesta'!AE56="",IFERROR(VALUE(LEFT('Base Encuesta'!K56,1)),"")&gt;=3),"",VALUE(LEFT('Base Encuesta'!AE56,1)))</f>
        <v/>
      </c>
      <c r="X82" t="str">
        <f>IF(OR('Base Encuesta'!AF56="",IFERROR(VALUE(LEFT('Base Encuesta'!K56,1)),"")&gt;=3),"",IF(W82=1,VALUE(LEFT('Base Encuesta'!AF56,1)),""))</f>
        <v/>
      </c>
      <c r="Y82" t="str">
        <f>IF(OR('Base Encuesta'!AG56="",IFERROR(VALUE(LEFT('Base Encuesta'!K56,1)),"")&gt;=3),"",IF(W82=1,VALUE(LEFT('Base Encuesta'!AG56,1)),""))</f>
        <v/>
      </c>
      <c r="Z82" t="str">
        <f>IF(OR('Base Encuesta'!AH56="",IFERROR(VALUE(LEFT('Base Encuesta'!K56,1)),"")&gt;=3),"",IF(W82=1,VALUE(LEFT('Base Encuesta'!AH56,1)),""))</f>
        <v/>
      </c>
      <c r="AA82" t="str">
        <f>IF(OR('Base Encuesta'!AI56="",IFERROR(VALUE(LEFT('Base Encuesta'!K56,1)),"")&gt;=3),"",IF(W82=1,VALUE(LEFT('Base Encuesta'!AI56,1)),""))</f>
        <v/>
      </c>
      <c r="AB82" t="str">
        <f>IF(OR('Base Encuesta'!AJ56="",IFERROR(VALUE(LEFT('Base Encuesta'!K56,1)),"")&gt;=3),"",IF(W82=1,VALUE(LEFT('Base Encuesta'!AJ56,1)),""))</f>
        <v/>
      </c>
      <c r="AC82" t="str">
        <f>IF(OR('Base Encuesta'!AL56="",IFERROR(VALUE(LEFT('Base Encuesta'!K56,1)),"")&gt;=3),"",VALUE(LEFT('Base Encuesta'!AL56,1)))</f>
        <v/>
      </c>
      <c r="AD82" t="str">
        <f>IF(OR('Base Encuesta'!AM56="",IFERROR(VALUE(LEFT('Base Encuesta'!K56,1)),"")&gt;=3),"",VALUE(LEFT('Base Encuesta'!AM56,1)))</f>
        <v/>
      </c>
      <c r="AE82" t="str">
        <f>IF(OR('Base Encuesta'!AN56="",IFERROR(VALUE(LEFT('Base Encuesta'!K56,1)),"")&gt;=3),"",VALUE(LEFT('Base Encuesta'!AN56,1)))</f>
        <v/>
      </c>
      <c r="AF82" t="str">
        <f>IF(OR('Base Encuesta'!AO56="",IFERROR(VALUE(LEFT('Base Encuesta'!K56,1)),"")&gt;=3),"",VALUE(LEFT('Base Encuesta'!AO56,1)))</f>
        <v/>
      </c>
      <c r="AG82" t="str">
        <f>IF(OR('Base Encuesta'!AQ56="",IFERROR(VALUE(LEFT('Base Encuesta'!K56,1)),"")&gt;=3),"",VALUE(LEFT('Base Encuesta'!AQ56,1)))</f>
        <v/>
      </c>
      <c r="AH82" t="str">
        <f>IF(OR('Base Encuesta'!AR56="",IFERROR(VALUE(LEFT('Base Encuesta'!K56,1)),"")&gt;=3),"",VALUE(LEFT('Base Encuesta'!AR56,1)))</f>
        <v/>
      </c>
    </row>
    <row r="83" spans="1:34">
      <c r="A83" t="str">
        <f>IF('Base Encuesta'!C57="","",'Base Encuesta'!C57)</f>
        <v/>
      </c>
      <c r="B83" t="str">
        <f>IF('Base Encuesta'!D57="","",'Base Encuesta'!D57)</f>
        <v/>
      </c>
      <c r="C83" t="str">
        <f>IF('Base Encuesta'!E57="","",'Base Encuesta'!E57)</f>
        <v/>
      </c>
      <c r="D83" t="str">
        <f>IF('Base Encuesta'!F57="","",'Base Encuesta'!F57)</f>
        <v/>
      </c>
      <c r="E83" t="str">
        <f>IF('Base Encuesta'!G57="","",'Base Encuesta'!G57)</f>
        <v/>
      </c>
      <c r="F83" t="str">
        <f>IF('Base Encuesta'!H57="","",'Base Encuesta'!H57)</f>
        <v/>
      </c>
      <c r="G83" t="str">
        <f>IF('Base Encuesta'!I57="","",'Base Encuesta'!I57)</f>
        <v/>
      </c>
      <c r="H83" t="str">
        <f>IF('Base Encuesta'!J57="","",'Base Encuesta'!J57)</f>
        <v/>
      </c>
      <c r="I83" t="str">
        <f>IF('Base Encuesta'!K57="","",'Base Encuesta'!K57)</f>
        <v/>
      </c>
      <c r="J83" t="str">
        <f>IF(OR('Base Encuesta'!P57="",IFERROR(VALUE(LEFT('Base Encuesta'!K57,1)),"")&gt;=3),"",PROPER(TRIM('Base Encuesta'!P57)))</f>
        <v/>
      </c>
      <c r="K83" t="str">
        <f>IF(OR('Base Encuesta'!Q57="",IFERROR(VALUE(LEFT('Base Encuesta'!K57,1)),"")&gt;=3),"",'Base Encuesta'!Q57)</f>
        <v/>
      </c>
      <c r="L83" t="str">
        <f>IF(OR('Base Encuesta'!R57="",IFERROR(VALUE(LEFT('Base Encuesta'!K57,1)),"")&gt;=3),"",VALUE(LEFT('Base Encuesta'!R57,1)))</f>
        <v/>
      </c>
      <c r="M83" t="str">
        <f>IF(OR('Base Encuesta'!S57="",IFERROR(VALUE(LEFT('Base Encuesta'!K57,1)),"")&gt;=3),"",VALUE(LEFT('Base Encuesta'!S57,1)))</f>
        <v/>
      </c>
      <c r="N83" t="str">
        <f>IF(OR('Base Encuesta'!T57="",IFERROR(VALUE(LEFT('Base Encuesta'!K57,1)),"")&gt;=3),"",VALUE(LEFT('Base Encuesta'!T57,1)))</f>
        <v/>
      </c>
      <c r="O83" t="str">
        <f>IF(OR('Base Encuesta'!V57="",IFERROR(VALUE(LEFT('Base Encuesta'!K57,1)),"")&gt;=3),"",VALUE(LEFT('Base Encuesta'!V57,1)))</f>
        <v/>
      </c>
      <c r="P83" t="str">
        <f>IF(OR('Base Encuesta'!W57="",IFERROR(VALUE(LEFT('Base Encuesta'!K57,1)),"")&gt;=3),"",VALUE(LEFT('Base Encuesta'!W57,1)))</f>
        <v/>
      </c>
      <c r="Q83" t="str">
        <f>IF(OR('Base Encuesta'!X57="",IFERROR(VALUE(LEFT('Base Encuesta'!K57,1)),"")&gt;=3),"",VALUE(LEFT('Base Encuesta'!X57,1)))</f>
        <v/>
      </c>
      <c r="R83" t="str">
        <f>IF(OR('Base Encuesta'!Y57="",IFERROR(VALUE(LEFT('Base Encuesta'!K57,1)),"")&gt;=3),"",VALUE(LEFT('Base Encuesta'!Y57,1)))</f>
        <v/>
      </c>
      <c r="S83" t="str">
        <f>IF(OR('Base Encuesta'!Z57="",IFERROR(VALUE(LEFT('Base Encuesta'!K57,1)),"")&gt;=3),"",VALUE(LEFT('Base Encuesta'!Z57,1)))</f>
        <v/>
      </c>
      <c r="T83" t="str">
        <f>IF(OR('Base Encuesta'!AA57="",IFERROR(VALUE(LEFT('Base Encuesta'!K57,1)),"")&gt;=3),"",VALUE(LEFT('Base Encuesta'!AA57,1)))</f>
        <v/>
      </c>
      <c r="U83" t="str">
        <f>IF(OR('Base Encuesta'!AB57="",IFERROR(VALUE(LEFT('Base Encuesta'!K57,1)),"")&gt;=3),"",VALUE(LEFT('Base Encuesta'!AB57,1)))</f>
        <v/>
      </c>
      <c r="V83" t="str">
        <f>IF(OR('Base Encuesta'!AC57="",IFERROR(VALUE(LEFT('Base Encuesta'!K57,1)),"")&gt;=3),"",VALUE(LEFT('Base Encuesta'!AC57,1)))</f>
        <v/>
      </c>
      <c r="W83" t="str">
        <f>IF(OR('Base Encuesta'!AE57="",IFERROR(VALUE(LEFT('Base Encuesta'!K57,1)),"")&gt;=3),"",VALUE(LEFT('Base Encuesta'!AE57,1)))</f>
        <v/>
      </c>
      <c r="X83" t="str">
        <f>IF(OR('Base Encuesta'!AF57="",IFERROR(VALUE(LEFT('Base Encuesta'!K57,1)),"")&gt;=3),"",IF(W83=1,VALUE(LEFT('Base Encuesta'!AF57,1)),""))</f>
        <v/>
      </c>
      <c r="Y83" t="str">
        <f>IF(OR('Base Encuesta'!AG57="",IFERROR(VALUE(LEFT('Base Encuesta'!K57,1)),"")&gt;=3),"",IF(W83=1,VALUE(LEFT('Base Encuesta'!AG57,1)),""))</f>
        <v/>
      </c>
      <c r="Z83" t="str">
        <f>IF(OR('Base Encuesta'!AH57="",IFERROR(VALUE(LEFT('Base Encuesta'!K57,1)),"")&gt;=3),"",IF(W83=1,VALUE(LEFT('Base Encuesta'!AH57,1)),""))</f>
        <v/>
      </c>
      <c r="AA83" t="str">
        <f>IF(OR('Base Encuesta'!AI57="",IFERROR(VALUE(LEFT('Base Encuesta'!K57,1)),"")&gt;=3),"",IF(W83=1,VALUE(LEFT('Base Encuesta'!AI57,1)),""))</f>
        <v/>
      </c>
      <c r="AB83" t="str">
        <f>IF(OR('Base Encuesta'!AJ57="",IFERROR(VALUE(LEFT('Base Encuesta'!K57,1)),"")&gt;=3),"",IF(W83=1,VALUE(LEFT('Base Encuesta'!AJ57,1)),""))</f>
        <v/>
      </c>
      <c r="AC83" t="str">
        <f>IF(OR('Base Encuesta'!AL57="",IFERROR(VALUE(LEFT('Base Encuesta'!K57,1)),"")&gt;=3),"",VALUE(LEFT('Base Encuesta'!AL57,1)))</f>
        <v/>
      </c>
      <c r="AD83" t="str">
        <f>IF(OR('Base Encuesta'!AM57="",IFERROR(VALUE(LEFT('Base Encuesta'!K57,1)),"")&gt;=3),"",VALUE(LEFT('Base Encuesta'!AM57,1)))</f>
        <v/>
      </c>
      <c r="AE83" t="str">
        <f>IF(OR('Base Encuesta'!AN57="",IFERROR(VALUE(LEFT('Base Encuesta'!K57,1)),"")&gt;=3),"",VALUE(LEFT('Base Encuesta'!AN57,1)))</f>
        <v/>
      </c>
      <c r="AF83" t="str">
        <f>IF(OR('Base Encuesta'!AO57="",IFERROR(VALUE(LEFT('Base Encuesta'!K57,1)),"")&gt;=3),"",VALUE(LEFT('Base Encuesta'!AO57,1)))</f>
        <v/>
      </c>
      <c r="AG83" t="str">
        <f>IF(OR('Base Encuesta'!AQ57="",IFERROR(VALUE(LEFT('Base Encuesta'!K57,1)),"")&gt;=3),"",VALUE(LEFT('Base Encuesta'!AQ57,1)))</f>
        <v/>
      </c>
      <c r="AH83" t="str">
        <f>IF(OR('Base Encuesta'!AR57="",IFERROR(VALUE(LEFT('Base Encuesta'!K57,1)),"")&gt;=3),"",VALUE(LEFT('Base Encuesta'!AR57,1)))</f>
        <v/>
      </c>
    </row>
    <row r="84" spans="1:34">
      <c r="A84" t="str">
        <f>IF('Base Encuesta'!C58="","",'Base Encuesta'!C58)</f>
        <v/>
      </c>
      <c r="B84" t="str">
        <f>IF('Base Encuesta'!D58="","",'Base Encuesta'!D58)</f>
        <v/>
      </c>
      <c r="C84" t="str">
        <f>IF('Base Encuesta'!E58="","",'Base Encuesta'!E58)</f>
        <v/>
      </c>
      <c r="D84" t="str">
        <f>IF('Base Encuesta'!F58="","",'Base Encuesta'!F58)</f>
        <v/>
      </c>
      <c r="E84" t="str">
        <f>IF('Base Encuesta'!G58="","",'Base Encuesta'!G58)</f>
        <v/>
      </c>
      <c r="F84" t="str">
        <f>IF('Base Encuesta'!H58="","",'Base Encuesta'!H58)</f>
        <v/>
      </c>
      <c r="G84" t="str">
        <f>IF('Base Encuesta'!I58="","",'Base Encuesta'!I58)</f>
        <v/>
      </c>
      <c r="H84" t="str">
        <f>IF('Base Encuesta'!J58="","",'Base Encuesta'!J58)</f>
        <v/>
      </c>
      <c r="I84" t="str">
        <f>IF('Base Encuesta'!K58="","",'Base Encuesta'!K58)</f>
        <v/>
      </c>
      <c r="J84" t="str">
        <f>IF(OR('Base Encuesta'!P58="",IFERROR(VALUE(LEFT('Base Encuesta'!K58,1)),"")&gt;=3),"",PROPER(TRIM('Base Encuesta'!P58)))</f>
        <v/>
      </c>
      <c r="K84" t="str">
        <f>IF(OR('Base Encuesta'!Q58="",IFERROR(VALUE(LEFT('Base Encuesta'!K58,1)),"")&gt;=3),"",'Base Encuesta'!Q58)</f>
        <v/>
      </c>
      <c r="L84" t="str">
        <f>IF(OR('Base Encuesta'!R58="",IFERROR(VALUE(LEFT('Base Encuesta'!K58,1)),"")&gt;=3),"",VALUE(LEFT('Base Encuesta'!R58,1)))</f>
        <v/>
      </c>
      <c r="M84" t="str">
        <f>IF(OR('Base Encuesta'!S58="",IFERROR(VALUE(LEFT('Base Encuesta'!K58,1)),"")&gt;=3),"",VALUE(LEFT('Base Encuesta'!S58,1)))</f>
        <v/>
      </c>
      <c r="N84" t="str">
        <f>IF(OR('Base Encuesta'!T58="",IFERROR(VALUE(LEFT('Base Encuesta'!K58,1)),"")&gt;=3),"",VALUE(LEFT('Base Encuesta'!T58,1)))</f>
        <v/>
      </c>
      <c r="O84" t="str">
        <f>IF(OR('Base Encuesta'!V58="",IFERROR(VALUE(LEFT('Base Encuesta'!K58,1)),"")&gt;=3),"",VALUE(LEFT('Base Encuesta'!V58,1)))</f>
        <v/>
      </c>
      <c r="P84" t="str">
        <f>IF(OR('Base Encuesta'!W58="",IFERROR(VALUE(LEFT('Base Encuesta'!K58,1)),"")&gt;=3),"",VALUE(LEFT('Base Encuesta'!W58,1)))</f>
        <v/>
      </c>
      <c r="Q84" t="str">
        <f>IF(OR('Base Encuesta'!X58="",IFERROR(VALUE(LEFT('Base Encuesta'!K58,1)),"")&gt;=3),"",VALUE(LEFT('Base Encuesta'!X58,1)))</f>
        <v/>
      </c>
      <c r="R84" t="str">
        <f>IF(OR('Base Encuesta'!Y58="",IFERROR(VALUE(LEFT('Base Encuesta'!K58,1)),"")&gt;=3),"",VALUE(LEFT('Base Encuesta'!Y58,1)))</f>
        <v/>
      </c>
      <c r="S84" t="str">
        <f>IF(OR('Base Encuesta'!Z58="",IFERROR(VALUE(LEFT('Base Encuesta'!K58,1)),"")&gt;=3),"",VALUE(LEFT('Base Encuesta'!Z58,1)))</f>
        <v/>
      </c>
      <c r="T84" t="str">
        <f>IF(OR('Base Encuesta'!AA58="",IFERROR(VALUE(LEFT('Base Encuesta'!K58,1)),"")&gt;=3),"",VALUE(LEFT('Base Encuesta'!AA58,1)))</f>
        <v/>
      </c>
      <c r="U84" t="str">
        <f>IF(OR('Base Encuesta'!AB58="",IFERROR(VALUE(LEFT('Base Encuesta'!K58,1)),"")&gt;=3),"",VALUE(LEFT('Base Encuesta'!AB58,1)))</f>
        <v/>
      </c>
      <c r="V84" t="str">
        <f>IF(OR('Base Encuesta'!AC58="",IFERROR(VALUE(LEFT('Base Encuesta'!K58,1)),"")&gt;=3),"",VALUE(LEFT('Base Encuesta'!AC58,1)))</f>
        <v/>
      </c>
      <c r="W84" t="str">
        <f>IF(OR('Base Encuesta'!AE58="",IFERROR(VALUE(LEFT('Base Encuesta'!K58,1)),"")&gt;=3),"",VALUE(LEFT('Base Encuesta'!AE58,1)))</f>
        <v/>
      </c>
      <c r="X84" t="str">
        <f>IF(OR('Base Encuesta'!AF58="",IFERROR(VALUE(LEFT('Base Encuesta'!K58,1)),"")&gt;=3),"",IF(W84=1,VALUE(LEFT('Base Encuesta'!AF58,1)),""))</f>
        <v/>
      </c>
      <c r="Y84" t="str">
        <f>IF(OR('Base Encuesta'!AG58="",IFERROR(VALUE(LEFT('Base Encuesta'!K58,1)),"")&gt;=3),"",IF(W84=1,VALUE(LEFT('Base Encuesta'!AG58,1)),""))</f>
        <v/>
      </c>
      <c r="Z84" t="str">
        <f>IF(OR('Base Encuesta'!AH58="",IFERROR(VALUE(LEFT('Base Encuesta'!K58,1)),"")&gt;=3),"",IF(W84=1,VALUE(LEFT('Base Encuesta'!AH58,1)),""))</f>
        <v/>
      </c>
      <c r="AA84" t="str">
        <f>IF(OR('Base Encuesta'!AI58="",IFERROR(VALUE(LEFT('Base Encuesta'!K58,1)),"")&gt;=3),"",IF(W84=1,VALUE(LEFT('Base Encuesta'!AI58,1)),""))</f>
        <v/>
      </c>
      <c r="AB84" t="str">
        <f>IF(OR('Base Encuesta'!AJ58="",IFERROR(VALUE(LEFT('Base Encuesta'!K58,1)),"")&gt;=3),"",IF(W84=1,VALUE(LEFT('Base Encuesta'!AJ58,1)),""))</f>
        <v/>
      </c>
      <c r="AC84" t="str">
        <f>IF(OR('Base Encuesta'!AL58="",IFERROR(VALUE(LEFT('Base Encuesta'!K58,1)),"")&gt;=3),"",VALUE(LEFT('Base Encuesta'!AL58,1)))</f>
        <v/>
      </c>
      <c r="AD84" t="str">
        <f>IF(OR('Base Encuesta'!AM58="",IFERROR(VALUE(LEFT('Base Encuesta'!K58,1)),"")&gt;=3),"",VALUE(LEFT('Base Encuesta'!AM58,1)))</f>
        <v/>
      </c>
      <c r="AE84" t="str">
        <f>IF(OR('Base Encuesta'!AN58="",IFERROR(VALUE(LEFT('Base Encuesta'!K58,1)),"")&gt;=3),"",VALUE(LEFT('Base Encuesta'!AN58,1)))</f>
        <v/>
      </c>
      <c r="AF84" t="str">
        <f>IF(OR('Base Encuesta'!AO58="",IFERROR(VALUE(LEFT('Base Encuesta'!K58,1)),"")&gt;=3),"",VALUE(LEFT('Base Encuesta'!AO58,1)))</f>
        <v/>
      </c>
      <c r="AG84" t="str">
        <f>IF(OR('Base Encuesta'!AQ58="",IFERROR(VALUE(LEFT('Base Encuesta'!K58,1)),"")&gt;=3),"",VALUE(LEFT('Base Encuesta'!AQ58,1)))</f>
        <v/>
      </c>
      <c r="AH84" t="str">
        <f>IF(OR('Base Encuesta'!AR58="",IFERROR(VALUE(LEFT('Base Encuesta'!K58,1)),"")&gt;=3),"",VALUE(LEFT('Base Encuesta'!AR58,1)))</f>
        <v/>
      </c>
    </row>
    <row r="85" spans="1:34">
      <c r="A85" t="str">
        <f>IF('Base Encuesta'!C59="","",'Base Encuesta'!C59)</f>
        <v/>
      </c>
      <c r="B85" t="str">
        <f>IF('Base Encuesta'!D59="","",'Base Encuesta'!D59)</f>
        <v/>
      </c>
      <c r="C85" t="str">
        <f>IF('Base Encuesta'!E59="","",'Base Encuesta'!E59)</f>
        <v/>
      </c>
      <c r="D85" t="str">
        <f>IF('Base Encuesta'!F59="","",'Base Encuesta'!F59)</f>
        <v/>
      </c>
      <c r="E85" t="str">
        <f>IF('Base Encuesta'!G59="","",'Base Encuesta'!G59)</f>
        <v/>
      </c>
      <c r="F85" t="str">
        <f>IF('Base Encuesta'!H59="","",'Base Encuesta'!H59)</f>
        <v/>
      </c>
      <c r="G85" t="str">
        <f>IF('Base Encuesta'!I59="","",'Base Encuesta'!I59)</f>
        <v/>
      </c>
      <c r="H85" t="str">
        <f>IF('Base Encuesta'!J59="","",'Base Encuesta'!J59)</f>
        <v/>
      </c>
      <c r="I85" t="str">
        <f>IF('Base Encuesta'!K59="","",'Base Encuesta'!K59)</f>
        <v/>
      </c>
      <c r="J85" t="str">
        <f>IF(OR('Base Encuesta'!P59="",IFERROR(VALUE(LEFT('Base Encuesta'!K59,1)),"")&gt;=3),"",PROPER(TRIM('Base Encuesta'!P59)))</f>
        <v/>
      </c>
      <c r="K85" t="str">
        <f>IF(OR('Base Encuesta'!Q59="",IFERROR(VALUE(LEFT('Base Encuesta'!K59,1)),"")&gt;=3),"",'Base Encuesta'!Q59)</f>
        <v/>
      </c>
      <c r="L85" t="str">
        <f>IF(OR('Base Encuesta'!R59="",IFERROR(VALUE(LEFT('Base Encuesta'!K59,1)),"")&gt;=3),"",VALUE(LEFT('Base Encuesta'!R59,1)))</f>
        <v/>
      </c>
      <c r="M85" t="str">
        <f>IF(OR('Base Encuesta'!S59="",IFERROR(VALUE(LEFT('Base Encuesta'!K59,1)),"")&gt;=3),"",VALUE(LEFT('Base Encuesta'!S59,1)))</f>
        <v/>
      </c>
      <c r="N85" t="str">
        <f>IF(OR('Base Encuesta'!T59="",IFERROR(VALUE(LEFT('Base Encuesta'!K59,1)),"")&gt;=3),"",VALUE(LEFT('Base Encuesta'!T59,1)))</f>
        <v/>
      </c>
      <c r="O85" t="str">
        <f>IF(OR('Base Encuesta'!V59="",IFERROR(VALUE(LEFT('Base Encuesta'!K59,1)),"")&gt;=3),"",VALUE(LEFT('Base Encuesta'!V59,1)))</f>
        <v/>
      </c>
      <c r="P85" t="str">
        <f>IF(OR('Base Encuesta'!W59="",IFERROR(VALUE(LEFT('Base Encuesta'!K59,1)),"")&gt;=3),"",VALUE(LEFT('Base Encuesta'!W59,1)))</f>
        <v/>
      </c>
      <c r="Q85" t="str">
        <f>IF(OR('Base Encuesta'!X59="",IFERROR(VALUE(LEFT('Base Encuesta'!K59,1)),"")&gt;=3),"",VALUE(LEFT('Base Encuesta'!X59,1)))</f>
        <v/>
      </c>
      <c r="R85" t="str">
        <f>IF(OR('Base Encuesta'!Y59="",IFERROR(VALUE(LEFT('Base Encuesta'!K59,1)),"")&gt;=3),"",VALUE(LEFT('Base Encuesta'!Y59,1)))</f>
        <v/>
      </c>
      <c r="S85" t="str">
        <f>IF(OR('Base Encuesta'!Z59="",IFERROR(VALUE(LEFT('Base Encuesta'!K59,1)),"")&gt;=3),"",VALUE(LEFT('Base Encuesta'!Z59,1)))</f>
        <v/>
      </c>
      <c r="T85" t="str">
        <f>IF(OR('Base Encuesta'!AA59="",IFERROR(VALUE(LEFT('Base Encuesta'!K59,1)),"")&gt;=3),"",VALUE(LEFT('Base Encuesta'!AA59,1)))</f>
        <v/>
      </c>
      <c r="U85" t="str">
        <f>IF(OR('Base Encuesta'!AB59="",IFERROR(VALUE(LEFT('Base Encuesta'!K59,1)),"")&gt;=3),"",VALUE(LEFT('Base Encuesta'!AB59,1)))</f>
        <v/>
      </c>
      <c r="V85" t="str">
        <f>IF(OR('Base Encuesta'!AC59="",IFERROR(VALUE(LEFT('Base Encuesta'!K59,1)),"")&gt;=3),"",VALUE(LEFT('Base Encuesta'!AC59,1)))</f>
        <v/>
      </c>
      <c r="W85" t="str">
        <f>IF(OR('Base Encuesta'!AE59="",IFERROR(VALUE(LEFT('Base Encuesta'!K59,1)),"")&gt;=3),"",VALUE(LEFT('Base Encuesta'!AE59,1)))</f>
        <v/>
      </c>
      <c r="X85" t="str">
        <f>IF(OR('Base Encuesta'!AF59="",IFERROR(VALUE(LEFT('Base Encuesta'!K59,1)),"")&gt;=3),"",IF(W85=1,VALUE(LEFT('Base Encuesta'!AF59,1)),""))</f>
        <v/>
      </c>
      <c r="Y85" t="str">
        <f>IF(OR('Base Encuesta'!AG59="",IFERROR(VALUE(LEFT('Base Encuesta'!K59,1)),"")&gt;=3),"",IF(W85=1,VALUE(LEFT('Base Encuesta'!AG59,1)),""))</f>
        <v/>
      </c>
      <c r="Z85" t="str">
        <f>IF(OR('Base Encuesta'!AH59="",IFERROR(VALUE(LEFT('Base Encuesta'!K59,1)),"")&gt;=3),"",IF(W85=1,VALUE(LEFT('Base Encuesta'!AH59,1)),""))</f>
        <v/>
      </c>
      <c r="AA85" t="str">
        <f>IF(OR('Base Encuesta'!AI59="",IFERROR(VALUE(LEFT('Base Encuesta'!K59,1)),"")&gt;=3),"",IF(W85=1,VALUE(LEFT('Base Encuesta'!AI59,1)),""))</f>
        <v/>
      </c>
      <c r="AB85" t="str">
        <f>IF(OR('Base Encuesta'!AJ59="",IFERROR(VALUE(LEFT('Base Encuesta'!K59,1)),"")&gt;=3),"",IF(W85=1,VALUE(LEFT('Base Encuesta'!AJ59,1)),""))</f>
        <v/>
      </c>
      <c r="AC85" t="str">
        <f>IF(OR('Base Encuesta'!AL59="",IFERROR(VALUE(LEFT('Base Encuesta'!K59,1)),"")&gt;=3),"",VALUE(LEFT('Base Encuesta'!AL59,1)))</f>
        <v/>
      </c>
      <c r="AD85" t="str">
        <f>IF(OR('Base Encuesta'!AM59="",IFERROR(VALUE(LEFT('Base Encuesta'!K59,1)),"")&gt;=3),"",VALUE(LEFT('Base Encuesta'!AM59,1)))</f>
        <v/>
      </c>
      <c r="AE85" t="str">
        <f>IF(OR('Base Encuesta'!AN59="",IFERROR(VALUE(LEFT('Base Encuesta'!K59,1)),"")&gt;=3),"",VALUE(LEFT('Base Encuesta'!AN59,1)))</f>
        <v/>
      </c>
      <c r="AF85" t="str">
        <f>IF(OR('Base Encuesta'!AO59="",IFERROR(VALUE(LEFT('Base Encuesta'!K59,1)),"")&gt;=3),"",VALUE(LEFT('Base Encuesta'!AO59,1)))</f>
        <v/>
      </c>
      <c r="AG85" t="str">
        <f>IF(OR('Base Encuesta'!AQ59="",IFERROR(VALUE(LEFT('Base Encuesta'!K59,1)),"")&gt;=3),"",VALUE(LEFT('Base Encuesta'!AQ59,1)))</f>
        <v/>
      </c>
      <c r="AH85" t="str">
        <f>IF(OR('Base Encuesta'!AR59="",IFERROR(VALUE(LEFT('Base Encuesta'!K59,1)),"")&gt;=3),"",VALUE(LEFT('Base Encuesta'!AR59,1)))</f>
        <v/>
      </c>
    </row>
    <row r="86" spans="1:34">
      <c r="A86" t="str">
        <f>IF('Base Encuesta'!C60="","",'Base Encuesta'!C60)</f>
        <v/>
      </c>
      <c r="B86" t="str">
        <f>IF('Base Encuesta'!D60="","",'Base Encuesta'!D60)</f>
        <v/>
      </c>
      <c r="C86" t="str">
        <f>IF('Base Encuesta'!E60="","",'Base Encuesta'!E60)</f>
        <v/>
      </c>
      <c r="D86" t="str">
        <f>IF('Base Encuesta'!F60="","",'Base Encuesta'!F60)</f>
        <v/>
      </c>
      <c r="E86" t="str">
        <f>IF('Base Encuesta'!G60="","",'Base Encuesta'!G60)</f>
        <v/>
      </c>
      <c r="F86" t="str">
        <f>IF('Base Encuesta'!H60="","",'Base Encuesta'!H60)</f>
        <v/>
      </c>
      <c r="G86" t="str">
        <f>IF('Base Encuesta'!I60="","",'Base Encuesta'!I60)</f>
        <v/>
      </c>
      <c r="H86" t="str">
        <f>IF('Base Encuesta'!J60="","",'Base Encuesta'!J60)</f>
        <v/>
      </c>
      <c r="I86" t="str">
        <f>IF('Base Encuesta'!K60="","",'Base Encuesta'!K60)</f>
        <v/>
      </c>
      <c r="J86" t="str">
        <f>IF(OR('Base Encuesta'!P60="",IFERROR(VALUE(LEFT('Base Encuesta'!K60,1)),"")&gt;=3),"",PROPER(TRIM('Base Encuesta'!P60)))</f>
        <v/>
      </c>
      <c r="K86" t="str">
        <f>IF(OR('Base Encuesta'!Q60="",IFERROR(VALUE(LEFT('Base Encuesta'!K60,1)),"")&gt;=3),"",'Base Encuesta'!Q60)</f>
        <v/>
      </c>
      <c r="L86" t="str">
        <f>IF(OR('Base Encuesta'!R60="",IFERROR(VALUE(LEFT('Base Encuesta'!K60,1)),"")&gt;=3),"",VALUE(LEFT('Base Encuesta'!R60,1)))</f>
        <v/>
      </c>
      <c r="M86" t="str">
        <f>IF(OR('Base Encuesta'!S60="",IFERROR(VALUE(LEFT('Base Encuesta'!K60,1)),"")&gt;=3),"",VALUE(LEFT('Base Encuesta'!S60,1)))</f>
        <v/>
      </c>
      <c r="N86" t="str">
        <f>IF(OR('Base Encuesta'!T60="",IFERROR(VALUE(LEFT('Base Encuesta'!K60,1)),"")&gt;=3),"",VALUE(LEFT('Base Encuesta'!T60,1)))</f>
        <v/>
      </c>
      <c r="O86" t="str">
        <f>IF(OR('Base Encuesta'!V60="",IFERROR(VALUE(LEFT('Base Encuesta'!K60,1)),"")&gt;=3),"",VALUE(LEFT('Base Encuesta'!V60,1)))</f>
        <v/>
      </c>
      <c r="P86" t="str">
        <f>IF(OR('Base Encuesta'!W60="",IFERROR(VALUE(LEFT('Base Encuesta'!K60,1)),"")&gt;=3),"",VALUE(LEFT('Base Encuesta'!W60,1)))</f>
        <v/>
      </c>
      <c r="Q86" t="str">
        <f>IF(OR('Base Encuesta'!X60="",IFERROR(VALUE(LEFT('Base Encuesta'!K60,1)),"")&gt;=3),"",VALUE(LEFT('Base Encuesta'!X60,1)))</f>
        <v/>
      </c>
      <c r="R86" t="str">
        <f>IF(OR('Base Encuesta'!Y60="",IFERROR(VALUE(LEFT('Base Encuesta'!K60,1)),"")&gt;=3),"",VALUE(LEFT('Base Encuesta'!Y60,1)))</f>
        <v/>
      </c>
      <c r="S86" t="str">
        <f>IF(OR('Base Encuesta'!Z60="",IFERROR(VALUE(LEFT('Base Encuesta'!K60,1)),"")&gt;=3),"",VALUE(LEFT('Base Encuesta'!Z60,1)))</f>
        <v/>
      </c>
      <c r="T86" t="str">
        <f>IF(OR('Base Encuesta'!AA60="",IFERROR(VALUE(LEFT('Base Encuesta'!K60,1)),"")&gt;=3),"",VALUE(LEFT('Base Encuesta'!AA60,1)))</f>
        <v/>
      </c>
      <c r="U86" t="str">
        <f>IF(OR('Base Encuesta'!AB60="",IFERROR(VALUE(LEFT('Base Encuesta'!K60,1)),"")&gt;=3),"",VALUE(LEFT('Base Encuesta'!AB60,1)))</f>
        <v/>
      </c>
      <c r="V86" t="str">
        <f>IF(OR('Base Encuesta'!AC60="",IFERROR(VALUE(LEFT('Base Encuesta'!K60,1)),"")&gt;=3),"",VALUE(LEFT('Base Encuesta'!AC60,1)))</f>
        <v/>
      </c>
      <c r="W86" t="str">
        <f>IF(OR('Base Encuesta'!AE60="",IFERROR(VALUE(LEFT('Base Encuesta'!K60,1)),"")&gt;=3),"",VALUE(LEFT('Base Encuesta'!AE60,1)))</f>
        <v/>
      </c>
      <c r="X86" t="str">
        <f>IF(OR('Base Encuesta'!AF60="",IFERROR(VALUE(LEFT('Base Encuesta'!K60,1)),"")&gt;=3),"",IF(W86=1,VALUE(LEFT('Base Encuesta'!AF60,1)),""))</f>
        <v/>
      </c>
      <c r="Y86" t="str">
        <f>IF(OR('Base Encuesta'!AG60="",IFERROR(VALUE(LEFT('Base Encuesta'!K60,1)),"")&gt;=3),"",IF(W86=1,VALUE(LEFT('Base Encuesta'!AG60,1)),""))</f>
        <v/>
      </c>
      <c r="Z86" t="str">
        <f>IF(OR('Base Encuesta'!AH60="",IFERROR(VALUE(LEFT('Base Encuesta'!K60,1)),"")&gt;=3),"",IF(W86=1,VALUE(LEFT('Base Encuesta'!AH60,1)),""))</f>
        <v/>
      </c>
      <c r="AA86" t="str">
        <f>IF(OR('Base Encuesta'!AI60="",IFERROR(VALUE(LEFT('Base Encuesta'!K60,1)),"")&gt;=3),"",IF(W86=1,VALUE(LEFT('Base Encuesta'!AI60,1)),""))</f>
        <v/>
      </c>
      <c r="AB86" t="str">
        <f>IF(OR('Base Encuesta'!AJ60="",IFERROR(VALUE(LEFT('Base Encuesta'!K60,1)),"")&gt;=3),"",IF(W86=1,VALUE(LEFT('Base Encuesta'!AJ60,1)),""))</f>
        <v/>
      </c>
      <c r="AC86" t="str">
        <f>IF(OR('Base Encuesta'!AL60="",IFERROR(VALUE(LEFT('Base Encuesta'!K60,1)),"")&gt;=3),"",VALUE(LEFT('Base Encuesta'!AL60,1)))</f>
        <v/>
      </c>
      <c r="AD86" t="str">
        <f>IF(OR('Base Encuesta'!AM60="",IFERROR(VALUE(LEFT('Base Encuesta'!K60,1)),"")&gt;=3),"",VALUE(LEFT('Base Encuesta'!AM60,1)))</f>
        <v/>
      </c>
      <c r="AE86" t="str">
        <f>IF(OR('Base Encuesta'!AN60="",IFERROR(VALUE(LEFT('Base Encuesta'!K60,1)),"")&gt;=3),"",VALUE(LEFT('Base Encuesta'!AN60,1)))</f>
        <v/>
      </c>
      <c r="AF86" t="str">
        <f>IF(OR('Base Encuesta'!AO60="",IFERROR(VALUE(LEFT('Base Encuesta'!K60,1)),"")&gt;=3),"",VALUE(LEFT('Base Encuesta'!AO60,1)))</f>
        <v/>
      </c>
      <c r="AG86" t="str">
        <f>IF(OR('Base Encuesta'!AQ60="",IFERROR(VALUE(LEFT('Base Encuesta'!K60,1)),"")&gt;=3),"",VALUE(LEFT('Base Encuesta'!AQ60,1)))</f>
        <v/>
      </c>
      <c r="AH86" t="str">
        <f>IF(OR('Base Encuesta'!AR60="",IFERROR(VALUE(LEFT('Base Encuesta'!K60,1)),"")&gt;=3),"",VALUE(LEFT('Base Encuesta'!AR60,1)))</f>
        <v/>
      </c>
    </row>
    <row r="87" spans="1:34">
      <c r="A87" t="str">
        <f>IF('Base Encuesta'!C61="","",'Base Encuesta'!C61)</f>
        <v/>
      </c>
      <c r="B87" t="str">
        <f>IF('Base Encuesta'!D61="","",'Base Encuesta'!D61)</f>
        <v/>
      </c>
      <c r="C87" t="str">
        <f>IF('Base Encuesta'!E61="","",'Base Encuesta'!E61)</f>
        <v/>
      </c>
      <c r="D87" t="str">
        <f>IF('Base Encuesta'!F61="","",'Base Encuesta'!F61)</f>
        <v/>
      </c>
      <c r="E87" t="str">
        <f>IF('Base Encuesta'!G61="","",'Base Encuesta'!G61)</f>
        <v/>
      </c>
      <c r="F87" t="str">
        <f>IF('Base Encuesta'!H61="","",'Base Encuesta'!H61)</f>
        <v/>
      </c>
      <c r="G87" t="str">
        <f>IF('Base Encuesta'!I61="","",'Base Encuesta'!I61)</f>
        <v/>
      </c>
      <c r="H87" t="str">
        <f>IF('Base Encuesta'!J61="","",'Base Encuesta'!J61)</f>
        <v/>
      </c>
      <c r="I87" t="str">
        <f>IF('Base Encuesta'!K61="","",'Base Encuesta'!K61)</f>
        <v/>
      </c>
      <c r="J87" t="str">
        <f>IF(OR('Base Encuesta'!P61="",IFERROR(VALUE(LEFT('Base Encuesta'!K61,1)),"")&gt;=3),"",PROPER(TRIM('Base Encuesta'!P61)))</f>
        <v/>
      </c>
      <c r="K87" t="str">
        <f>IF(OR('Base Encuesta'!Q61="",IFERROR(VALUE(LEFT('Base Encuesta'!K61,1)),"")&gt;=3),"",'Base Encuesta'!Q61)</f>
        <v/>
      </c>
      <c r="L87" t="str">
        <f>IF(OR('Base Encuesta'!R61="",IFERROR(VALUE(LEFT('Base Encuesta'!K61,1)),"")&gt;=3),"",VALUE(LEFT('Base Encuesta'!R61,1)))</f>
        <v/>
      </c>
      <c r="M87" t="str">
        <f>IF(OR('Base Encuesta'!S61="",IFERROR(VALUE(LEFT('Base Encuesta'!K61,1)),"")&gt;=3),"",VALUE(LEFT('Base Encuesta'!S61,1)))</f>
        <v/>
      </c>
      <c r="N87" t="str">
        <f>IF(OR('Base Encuesta'!T61="",IFERROR(VALUE(LEFT('Base Encuesta'!K61,1)),"")&gt;=3),"",VALUE(LEFT('Base Encuesta'!T61,1)))</f>
        <v/>
      </c>
      <c r="O87" t="str">
        <f>IF(OR('Base Encuesta'!V61="",IFERROR(VALUE(LEFT('Base Encuesta'!K61,1)),"")&gt;=3),"",VALUE(LEFT('Base Encuesta'!V61,1)))</f>
        <v/>
      </c>
      <c r="P87" t="str">
        <f>IF(OR('Base Encuesta'!W61="",IFERROR(VALUE(LEFT('Base Encuesta'!K61,1)),"")&gt;=3),"",VALUE(LEFT('Base Encuesta'!W61,1)))</f>
        <v/>
      </c>
      <c r="Q87" t="str">
        <f>IF(OR('Base Encuesta'!X61="",IFERROR(VALUE(LEFT('Base Encuesta'!K61,1)),"")&gt;=3),"",VALUE(LEFT('Base Encuesta'!X61,1)))</f>
        <v/>
      </c>
      <c r="R87" t="str">
        <f>IF(OR('Base Encuesta'!Y61="",IFERROR(VALUE(LEFT('Base Encuesta'!K61,1)),"")&gt;=3),"",VALUE(LEFT('Base Encuesta'!Y61,1)))</f>
        <v/>
      </c>
      <c r="S87" t="str">
        <f>IF(OR('Base Encuesta'!Z61="",IFERROR(VALUE(LEFT('Base Encuesta'!K61,1)),"")&gt;=3),"",VALUE(LEFT('Base Encuesta'!Z61,1)))</f>
        <v/>
      </c>
      <c r="T87" t="str">
        <f>IF(OR('Base Encuesta'!AA61="",IFERROR(VALUE(LEFT('Base Encuesta'!K61,1)),"")&gt;=3),"",VALUE(LEFT('Base Encuesta'!AA61,1)))</f>
        <v/>
      </c>
      <c r="U87" t="str">
        <f>IF(OR('Base Encuesta'!AB61="",IFERROR(VALUE(LEFT('Base Encuesta'!K61,1)),"")&gt;=3),"",VALUE(LEFT('Base Encuesta'!AB61,1)))</f>
        <v/>
      </c>
      <c r="V87" t="str">
        <f>IF(OR('Base Encuesta'!AC61="",IFERROR(VALUE(LEFT('Base Encuesta'!K61,1)),"")&gt;=3),"",VALUE(LEFT('Base Encuesta'!AC61,1)))</f>
        <v/>
      </c>
      <c r="W87" t="str">
        <f>IF(OR('Base Encuesta'!AE61="",IFERROR(VALUE(LEFT('Base Encuesta'!K61,1)),"")&gt;=3),"",VALUE(LEFT('Base Encuesta'!AE61,1)))</f>
        <v/>
      </c>
      <c r="X87" t="str">
        <f>IF(OR('Base Encuesta'!AF61="",IFERROR(VALUE(LEFT('Base Encuesta'!K61,1)),"")&gt;=3),"",IF(W87=1,VALUE(LEFT('Base Encuesta'!AF61,1)),""))</f>
        <v/>
      </c>
      <c r="Y87" t="str">
        <f>IF(OR('Base Encuesta'!AG61="",IFERROR(VALUE(LEFT('Base Encuesta'!K61,1)),"")&gt;=3),"",IF(W87=1,VALUE(LEFT('Base Encuesta'!AG61,1)),""))</f>
        <v/>
      </c>
      <c r="Z87" t="str">
        <f>IF(OR('Base Encuesta'!AH61="",IFERROR(VALUE(LEFT('Base Encuesta'!K61,1)),"")&gt;=3),"",IF(W87=1,VALUE(LEFT('Base Encuesta'!AH61,1)),""))</f>
        <v/>
      </c>
      <c r="AA87" t="str">
        <f>IF(OR('Base Encuesta'!AI61="",IFERROR(VALUE(LEFT('Base Encuesta'!K61,1)),"")&gt;=3),"",IF(W87=1,VALUE(LEFT('Base Encuesta'!AI61,1)),""))</f>
        <v/>
      </c>
      <c r="AB87" t="str">
        <f>IF(OR('Base Encuesta'!AJ61="",IFERROR(VALUE(LEFT('Base Encuesta'!K61,1)),"")&gt;=3),"",IF(W87=1,VALUE(LEFT('Base Encuesta'!AJ61,1)),""))</f>
        <v/>
      </c>
      <c r="AC87" t="str">
        <f>IF(OR('Base Encuesta'!AL61="",IFERROR(VALUE(LEFT('Base Encuesta'!K61,1)),"")&gt;=3),"",VALUE(LEFT('Base Encuesta'!AL61,1)))</f>
        <v/>
      </c>
      <c r="AD87" t="str">
        <f>IF(OR('Base Encuesta'!AM61="",IFERROR(VALUE(LEFT('Base Encuesta'!K61,1)),"")&gt;=3),"",VALUE(LEFT('Base Encuesta'!AM61,1)))</f>
        <v/>
      </c>
      <c r="AE87" t="str">
        <f>IF(OR('Base Encuesta'!AN61="",IFERROR(VALUE(LEFT('Base Encuesta'!K61,1)),"")&gt;=3),"",VALUE(LEFT('Base Encuesta'!AN61,1)))</f>
        <v/>
      </c>
      <c r="AF87" t="str">
        <f>IF(OR('Base Encuesta'!AO61="",IFERROR(VALUE(LEFT('Base Encuesta'!K61,1)),"")&gt;=3),"",VALUE(LEFT('Base Encuesta'!AO61,1)))</f>
        <v/>
      </c>
      <c r="AG87" t="str">
        <f>IF(OR('Base Encuesta'!AQ61="",IFERROR(VALUE(LEFT('Base Encuesta'!K61,1)),"")&gt;=3),"",VALUE(LEFT('Base Encuesta'!AQ61,1)))</f>
        <v/>
      </c>
      <c r="AH87" t="str">
        <f>IF(OR('Base Encuesta'!AR61="",IFERROR(VALUE(LEFT('Base Encuesta'!K61,1)),"")&gt;=3),"",VALUE(LEFT('Base Encuesta'!AR61,1)))</f>
        <v/>
      </c>
    </row>
    <row r="88" spans="1:34">
      <c r="A88" t="str">
        <f>IF('Base Encuesta'!C62="","",'Base Encuesta'!C62)</f>
        <v/>
      </c>
      <c r="B88" t="str">
        <f>IF('Base Encuesta'!D62="","",'Base Encuesta'!D62)</f>
        <v/>
      </c>
      <c r="C88" t="str">
        <f>IF('Base Encuesta'!E62="","",'Base Encuesta'!E62)</f>
        <v/>
      </c>
      <c r="D88" t="str">
        <f>IF('Base Encuesta'!F62="","",'Base Encuesta'!F62)</f>
        <v/>
      </c>
      <c r="E88" t="str">
        <f>IF('Base Encuesta'!G62="","",'Base Encuesta'!G62)</f>
        <v/>
      </c>
      <c r="F88" t="str">
        <f>IF('Base Encuesta'!H62="","",'Base Encuesta'!H62)</f>
        <v/>
      </c>
      <c r="G88" t="str">
        <f>IF('Base Encuesta'!I62="","",'Base Encuesta'!I62)</f>
        <v/>
      </c>
      <c r="H88" t="str">
        <f>IF('Base Encuesta'!J62="","",'Base Encuesta'!J62)</f>
        <v/>
      </c>
      <c r="I88" t="str">
        <f>IF('Base Encuesta'!K62="","",'Base Encuesta'!K62)</f>
        <v/>
      </c>
      <c r="J88" t="str">
        <f>IF(OR('Base Encuesta'!P62="",IFERROR(VALUE(LEFT('Base Encuesta'!K62,1)),"")&gt;=3),"",PROPER(TRIM('Base Encuesta'!P62)))</f>
        <v/>
      </c>
      <c r="K88" t="str">
        <f>IF(OR('Base Encuesta'!Q62="",IFERROR(VALUE(LEFT('Base Encuesta'!K62,1)),"")&gt;=3),"",'Base Encuesta'!Q62)</f>
        <v/>
      </c>
      <c r="L88" t="str">
        <f>IF(OR('Base Encuesta'!R62="",IFERROR(VALUE(LEFT('Base Encuesta'!K62,1)),"")&gt;=3),"",VALUE(LEFT('Base Encuesta'!R62,1)))</f>
        <v/>
      </c>
      <c r="M88" t="str">
        <f>IF(OR('Base Encuesta'!S62="",IFERROR(VALUE(LEFT('Base Encuesta'!K62,1)),"")&gt;=3),"",VALUE(LEFT('Base Encuesta'!S62,1)))</f>
        <v/>
      </c>
      <c r="N88" t="str">
        <f>IF(OR('Base Encuesta'!T62="",IFERROR(VALUE(LEFT('Base Encuesta'!K62,1)),"")&gt;=3),"",VALUE(LEFT('Base Encuesta'!T62,1)))</f>
        <v/>
      </c>
      <c r="O88" t="str">
        <f>IF(OR('Base Encuesta'!V62="",IFERROR(VALUE(LEFT('Base Encuesta'!K62,1)),"")&gt;=3),"",VALUE(LEFT('Base Encuesta'!V62,1)))</f>
        <v/>
      </c>
      <c r="P88" t="str">
        <f>IF(OR('Base Encuesta'!W62="",IFERROR(VALUE(LEFT('Base Encuesta'!K62,1)),"")&gt;=3),"",VALUE(LEFT('Base Encuesta'!W62,1)))</f>
        <v/>
      </c>
      <c r="Q88" t="str">
        <f>IF(OR('Base Encuesta'!X62="",IFERROR(VALUE(LEFT('Base Encuesta'!K62,1)),"")&gt;=3),"",VALUE(LEFT('Base Encuesta'!X62,1)))</f>
        <v/>
      </c>
      <c r="R88" t="str">
        <f>IF(OR('Base Encuesta'!Y62="",IFERROR(VALUE(LEFT('Base Encuesta'!K62,1)),"")&gt;=3),"",VALUE(LEFT('Base Encuesta'!Y62,1)))</f>
        <v/>
      </c>
      <c r="S88" t="str">
        <f>IF(OR('Base Encuesta'!Z62="",IFERROR(VALUE(LEFT('Base Encuesta'!K62,1)),"")&gt;=3),"",VALUE(LEFT('Base Encuesta'!Z62,1)))</f>
        <v/>
      </c>
      <c r="T88" t="str">
        <f>IF(OR('Base Encuesta'!AA62="",IFERROR(VALUE(LEFT('Base Encuesta'!K62,1)),"")&gt;=3),"",VALUE(LEFT('Base Encuesta'!AA62,1)))</f>
        <v/>
      </c>
      <c r="U88" t="str">
        <f>IF(OR('Base Encuesta'!AB62="",IFERROR(VALUE(LEFT('Base Encuesta'!K62,1)),"")&gt;=3),"",VALUE(LEFT('Base Encuesta'!AB62,1)))</f>
        <v/>
      </c>
      <c r="V88" t="str">
        <f>IF(OR('Base Encuesta'!AC62="",IFERROR(VALUE(LEFT('Base Encuesta'!K62,1)),"")&gt;=3),"",VALUE(LEFT('Base Encuesta'!AC62,1)))</f>
        <v/>
      </c>
      <c r="W88" t="str">
        <f>IF(OR('Base Encuesta'!AE62="",IFERROR(VALUE(LEFT('Base Encuesta'!K62,1)),"")&gt;=3),"",VALUE(LEFT('Base Encuesta'!AE62,1)))</f>
        <v/>
      </c>
      <c r="X88" t="str">
        <f>IF(OR('Base Encuesta'!AF62="",IFERROR(VALUE(LEFT('Base Encuesta'!K62,1)),"")&gt;=3),"",IF(W88=1,VALUE(LEFT('Base Encuesta'!AF62,1)),""))</f>
        <v/>
      </c>
      <c r="Y88" t="str">
        <f>IF(OR('Base Encuesta'!AG62="",IFERROR(VALUE(LEFT('Base Encuesta'!K62,1)),"")&gt;=3),"",IF(W88=1,VALUE(LEFT('Base Encuesta'!AG62,1)),""))</f>
        <v/>
      </c>
      <c r="Z88" t="str">
        <f>IF(OR('Base Encuesta'!AH62="",IFERROR(VALUE(LEFT('Base Encuesta'!K62,1)),"")&gt;=3),"",IF(W88=1,VALUE(LEFT('Base Encuesta'!AH62,1)),""))</f>
        <v/>
      </c>
      <c r="AA88" t="str">
        <f>IF(OR('Base Encuesta'!AI62="",IFERROR(VALUE(LEFT('Base Encuesta'!K62,1)),"")&gt;=3),"",IF(W88=1,VALUE(LEFT('Base Encuesta'!AI62,1)),""))</f>
        <v/>
      </c>
      <c r="AB88" t="str">
        <f>IF(OR('Base Encuesta'!AJ62="",IFERROR(VALUE(LEFT('Base Encuesta'!K62,1)),"")&gt;=3),"",IF(W88=1,VALUE(LEFT('Base Encuesta'!AJ62,1)),""))</f>
        <v/>
      </c>
      <c r="AC88" t="str">
        <f>IF(OR('Base Encuesta'!AL62="",IFERROR(VALUE(LEFT('Base Encuesta'!K62,1)),"")&gt;=3),"",VALUE(LEFT('Base Encuesta'!AL62,1)))</f>
        <v/>
      </c>
      <c r="AD88" t="str">
        <f>IF(OR('Base Encuesta'!AM62="",IFERROR(VALUE(LEFT('Base Encuesta'!K62,1)),"")&gt;=3),"",VALUE(LEFT('Base Encuesta'!AM62,1)))</f>
        <v/>
      </c>
      <c r="AE88" t="str">
        <f>IF(OR('Base Encuesta'!AN62="",IFERROR(VALUE(LEFT('Base Encuesta'!K62,1)),"")&gt;=3),"",VALUE(LEFT('Base Encuesta'!AN62,1)))</f>
        <v/>
      </c>
      <c r="AF88" t="str">
        <f>IF(OR('Base Encuesta'!AO62="",IFERROR(VALUE(LEFT('Base Encuesta'!K62,1)),"")&gt;=3),"",VALUE(LEFT('Base Encuesta'!AO62,1)))</f>
        <v/>
      </c>
      <c r="AG88" t="str">
        <f>IF(OR('Base Encuesta'!AQ62="",IFERROR(VALUE(LEFT('Base Encuesta'!K62,1)),"")&gt;=3),"",VALUE(LEFT('Base Encuesta'!AQ62,1)))</f>
        <v/>
      </c>
      <c r="AH88" t="str">
        <f>IF(OR('Base Encuesta'!AR62="",IFERROR(VALUE(LEFT('Base Encuesta'!K62,1)),"")&gt;=3),"",VALUE(LEFT('Base Encuesta'!AR62,1)))</f>
        <v/>
      </c>
    </row>
    <row r="89" spans="1:34">
      <c r="A89" t="str">
        <f>IF('Base Encuesta'!C63="","",'Base Encuesta'!C63)</f>
        <v/>
      </c>
      <c r="B89" t="str">
        <f>IF('Base Encuesta'!D63="","",'Base Encuesta'!D63)</f>
        <v/>
      </c>
      <c r="C89" t="str">
        <f>IF('Base Encuesta'!E63="","",'Base Encuesta'!E63)</f>
        <v/>
      </c>
      <c r="D89" t="str">
        <f>IF('Base Encuesta'!F63="","",'Base Encuesta'!F63)</f>
        <v/>
      </c>
      <c r="E89" t="str">
        <f>IF('Base Encuesta'!G63="","",'Base Encuesta'!G63)</f>
        <v/>
      </c>
      <c r="F89" t="str">
        <f>IF('Base Encuesta'!H63="","",'Base Encuesta'!H63)</f>
        <v/>
      </c>
      <c r="G89" t="str">
        <f>IF('Base Encuesta'!I63="","",'Base Encuesta'!I63)</f>
        <v/>
      </c>
      <c r="H89" t="str">
        <f>IF('Base Encuesta'!J63="","",'Base Encuesta'!J63)</f>
        <v/>
      </c>
      <c r="I89" t="str">
        <f>IF('Base Encuesta'!K63="","",'Base Encuesta'!K63)</f>
        <v/>
      </c>
      <c r="J89" t="str">
        <f>IF(OR('Base Encuesta'!P63="",IFERROR(VALUE(LEFT('Base Encuesta'!K63,1)),"")&gt;=3),"",PROPER(TRIM('Base Encuesta'!P63)))</f>
        <v/>
      </c>
      <c r="K89" t="str">
        <f>IF(OR('Base Encuesta'!Q63="",IFERROR(VALUE(LEFT('Base Encuesta'!K63,1)),"")&gt;=3),"",'Base Encuesta'!Q63)</f>
        <v/>
      </c>
      <c r="L89" t="str">
        <f>IF(OR('Base Encuesta'!R63="",IFERROR(VALUE(LEFT('Base Encuesta'!K63,1)),"")&gt;=3),"",VALUE(LEFT('Base Encuesta'!R63,1)))</f>
        <v/>
      </c>
      <c r="M89" t="str">
        <f>IF(OR('Base Encuesta'!S63="",IFERROR(VALUE(LEFT('Base Encuesta'!K63,1)),"")&gt;=3),"",VALUE(LEFT('Base Encuesta'!S63,1)))</f>
        <v/>
      </c>
      <c r="N89" t="str">
        <f>IF(OR('Base Encuesta'!T63="",IFERROR(VALUE(LEFT('Base Encuesta'!K63,1)),"")&gt;=3),"",VALUE(LEFT('Base Encuesta'!T63,1)))</f>
        <v/>
      </c>
      <c r="O89" t="str">
        <f>IF(OR('Base Encuesta'!V63="",IFERROR(VALUE(LEFT('Base Encuesta'!K63,1)),"")&gt;=3),"",VALUE(LEFT('Base Encuesta'!V63,1)))</f>
        <v/>
      </c>
      <c r="P89" t="str">
        <f>IF(OR('Base Encuesta'!W63="",IFERROR(VALUE(LEFT('Base Encuesta'!K63,1)),"")&gt;=3),"",VALUE(LEFT('Base Encuesta'!W63,1)))</f>
        <v/>
      </c>
      <c r="Q89" t="str">
        <f>IF(OR('Base Encuesta'!X63="",IFERROR(VALUE(LEFT('Base Encuesta'!K63,1)),"")&gt;=3),"",VALUE(LEFT('Base Encuesta'!X63,1)))</f>
        <v/>
      </c>
      <c r="R89" t="str">
        <f>IF(OR('Base Encuesta'!Y63="",IFERROR(VALUE(LEFT('Base Encuesta'!K63,1)),"")&gt;=3),"",VALUE(LEFT('Base Encuesta'!Y63,1)))</f>
        <v/>
      </c>
      <c r="S89" t="str">
        <f>IF(OR('Base Encuesta'!Z63="",IFERROR(VALUE(LEFT('Base Encuesta'!K63,1)),"")&gt;=3),"",VALUE(LEFT('Base Encuesta'!Z63,1)))</f>
        <v/>
      </c>
      <c r="T89" t="str">
        <f>IF(OR('Base Encuesta'!AA63="",IFERROR(VALUE(LEFT('Base Encuesta'!K63,1)),"")&gt;=3),"",VALUE(LEFT('Base Encuesta'!AA63,1)))</f>
        <v/>
      </c>
      <c r="U89" t="str">
        <f>IF(OR('Base Encuesta'!AB63="",IFERROR(VALUE(LEFT('Base Encuesta'!K63,1)),"")&gt;=3),"",VALUE(LEFT('Base Encuesta'!AB63,1)))</f>
        <v/>
      </c>
      <c r="V89" t="str">
        <f>IF(OR('Base Encuesta'!AC63="",IFERROR(VALUE(LEFT('Base Encuesta'!K63,1)),"")&gt;=3),"",VALUE(LEFT('Base Encuesta'!AC63,1)))</f>
        <v/>
      </c>
      <c r="W89" t="str">
        <f>IF(OR('Base Encuesta'!AE63="",IFERROR(VALUE(LEFT('Base Encuesta'!K63,1)),"")&gt;=3),"",VALUE(LEFT('Base Encuesta'!AE63,1)))</f>
        <v/>
      </c>
      <c r="X89" t="str">
        <f>IF(OR('Base Encuesta'!AF63="",IFERROR(VALUE(LEFT('Base Encuesta'!K63,1)),"")&gt;=3),"",IF(W89=1,VALUE(LEFT('Base Encuesta'!AF63,1)),""))</f>
        <v/>
      </c>
      <c r="Y89" t="str">
        <f>IF(OR('Base Encuesta'!AG63="",IFERROR(VALUE(LEFT('Base Encuesta'!K63,1)),"")&gt;=3),"",IF(W89=1,VALUE(LEFT('Base Encuesta'!AG63,1)),""))</f>
        <v/>
      </c>
      <c r="Z89" t="str">
        <f>IF(OR('Base Encuesta'!AH63="",IFERROR(VALUE(LEFT('Base Encuesta'!K63,1)),"")&gt;=3),"",IF(W89=1,VALUE(LEFT('Base Encuesta'!AH63,1)),""))</f>
        <v/>
      </c>
      <c r="AA89" t="str">
        <f>IF(OR('Base Encuesta'!AI63="",IFERROR(VALUE(LEFT('Base Encuesta'!K63,1)),"")&gt;=3),"",IF(W89=1,VALUE(LEFT('Base Encuesta'!AI63,1)),""))</f>
        <v/>
      </c>
      <c r="AB89" t="str">
        <f>IF(OR('Base Encuesta'!AJ63="",IFERROR(VALUE(LEFT('Base Encuesta'!K63,1)),"")&gt;=3),"",IF(W89=1,VALUE(LEFT('Base Encuesta'!AJ63,1)),""))</f>
        <v/>
      </c>
      <c r="AC89" t="str">
        <f>IF(OR('Base Encuesta'!AL63="",IFERROR(VALUE(LEFT('Base Encuesta'!K63,1)),"")&gt;=3),"",VALUE(LEFT('Base Encuesta'!AL63,1)))</f>
        <v/>
      </c>
      <c r="AD89" t="str">
        <f>IF(OR('Base Encuesta'!AM63="",IFERROR(VALUE(LEFT('Base Encuesta'!K63,1)),"")&gt;=3),"",VALUE(LEFT('Base Encuesta'!AM63,1)))</f>
        <v/>
      </c>
      <c r="AE89" t="str">
        <f>IF(OR('Base Encuesta'!AN63="",IFERROR(VALUE(LEFT('Base Encuesta'!K63,1)),"")&gt;=3),"",VALUE(LEFT('Base Encuesta'!AN63,1)))</f>
        <v/>
      </c>
      <c r="AF89" t="str">
        <f>IF(OR('Base Encuesta'!AO63="",IFERROR(VALUE(LEFT('Base Encuesta'!K63,1)),"")&gt;=3),"",VALUE(LEFT('Base Encuesta'!AO63,1)))</f>
        <v/>
      </c>
      <c r="AG89" t="str">
        <f>IF(OR('Base Encuesta'!AQ63="",IFERROR(VALUE(LEFT('Base Encuesta'!K63,1)),"")&gt;=3),"",VALUE(LEFT('Base Encuesta'!AQ63,1)))</f>
        <v/>
      </c>
      <c r="AH89" t="str">
        <f>IF(OR('Base Encuesta'!AR63="",IFERROR(VALUE(LEFT('Base Encuesta'!K63,1)),"")&gt;=3),"",VALUE(LEFT('Base Encuesta'!AR63,1)))</f>
        <v/>
      </c>
    </row>
    <row r="90" spans="1:34">
      <c r="A90" t="str">
        <f>IF('Base Encuesta'!C64="","",'Base Encuesta'!C64)</f>
        <v/>
      </c>
      <c r="B90" t="str">
        <f>IF('Base Encuesta'!D64="","",'Base Encuesta'!D64)</f>
        <v/>
      </c>
      <c r="C90" t="str">
        <f>IF('Base Encuesta'!E64="","",'Base Encuesta'!E64)</f>
        <v/>
      </c>
      <c r="D90" t="str">
        <f>IF('Base Encuesta'!F64="","",'Base Encuesta'!F64)</f>
        <v/>
      </c>
      <c r="E90" t="str">
        <f>IF('Base Encuesta'!G64="","",'Base Encuesta'!G64)</f>
        <v/>
      </c>
      <c r="F90" t="str">
        <f>IF('Base Encuesta'!H64="","",'Base Encuesta'!H64)</f>
        <v/>
      </c>
      <c r="G90" t="str">
        <f>IF('Base Encuesta'!I64="","",'Base Encuesta'!I64)</f>
        <v/>
      </c>
      <c r="H90" t="str">
        <f>IF('Base Encuesta'!J64="","",'Base Encuesta'!J64)</f>
        <v/>
      </c>
      <c r="I90" t="str">
        <f>IF('Base Encuesta'!K64="","",'Base Encuesta'!K64)</f>
        <v/>
      </c>
      <c r="J90" t="str">
        <f>IF(OR('Base Encuesta'!P64="",IFERROR(VALUE(LEFT('Base Encuesta'!K64,1)),"")&gt;=3),"",PROPER(TRIM('Base Encuesta'!P64)))</f>
        <v/>
      </c>
      <c r="K90" t="str">
        <f>IF(OR('Base Encuesta'!Q64="",IFERROR(VALUE(LEFT('Base Encuesta'!K64,1)),"")&gt;=3),"",'Base Encuesta'!Q64)</f>
        <v/>
      </c>
      <c r="L90" t="str">
        <f>IF(OR('Base Encuesta'!R64="",IFERROR(VALUE(LEFT('Base Encuesta'!K64,1)),"")&gt;=3),"",VALUE(LEFT('Base Encuesta'!R64,1)))</f>
        <v/>
      </c>
      <c r="M90" t="str">
        <f>IF(OR('Base Encuesta'!S64="",IFERROR(VALUE(LEFT('Base Encuesta'!K64,1)),"")&gt;=3),"",VALUE(LEFT('Base Encuesta'!S64,1)))</f>
        <v/>
      </c>
      <c r="N90" t="str">
        <f>IF(OR('Base Encuesta'!T64="",IFERROR(VALUE(LEFT('Base Encuesta'!K64,1)),"")&gt;=3),"",VALUE(LEFT('Base Encuesta'!T64,1)))</f>
        <v/>
      </c>
      <c r="O90" t="str">
        <f>IF(OR('Base Encuesta'!V64="",IFERROR(VALUE(LEFT('Base Encuesta'!K64,1)),"")&gt;=3),"",VALUE(LEFT('Base Encuesta'!V64,1)))</f>
        <v/>
      </c>
      <c r="P90" t="str">
        <f>IF(OR('Base Encuesta'!W64="",IFERROR(VALUE(LEFT('Base Encuesta'!K64,1)),"")&gt;=3),"",VALUE(LEFT('Base Encuesta'!W64,1)))</f>
        <v/>
      </c>
      <c r="Q90" t="str">
        <f>IF(OR('Base Encuesta'!X64="",IFERROR(VALUE(LEFT('Base Encuesta'!K64,1)),"")&gt;=3),"",VALUE(LEFT('Base Encuesta'!X64,1)))</f>
        <v/>
      </c>
      <c r="R90" t="str">
        <f>IF(OR('Base Encuesta'!Y64="",IFERROR(VALUE(LEFT('Base Encuesta'!K64,1)),"")&gt;=3),"",VALUE(LEFT('Base Encuesta'!Y64,1)))</f>
        <v/>
      </c>
      <c r="S90" t="str">
        <f>IF(OR('Base Encuesta'!Z64="",IFERROR(VALUE(LEFT('Base Encuesta'!K64,1)),"")&gt;=3),"",VALUE(LEFT('Base Encuesta'!Z64,1)))</f>
        <v/>
      </c>
      <c r="T90" t="str">
        <f>IF(OR('Base Encuesta'!AA64="",IFERROR(VALUE(LEFT('Base Encuesta'!K64,1)),"")&gt;=3),"",VALUE(LEFT('Base Encuesta'!AA64,1)))</f>
        <v/>
      </c>
      <c r="U90" t="str">
        <f>IF(OR('Base Encuesta'!AB64="",IFERROR(VALUE(LEFT('Base Encuesta'!K64,1)),"")&gt;=3),"",VALUE(LEFT('Base Encuesta'!AB64,1)))</f>
        <v/>
      </c>
      <c r="V90" t="str">
        <f>IF(OR('Base Encuesta'!AC64="",IFERROR(VALUE(LEFT('Base Encuesta'!K64,1)),"")&gt;=3),"",VALUE(LEFT('Base Encuesta'!AC64,1)))</f>
        <v/>
      </c>
      <c r="W90" t="str">
        <f>IF(OR('Base Encuesta'!AE64="",IFERROR(VALUE(LEFT('Base Encuesta'!K64,1)),"")&gt;=3),"",VALUE(LEFT('Base Encuesta'!AE64,1)))</f>
        <v/>
      </c>
      <c r="X90" t="str">
        <f>IF(OR('Base Encuesta'!AF64="",IFERROR(VALUE(LEFT('Base Encuesta'!K64,1)),"")&gt;=3),"",IF(W90=1,VALUE(LEFT('Base Encuesta'!AF64,1)),""))</f>
        <v/>
      </c>
      <c r="Y90" t="str">
        <f>IF(OR('Base Encuesta'!AG64="",IFERROR(VALUE(LEFT('Base Encuesta'!K64,1)),"")&gt;=3),"",IF(W90=1,VALUE(LEFT('Base Encuesta'!AG64,1)),""))</f>
        <v/>
      </c>
      <c r="Z90" t="str">
        <f>IF(OR('Base Encuesta'!AH64="",IFERROR(VALUE(LEFT('Base Encuesta'!K64,1)),"")&gt;=3),"",IF(W90=1,VALUE(LEFT('Base Encuesta'!AH64,1)),""))</f>
        <v/>
      </c>
      <c r="AA90" t="str">
        <f>IF(OR('Base Encuesta'!AI64="",IFERROR(VALUE(LEFT('Base Encuesta'!K64,1)),"")&gt;=3),"",IF(W90=1,VALUE(LEFT('Base Encuesta'!AI64,1)),""))</f>
        <v/>
      </c>
      <c r="AB90" t="str">
        <f>IF(OR('Base Encuesta'!AJ64="",IFERROR(VALUE(LEFT('Base Encuesta'!K64,1)),"")&gt;=3),"",IF(W90=1,VALUE(LEFT('Base Encuesta'!AJ64,1)),""))</f>
        <v/>
      </c>
      <c r="AC90" t="str">
        <f>IF(OR('Base Encuesta'!AL64="",IFERROR(VALUE(LEFT('Base Encuesta'!K64,1)),"")&gt;=3),"",VALUE(LEFT('Base Encuesta'!AL64,1)))</f>
        <v/>
      </c>
      <c r="AD90" t="str">
        <f>IF(OR('Base Encuesta'!AM64="",IFERROR(VALUE(LEFT('Base Encuesta'!K64,1)),"")&gt;=3),"",VALUE(LEFT('Base Encuesta'!AM64,1)))</f>
        <v/>
      </c>
      <c r="AE90" t="str">
        <f>IF(OR('Base Encuesta'!AN64="",IFERROR(VALUE(LEFT('Base Encuesta'!K64,1)),"")&gt;=3),"",VALUE(LEFT('Base Encuesta'!AN64,1)))</f>
        <v/>
      </c>
      <c r="AF90" t="str">
        <f>IF(OR('Base Encuesta'!AO64="",IFERROR(VALUE(LEFT('Base Encuesta'!K64,1)),"")&gt;=3),"",VALUE(LEFT('Base Encuesta'!AO64,1)))</f>
        <v/>
      </c>
      <c r="AG90" t="str">
        <f>IF(OR('Base Encuesta'!AQ64="",IFERROR(VALUE(LEFT('Base Encuesta'!K64,1)),"")&gt;=3),"",VALUE(LEFT('Base Encuesta'!AQ64,1)))</f>
        <v/>
      </c>
      <c r="AH90" t="str">
        <f>IF(OR('Base Encuesta'!AR64="",IFERROR(VALUE(LEFT('Base Encuesta'!K64,1)),"")&gt;=3),"",VALUE(LEFT('Base Encuesta'!AR64,1)))</f>
        <v/>
      </c>
    </row>
    <row r="91" spans="1:34">
      <c r="A91" t="str">
        <f>IF('Base Encuesta'!C65="","",'Base Encuesta'!C65)</f>
        <v/>
      </c>
      <c r="B91" t="str">
        <f>IF('Base Encuesta'!D65="","",'Base Encuesta'!D65)</f>
        <v/>
      </c>
      <c r="C91" t="str">
        <f>IF('Base Encuesta'!E65="","",'Base Encuesta'!E65)</f>
        <v/>
      </c>
      <c r="D91" t="str">
        <f>IF('Base Encuesta'!F65="","",'Base Encuesta'!F65)</f>
        <v/>
      </c>
      <c r="E91" t="str">
        <f>IF('Base Encuesta'!G65="","",'Base Encuesta'!G65)</f>
        <v/>
      </c>
      <c r="F91" t="str">
        <f>IF('Base Encuesta'!H65="","",'Base Encuesta'!H65)</f>
        <v/>
      </c>
      <c r="G91" t="str">
        <f>IF('Base Encuesta'!I65="","",'Base Encuesta'!I65)</f>
        <v/>
      </c>
      <c r="H91" t="str">
        <f>IF('Base Encuesta'!J65="","",'Base Encuesta'!J65)</f>
        <v/>
      </c>
      <c r="I91" t="str">
        <f>IF('Base Encuesta'!K65="","",'Base Encuesta'!K65)</f>
        <v/>
      </c>
      <c r="J91" t="str">
        <f>IF(OR('Base Encuesta'!P65="",IFERROR(VALUE(LEFT('Base Encuesta'!K65,1)),"")&gt;=3),"",PROPER(TRIM('Base Encuesta'!P65)))</f>
        <v/>
      </c>
      <c r="K91" t="str">
        <f>IF(OR('Base Encuesta'!Q65="",IFERROR(VALUE(LEFT('Base Encuesta'!K65,1)),"")&gt;=3),"",'Base Encuesta'!Q65)</f>
        <v/>
      </c>
      <c r="L91" t="str">
        <f>IF(OR('Base Encuesta'!R65="",IFERROR(VALUE(LEFT('Base Encuesta'!K65,1)),"")&gt;=3),"",VALUE(LEFT('Base Encuesta'!R65,1)))</f>
        <v/>
      </c>
      <c r="M91" t="str">
        <f>IF(OR('Base Encuesta'!S65="",IFERROR(VALUE(LEFT('Base Encuesta'!K65,1)),"")&gt;=3),"",VALUE(LEFT('Base Encuesta'!S65,1)))</f>
        <v/>
      </c>
      <c r="N91" t="str">
        <f>IF(OR('Base Encuesta'!T65="",IFERROR(VALUE(LEFT('Base Encuesta'!K65,1)),"")&gt;=3),"",VALUE(LEFT('Base Encuesta'!T65,1)))</f>
        <v/>
      </c>
      <c r="O91" t="str">
        <f>IF(OR('Base Encuesta'!V65="",IFERROR(VALUE(LEFT('Base Encuesta'!K65,1)),"")&gt;=3),"",VALUE(LEFT('Base Encuesta'!V65,1)))</f>
        <v/>
      </c>
      <c r="P91" t="str">
        <f>IF(OR('Base Encuesta'!W65="",IFERROR(VALUE(LEFT('Base Encuesta'!K65,1)),"")&gt;=3),"",VALUE(LEFT('Base Encuesta'!W65,1)))</f>
        <v/>
      </c>
      <c r="Q91" t="str">
        <f>IF(OR('Base Encuesta'!X65="",IFERROR(VALUE(LEFT('Base Encuesta'!K65,1)),"")&gt;=3),"",VALUE(LEFT('Base Encuesta'!X65,1)))</f>
        <v/>
      </c>
      <c r="R91" t="str">
        <f>IF(OR('Base Encuesta'!Y65="",IFERROR(VALUE(LEFT('Base Encuesta'!K65,1)),"")&gt;=3),"",VALUE(LEFT('Base Encuesta'!Y65,1)))</f>
        <v/>
      </c>
      <c r="S91" t="str">
        <f>IF(OR('Base Encuesta'!Z65="",IFERROR(VALUE(LEFT('Base Encuesta'!K65,1)),"")&gt;=3),"",VALUE(LEFT('Base Encuesta'!Z65,1)))</f>
        <v/>
      </c>
      <c r="T91" t="str">
        <f>IF(OR('Base Encuesta'!AA65="",IFERROR(VALUE(LEFT('Base Encuesta'!K65,1)),"")&gt;=3),"",VALUE(LEFT('Base Encuesta'!AA65,1)))</f>
        <v/>
      </c>
      <c r="U91" t="str">
        <f>IF(OR('Base Encuesta'!AB65="",IFERROR(VALUE(LEFT('Base Encuesta'!K65,1)),"")&gt;=3),"",VALUE(LEFT('Base Encuesta'!AB65,1)))</f>
        <v/>
      </c>
      <c r="V91" t="str">
        <f>IF(OR('Base Encuesta'!AC65="",IFERROR(VALUE(LEFT('Base Encuesta'!K65,1)),"")&gt;=3),"",VALUE(LEFT('Base Encuesta'!AC65,1)))</f>
        <v/>
      </c>
      <c r="W91" t="str">
        <f>IF(OR('Base Encuesta'!AE65="",IFERROR(VALUE(LEFT('Base Encuesta'!K65,1)),"")&gt;=3),"",VALUE(LEFT('Base Encuesta'!AE65,1)))</f>
        <v/>
      </c>
      <c r="X91" t="str">
        <f>IF(OR('Base Encuesta'!AF65="",IFERROR(VALUE(LEFT('Base Encuesta'!K65,1)),"")&gt;=3),"",IF(W91=1,VALUE(LEFT('Base Encuesta'!AF65,1)),""))</f>
        <v/>
      </c>
      <c r="Y91" t="str">
        <f>IF(OR('Base Encuesta'!AG65="",IFERROR(VALUE(LEFT('Base Encuesta'!K65,1)),"")&gt;=3),"",IF(W91=1,VALUE(LEFT('Base Encuesta'!AG65,1)),""))</f>
        <v/>
      </c>
      <c r="Z91" t="str">
        <f>IF(OR('Base Encuesta'!AH65="",IFERROR(VALUE(LEFT('Base Encuesta'!K65,1)),"")&gt;=3),"",IF(W91=1,VALUE(LEFT('Base Encuesta'!AH65,1)),""))</f>
        <v/>
      </c>
      <c r="AA91" t="str">
        <f>IF(OR('Base Encuesta'!AI65="",IFERROR(VALUE(LEFT('Base Encuesta'!K65,1)),"")&gt;=3),"",IF(W91=1,VALUE(LEFT('Base Encuesta'!AI65,1)),""))</f>
        <v/>
      </c>
      <c r="AB91" t="str">
        <f>IF(OR('Base Encuesta'!AJ65="",IFERROR(VALUE(LEFT('Base Encuesta'!K65,1)),"")&gt;=3),"",IF(W91=1,VALUE(LEFT('Base Encuesta'!AJ65,1)),""))</f>
        <v/>
      </c>
      <c r="AC91" t="str">
        <f>IF(OR('Base Encuesta'!AL65="",IFERROR(VALUE(LEFT('Base Encuesta'!K65,1)),"")&gt;=3),"",VALUE(LEFT('Base Encuesta'!AL65,1)))</f>
        <v/>
      </c>
      <c r="AD91" t="str">
        <f>IF(OR('Base Encuesta'!AM65="",IFERROR(VALUE(LEFT('Base Encuesta'!K65,1)),"")&gt;=3),"",VALUE(LEFT('Base Encuesta'!AM65,1)))</f>
        <v/>
      </c>
      <c r="AE91" t="str">
        <f>IF(OR('Base Encuesta'!AN65="",IFERROR(VALUE(LEFT('Base Encuesta'!K65,1)),"")&gt;=3),"",VALUE(LEFT('Base Encuesta'!AN65,1)))</f>
        <v/>
      </c>
      <c r="AF91" t="str">
        <f>IF(OR('Base Encuesta'!AO65="",IFERROR(VALUE(LEFT('Base Encuesta'!K65,1)),"")&gt;=3),"",VALUE(LEFT('Base Encuesta'!AO65,1)))</f>
        <v/>
      </c>
      <c r="AG91" t="str">
        <f>IF(OR('Base Encuesta'!AQ65="",IFERROR(VALUE(LEFT('Base Encuesta'!K65,1)),"")&gt;=3),"",VALUE(LEFT('Base Encuesta'!AQ65,1)))</f>
        <v/>
      </c>
      <c r="AH91" t="str">
        <f>IF(OR('Base Encuesta'!AR65="",IFERROR(VALUE(LEFT('Base Encuesta'!K65,1)),"")&gt;=3),"",VALUE(LEFT('Base Encuesta'!AR65,1)))</f>
        <v/>
      </c>
    </row>
    <row r="92" spans="1:34">
      <c r="A92" t="str">
        <f>IF('Base Encuesta'!C66="","",'Base Encuesta'!C66)</f>
        <v/>
      </c>
      <c r="B92" t="str">
        <f>IF('Base Encuesta'!D66="","",'Base Encuesta'!D66)</f>
        <v/>
      </c>
      <c r="C92" t="str">
        <f>IF('Base Encuesta'!E66="","",'Base Encuesta'!E66)</f>
        <v/>
      </c>
      <c r="D92" t="str">
        <f>IF('Base Encuesta'!F66="","",'Base Encuesta'!F66)</f>
        <v/>
      </c>
      <c r="E92" t="str">
        <f>IF('Base Encuesta'!G66="","",'Base Encuesta'!G66)</f>
        <v/>
      </c>
      <c r="F92" t="str">
        <f>IF('Base Encuesta'!H66="","",'Base Encuesta'!H66)</f>
        <v/>
      </c>
      <c r="G92" t="str">
        <f>IF('Base Encuesta'!I66="","",'Base Encuesta'!I66)</f>
        <v/>
      </c>
      <c r="H92" t="str">
        <f>IF('Base Encuesta'!J66="","",'Base Encuesta'!J66)</f>
        <v/>
      </c>
      <c r="I92" t="str">
        <f>IF('Base Encuesta'!K66="","",'Base Encuesta'!K66)</f>
        <v/>
      </c>
      <c r="J92" t="str">
        <f>IF(OR('Base Encuesta'!P66="",IFERROR(VALUE(LEFT('Base Encuesta'!K66,1)),"")&gt;=3),"",PROPER(TRIM('Base Encuesta'!P66)))</f>
        <v/>
      </c>
      <c r="K92" t="str">
        <f>IF(OR('Base Encuesta'!Q66="",IFERROR(VALUE(LEFT('Base Encuesta'!K66,1)),"")&gt;=3),"",'Base Encuesta'!Q66)</f>
        <v/>
      </c>
      <c r="L92" t="str">
        <f>IF(OR('Base Encuesta'!R66="",IFERROR(VALUE(LEFT('Base Encuesta'!K66,1)),"")&gt;=3),"",VALUE(LEFT('Base Encuesta'!R66,1)))</f>
        <v/>
      </c>
      <c r="M92" t="str">
        <f>IF(OR('Base Encuesta'!S66="",IFERROR(VALUE(LEFT('Base Encuesta'!K66,1)),"")&gt;=3),"",VALUE(LEFT('Base Encuesta'!S66,1)))</f>
        <v/>
      </c>
      <c r="N92" t="str">
        <f>IF(OR('Base Encuesta'!T66="",IFERROR(VALUE(LEFT('Base Encuesta'!K66,1)),"")&gt;=3),"",VALUE(LEFT('Base Encuesta'!T66,1)))</f>
        <v/>
      </c>
      <c r="O92" t="str">
        <f>IF(OR('Base Encuesta'!V66="",IFERROR(VALUE(LEFT('Base Encuesta'!K66,1)),"")&gt;=3),"",VALUE(LEFT('Base Encuesta'!V66,1)))</f>
        <v/>
      </c>
      <c r="P92" t="str">
        <f>IF(OR('Base Encuesta'!W66="",IFERROR(VALUE(LEFT('Base Encuesta'!K66,1)),"")&gt;=3),"",VALUE(LEFT('Base Encuesta'!W66,1)))</f>
        <v/>
      </c>
      <c r="Q92" t="str">
        <f>IF(OR('Base Encuesta'!X66="",IFERROR(VALUE(LEFT('Base Encuesta'!K66,1)),"")&gt;=3),"",VALUE(LEFT('Base Encuesta'!X66,1)))</f>
        <v/>
      </c>
      <c r="R92" t="str">
        <f>IF(OR('Base Encuesta'!Y66="",IFERROR(VALUE(LEFT('Base Encuesta'!K66,1)),"")&gt;=3),"",VALUE(LEFT('Base Encuesta'!Y66,1)))</f>
        <v/>
      </c>
      <c r="S92" t="str">
        <f>IF(OR('Base Encuesta'!Z66="",IFERROR(VALUE(LEFT('Base Encuesta'!K66,1)),"")&gt;=3),"",VALUE(LEFT('Base Encuesta'!Z66,1)))</f>
        <v/>
      </c>
      <c r="T92" t="str">
        <f>IF(OR('Base Encuesta'!AA66="",IFERROR(VALUE(LEFT('Base Encuesta'!K66,1)),"")&gt;=3),"",VALUE(LEFT('Base Encuesta'!AA66,1)))</f>
        <v/>
      </c>
      <c r="U92" t="str">
        <f>IF(OR('Base Encuesta'!AB66="",IFERROR(VALUE(LEFT('Base Encuesta'!K66,1)),"")&gt;=3),"",VALUE(LEFT('Base Encuesta'!AB66,1)))</f>
        <v/>
      </c>
      <c r="V92" t="str">
        <f>IF(OR('Base Encuesta'!AC66="",IFERROR(VALUE(LEFT('Base Encuesta'!K66,1)),"")&gt;=3),"",VALUE(LEFT('Base Encuesta'!AC66,1)))</f>
        <v/>
      </c>
      <c r="W92" t="str">
        <f>IF(OR('Base Encuesta'!AE66="",IFERROR(VALUE(LEFT('Base Encuesta'!K66,1)),"")&gt;=3),"",VALUE(LEFT('Base Encuesta'!AE66,1)))</f>
        <v/>
      </c>
      <c r="X92" t="str">
        <f>IF(OR('Base Encuesta'!AF66="",IFERROR(VALUE(LEFT('Base Encuesta'!K66,1)),"")&gt;=3),"",IF(W92=1,VALUE(LEFT('Base Encuesta'!AF66,1)),""))</f>
        <v/>
      </c>
      <c r="Y92" t="str">
        <f>IF(OR('Base Encuesta'!AG66="",IFERROR(VALUE(LEFT('Base Encuesta'!K66,1)),"")&gt;=3),"",IF(W92=1,VALUE(LEFT('Base Encuesta'!AG66,1)),""))</f>
        <v/>
      </c>
      <c r="Z92" t="str">
        <f>IF(OR('Base Encuesta'!AH66="",IFERROR(VALUE(LEFT('Base Encuesta'!K66,1)),"")&gt;=3),"",IF(W92=1,VALUE(LEFT('Base Encuesta'!AH66,1)),""))</f>
        <v/>
      </c>
      <c r="AA92" t="str">
        <f>IF(OR('Base Encuesta'!AI66="",IFERROR(VALUE(LEFT('Base Encuesta'!K66,1)),"")&gt;=3),"",IF(W92=1,VALUE(LEFT('Base Encuesta'!AI66,1)),""))</f>
        <v/>
      </c>
      <c r="AB92" t="str">
        <f>IF(OR('Base Encuesta'!AJ66="",IFERROR(VALUE(LEFT('Base Encuesta'!K66,1)),"")&gt;=3),"",IF(W92=1,VALUE(LEFT('Base Encuesta'!AJ66,1)),""))</f>
        <v/>
      </c>
      <c r="AC92" t="str">
        <f>IF(OR('Base Encuesta'!AL66="",IFERROR(VALUE(LEFT('Base Encuesta'!K66,1)),"")&gt;=3),"",VALUE(LEFT('Base Encuesta'!AL66,1)))</f>
        <v/>
      </c>
      <c r="AD92" t="str">
        <f>IF(OR('Base Encuesta'!AM66="",IFERROR(VALUE(LEFT('Base Encuesta'!K66,1)),"")&gt;=3),"",VALUE(LEFT('Base Encuesta'!AM66,1)))</f>
        <v/>
      </c>
      <c r="AE92" t="str">
        <f>IF(OR('Base Encuesta'!AN66="",IFERROR(VALUE(LEFT('Base Encuesta'!K66,1)),"")&gt;=3),"",VALUE(LEFT('Base Encuesta'!AN66,1)))</f>
        <v/>
      </c>
      <c r="AF92" t="str">
        <f>IF(OR('Base Encuesta'!AO66="",IFERROR(VALUE(LEFT('Base Encuesta'!K66,1)),"")&gt;=3),"",VALUE(LEFT('Base Encuesta'!AO66,1)))</f>
        <v/>
      </c>
      <c r="AG92" t="str">
        <f>IF(OR('Base Encuesta'!AQ66="",IFERROR(VALUE(LEFT('Base Encuesta'!K66,1)),"")&gt;=3),"",VALUE(LEFT('Base Encuesta'!AQ66,1)))</f>
        <v/>
      </c>
      <c r="AH92" t="str">
        <f>IF(OR('Base Encuesta'!AR66="",IFERROR(VALUE(LEFT('Base Encuesta'!K66,1)),"")&gt;=3),"",VALUE(LEFT('Base Encuesta'!AR66,1)))</f>
        <v/>
      </c>
    </row>
    <row r="93" spans="1:34">
      <c r="A93" t="str">
        <f>IF('Base Encuesta'!C67="","",'Base Encuesta'!C67)</f>
        <v/>
      </c>
      <c r="B93" t="str">
        <f>IF('Base Encuesta'!D67="","",'Base Encuesta'!D67)</f>
        <v/>
      </c>
      <c r="C93" t="str">
        <f>IF('Base Encuesta'!E67="","",'Base Encuesta'!E67)</f>
        <v/>
      </c>
      <c r="D93" t="str">
        <f>IF('Base Encuesta'!F67="","",'Base Encuesta'!F67)</f>
        <v/>
      </c>
      <c r="E93" t="str">
        <f>IF('Base Encuesta'!G67="","",'Base Encuesta'!G67)</f>
        <v/>
      </c>
      <c r="F93" t="str">
        <f>IF('Base Encuesta'!H67="","",'Base Encuesta'!H67)</f>
        <v/>
      </c>
      <c r="G93" t="str">
        <f>IF('Base Encuesta'!I67="","",'Base Encuesta'!I67)</f>
        <v/>
      </c>
      <c r="H93" t="str">
        <f>IF('Base Encuesta'!J67="","",'Base Encuesta'!J67)</f>
        <v/>
      </c>
      <c r="I93" t="str">
        <f>IF('Base Encuesta'!K67="","",'Base Encuesta'!K67)</f>
        <v/>
      </c>
      <c r="J93" t="str">
        <f>IF(OR('Base Encuesta'!P67="",IFERROR(VALUE(LEFT('Base Encuesta'!K67,1)),"")&gt;=3),"",PROPER(TRIM('Base Encuesta'!P67)))</f>
        <v/>
      </c>
      <c r="K93" t="str">
        <f>IF(OR('Base Encuesta'!Q67="",IFERROR(VALUE(LEFT('Base Encuesta'!K67,1)),"")&gt;=3),"",'Base Encuesta'!Q67)</f>
        <v/>
      </c>
      <c r="L93" t="str">
        <f>IF(OR('Base Encuesta'!R67="",IFERROR(VALUE(LEFT('Base Encuesta'!K67,1)),"")&gt;=3),"",VALUE(LEFT('Base Encuesta'!R67,1)))</f>
        <v/>
      </c>
      <c r="M93" t="str">
        <f>IF(OR('Base Encuesta'!S67="",IFERROR(VALUE(LEFT('Base Encuesta'!K67,1)),"")&gt;=3),"",VALUE(LEFT('Base Encuesta'!S67,1)))</f>
        <v/>
      </c>
      <c r="N93" t="str">
        <f>IF(OR('Base Encuesta'!T67="",IFERROR(VALUE(LEFT('Base Encuesta'!K67,1)),"")&gt;=3),"",VALUE(LEFT('Base Encuesta'!T67,1)))</f>
        <v/>
      </c>
      <c r="O93" t="str">
        <f>IF(OR('Base Encuesta'!V67="",IFERROR(VALUE(LEFT('Base Encuesta'!K67,1)),"")&gt;=3),"",VALUE(LEFT('Base Encuesta'!V67,1)))</f>
        <v/>
      </c>
      <c r="P93" t="str">
        <f>IF(OR('Base Encuesta'!W67="",IFERROR(VALUE(LEFT('Base Encuesta'!K67,1)),"")&gt;=3),"",VALUE(LEFT('Base Encuesta'!W67,1)))</f>
        <v/>
      </c>
      <c r="Q93" t="str">
        <f>IF(OR('Base Encuesta'!X67="",IFERROR(VALUE(LEFT('Base Encuesta'!K67,1)),"")&gt;=3),"",VALUE(LEFT('Base Encuesta'!X67,1)))</f>
        <v/>
      </c>
      <c r="R93" t="str">
        <f>IF(OR('Base Encuesta'!Y67="",IFERROR(VALUE(LEFT('Base Encuesta'!K67,1)),"")&gt;=3),"",VALUE(LEFT('Base Encuesta'!Y67,1)))</f>
        <v/>
      </c>
      <c r="S93" t="str">
        <f>IF(OR('Base Encuesta'!Z67="",IFERROR(VALUE(LEFT('Base Encuesta'!K67,1)),"")&gt;=3),"",VALUE(LEFT('Base Encuesta'!Z67,1)))</f>
        <v/>
      </c>
      <c r="T93" t="str">
        <f>IF(OR('Base Encuesta'!AA67="",IFERROR(VALUE(LEFT('Base Encuesta'!K67,1)),"")&gt;=3),"",VALUE(LEFT('Base Encuesta'!AA67,1)))</f>
        <v/>
      </c>
      <c r="U93" t="str">
        <f>IF(OR('Base Encuesta'!AB67="",IFERROR(VALUE(LEFT('Base Encuesta'!K67,1)),"")&gt;=3),"",VALUE(LEFT('Base Encuesta'!AB67,1)))</f>
        <v/>
      </c>
      <c r="V93" t="str">
        <f>IF(OR('Base Encuesta'!AC67="",IFERROR(VALUE(LEFT('Base Encuesta'!K67,1)),"")&gt;=3),"",VALUE(LEFT('Base Encuesta'!AC67,1)))</f>
        <v/>
      </c>
      <c r="W93" t="str">
        <f>IF(OR('Base Encuesta'!AE67="",IFERROR(VALUE(LEFT('Base Encuesta'!K67,1)),"")&gt;=3),"",VALUE(LEFT('Base Encuesta'!AE67,1)))</f>
        <v/>
      </c>
      <c r="X93" t="str">
        <f>IF(OR('Base Encuesta'!AF67="",IFERROR(VALUE(LEFT('Base Encuesta'!K67,1)),"")&gt;=3),"",IF(W93=1,VALUE(LEFT('Base Encuesta'!AF67,1)),""))</f>
        <v/>
      </c>
      <c r="Y93" t="str">
        <f>IF(OR('Base Encuesta'!AG67="",IFERROR(VALUE(LEFT('Base Encuesta'!K67,1)),"")&gt;=3),"",IF(W93=1,VALUE(LEFT('Base Encuesta'!AG67,1)),""))</f>
        <v/>
      </c>
      <c r="Z93" t="str">
        <f>IF(OR('Base Encuesta'!AH67="",IFERROR(VALUE(LEFT('Base Encuesta'!K67,1)),"")&gt;=3),"",IF(W93=1,VALUE(LEFT('Base Encuesta'!AH67,1)),""))</f>
        <v/>
      </c>
      <c r="AA93" t="str">
        <f>IF(OR('Base Encuesta'!AI67="",IFERROR(VALUE(LEFT('Base Encuesta'!K67,1)),"")&gt;=3),"",IF(W93=1,VALUE(LEFT('Base Encuesta'!AI67,1)),""))</f>
        <v/>
      </c>
      <c r="AB93" t="str">
        <f>IF(OR('Base Encuesta'!AJ67="",IFERROR(VALUE(LEFT('Base Encuesta'!K67,1)),"")&gt;=3),"",IF(W93=1,VALUE(LEFT('Base Encuesta'!AJ67,1)),""))</f>
        <v/>
      </c>
      <c r="AC93" t="str">
        <f>IF(OR('Base Encuesta'!AL67="",IFERROR(VALUE(LEFT('Base Encuesta'!K67,1)),"")&gt;=3),"",VALUE(LEFT('Base Encuesta'!AL67,1)))</f>
        <v/>
      </c>
      <c r="AD93" t="str">
        <f>IF(OR('Base Encuesta'!AM67="",IFERROR(VALUE(LEFT('Base Encuesta'!K67,1)),"")&gt;=3),"",VALUE(LEFT('Base Encuesta'!AM67,1)))</f>
        <v/>
      </c>
      <c r="AE93" t="str">
        <f>IF(OR('Base Encuesta'!AN67="",IFERROR(VALUE(LEFT('Base Encuesta'!K67,1)),"")&gt;=3),"",VALUE(LEFT('Base Encuesta'!AN67,1)))</f>
        <v/>
      </c>
      <c r="AF93" t="str">
        <f>IF(OR('Base Encuesta'!AO67="",IFERROR(VALUE(LEFT('Base Encuesta'!K67,1)),"")&gt;=3),"",VALUE(LEFT('Base Encuesta'!AO67,1)))</f>
        <v/>
      </c>
      <c r="AG93" t="str">
        <f>IF(OR('Base Encuesta'!AQ67="",IFERROR(VALUE(LEFT('Base Encuesta'!K67,1)),"")&gt;=3),"",VALUE(LEFT('Base Encuesta'!AQ67,1)))</f>
        <v/>
      </c>
      <c r="AH93" t="str">
        <f>IF(OR('Base Encuesta'!AR67="",IFERROR(VALUE(LEFT('Base Encuesta'!K67,1)),"")&gt;=3),"",VALUE(LEFT('Base Encuesta'!AR67,1)))</f>
        <v/>
      </c>
    </row>
    <row r="94" spans="1:34">
      <c r="A94" t="str">
        <f>IF('Base Encuesta'!C68="","",'Base Encuesta'!C68)</f>
        <v/>
      </c>
      <c r="B94" t="str">
        <f>IF('Base Encuesta'!D68="","",'Base Encuesta'!D68)</f>
        <v/>
      </c>
      <c r="C94" t="str">
        <f>IF('Base Encuesta'!E68="","",'Base Encuesta'!E68)</f>
        <v/>
      </c>
      <c r="D94" t="str">
        <f>IF('Base Encuesta'!F68="","",'Base Encuesta'!F68)</f>
        <v/>
      </c>
      <c r="E94" t="str">
        <f>IF('Base Encuesta'!G68="","",'Base Encuesta'!G68)</f>
        <v/>
      </c>
      <c r="F94" t="str">
        <f>IF('Base Encuesta'!H68="","",'Base Encuesta'!H68)</f>
        <v/>
      </c>
      <c r="G94" t="str">
        <f>IF('Base Encuesta'!I68="","",'Base Encuesta'!I68)</f>
        <v/>
      </c>
      <c r="H94" t="str">
        <f>IF('Base Encuesta'!J68="","",'Base Encuesta'!J68)</f>
        <v/>
      </c>
      <c r="I94" t="str">
        <f>IF('Base Encuesta'!K68="","",'Base Encuesta'!K68)</f>
        <v/>
      </c>
      <c r="J94" t="str">
        <f>IF(OR('Base Encuesta'!P68="",IFERROR(VALUE(LEFT('Base Encuesta'!K68,1)),"")&gt;=3),"",PROPER(TRIM('Base Encuesta'!P68)))</f>
        <v/>
      </c>
      <c r="K94" t="str">
        <f>IF(OR('Base Encuesta'!Q68="",IFERROR(VALUE(LEFT('Base Encuesta'!K68,1)),"")&gt;=3),"",'Base Encuesta'!Q68)</f>
        <v/>
      </c>
      <c r="L94" t="str">
        <f>IF(OR('Base Encuesta'!R68="",IFERROR(VALUE(LEFT('Base Encuesta'!K68,1)),"")&gt;=3),"",VALUE(LEFT('Base Encuesta'!R68,1)))</f>
        <v/>
      </c>
      <c r="M94" t="str">
        <f>IF(OR('Base Encuesta'!S68="",IFERROR(VALUE(LEFT('Base Encuesta'!K68,1)),"")&gt;=3),"",VALUE(LEFT('Base Encuesta'!S68,1)))</f>
        <v/>
      </c>
      <c r="N94" t="str">
        <f>IF(OR('Base Encuesta'!T68="",IFERROR(VALUE(LEFT('Base Encuesta'!K68,1)),"")&gt;=3),"",VALUE(LEFT('Base Encuesta'!T68,1)))</f>
        <v/>
      </c>
      <c r="O94" t="str">
        <f>IF(OR('Base Encuesta'!V68="",IFERROR(VALUE(LEFT('Base Encuesta'!K68,1)),"")&gt;=3),"",VALUE(LEFT('Base Encuesta'!V68,1)))</f>
        <v/>
      </c>
      <c r="P94" t="str">
        <f>IF(OR('Base Encuesta'!W68="",IFERROR(VALUE(LEFT('Base Encuesta'!K68,1)),"")&gt;=3),"",VALUE(LEFT('Base Encuesta'!W68,1)))</f>
        <v/>
      </c>
      <c r="Q94" t="str">
        <f>IF(OR('Base Encuesta'!X68="",IFERROR(VALUE(LEFT('Base Encuesta'!K68,1)),"")&gt;=3),"",VALUE(LEFT('Base Encuesta'!X68,1)))</f>
        <v/>
      </c>
      <c r="R94" t="str">
        <f>IF(OR('Base Encuesta'!Y68="",IFERROR(VALUE(LEFT('Base Encuesta'!K68,1)),"")&gt;=3),"",VALUE(LEFT('Base Encuesta'!Y68,1)))</f>
        <v/>
      </c>
      <c r="S94" t="str">
        <f>IF(OR('Base Encuesta'!Z68="",IFERROR(VALUE(LEFT('Base Encuesta'!K68,1)),"")&gt;=3),"",VALUE(LEFT('Base Encuesta'!Z68,1)))</f>
        <v/>
      </c>
      <c r="T94" t="str">
        <f>IF(OR('Base Encuesta'!AA68="",IFERROR(VALUE(LEFT('Base Encuesta'!K68,1)),"")&gt;=3),"",VALUE(LEFT('Base Encuesta'!AA68,1)))</f>
        <v/>
      </c>
      <c r="U94" t="str">
        <f>IF(OR('Base Encuesta'!AB68="",IFERROR(VALUE(LEFT('Base Encuesta'!K68,1)),"")&gt;=3),"",VALUE(LEFT('Base Encuesta'!AB68,1)))</f>
        <v/>
      </c>
      <c r="V94" t="str">
        <f>IF(OR('Base Encuesta'!AC68="",IFERROR(VALUE(LEFT('Base Encuesta'!K68,1)),"")&gt;=3),"",VALUE(LEFT('Base Encuesta'!AC68,1)))</f>
        <v/>
      </c>
      <c r="W94" t="str">
        <f>IF(OR('Base Encuesta'!AE68="",IFERROR(VALUE(LEFT('Base Encuesta'!K68,1)),"")&gt;=3),"",VALUE(LEFT('Base Encuesta'!AE68,1)))</f>
        <v/>
      </c>
      <c r="X94" t="str">
        <f>IF(OR('Base Encuesta'!AF68="",IFERROR(VALUE(LEFT('Base Encuesta'!K68,1)),"")&gt;=3),"",IF(W94=1,VALUE(LEFT('Base Encuesta'!AF68,1)),""))</f>
        <v/>
      </c>
      <c r="Y94" t="str">
        <f>IF(OR('Base Encuesta'!AG68="",IFERROR(VALUE(LEFT('Base Encuesta'!K68,1)),"")&gt;=3),"",IF(W94=1,VALUE(LEFT('Base Encuesta'!AG68,1)),""))</f>
        <v/>
      </c>
      <c r="Z94" t="str">
        <f>IF(OR('Base Encuesta'!AH68="",IFERROR(VALUE(LEFT('Base Encuesta'!K68,1)),"")&gt;=3),"",IF(W94=1,VALUE(LEFT('Base Encuesta'!AH68,1)),""))</f>
        <v/>
      </c>
      <c r="AA94" t="str">
        <f>IF(OR('Base Encuesta'!AI68="",IFERROR(VALUE(LEFT('Base Encuesta'!K68,1)),"")&gt;=3),"",IF(W94=1,VALUE(LEFT('Base Encuesta'!AI68,1)),""))</f>
        <v/>
      </c>
      <c r="AB94" t="str">
        <f>IF(OR('Base Encuesta'!AJ68="",IFERROR(VALUE(LEFT('Base Encuesta'!K68,1)),"")&gt;=3),"",IF(W94=1,VALUE(LEFT('Base Encuesta'!AJ68,1)),""))</f>
        <v/>
      </c>
      <c r="AC94" t="str">
        <f>IF(OR('Base Encuesta'!AL68="",IFERROR(VALUE(LEFT('Base Encuesta'!K68,1)),"")&gt;=3),"",VALUE(LEFT('Base Encuesta'!AL68,1)))</f>
        <v/>
      </c>
      <c r="AD94" t="str">
        <f>IF(OR('Base Encuesta'!AM68="",IFERROR(VALUE(LEFT('Base Encuesta'!K68,1)),"")&gt;=3),"",VALUE(LEFT('Base Encuesta'!AM68,1)))</f>
        <v/>
      </c>
      <c r="AE94" t="str">
        <f>IF(OR('Base Encuesta'!AN68="",IFERROR(VALUE(LEFT('Base Encuesta'!K68,1)),"")&gt;=3),"",VALUE(LEFT('Base Encuesta'!AN68,1)))</f>
        <v/>
      </c>
      <c r="AF94" t="str">
        <f>IF(OR('Base Encuesta'!AO68="",IFERROR(VALUE(LEFT('Base Encuesta'!K68,1)),"")&gt;=3),"",VALUE(LEFT('Base Encuesta'!AO68,1)))</f>
        <v/>
      </c>
      <c r="AG94" t="str">
        <f>IF(OR('Base Encuesta'!AQ68="",IFERROR(VALUE(LEFT('Base Encuesta'!K68,1)),"")&gt;=3),"",VALUE(LEFT('Base Encuesta'!AQ68,1)))</f>
        <v/>
      </c>
      <c r="AH94" t="str">
        <f>IF(OR('Base Encuesta'!AR68="",IFERROR(VALUE(LEFT('Base Encuesta'!K68,1)),"")&gt;=3),"",VALUE(LEFT('Base Encuesta'!AR68,1)))</f>
        <v/>
      </c>
    </row>
    <row r="95" spans="1:34">
      <c r="A95" t="str">
        <f>IF('Base Encuesta'!C69="","",'Base Encuesta'!C69)</f>
        <v/>
      </c>
      <c r="B95" t="str">
        <f>IF('Base Encuesta'!D69="","",'Base Encuesta'!D69)</f>
        <v/>
      </c>
      <c r="C95" t="str">
        <f>IF('Base Encuesta'!E69="","",'Base Encuesta'!E69)</f>
        <v/>
      </c>
      <c r="D95" t="str">
        <f>IF('Base Encuesta'!F69="","",'Base Encuesta'!F69)</f>
        <v/>
      </c>
      <c r="E95" t="str">
        <f>IF('Base Encuesta'!G69="","",'Base Encuesta'!G69)</f>
        <v/>
      </c>
      <c r="F95" t="str">
        <f>IF('Base Encuesta'!H69="","",'Base Encuesta'!H69)</f>
        <v/>
      </c>
      <c r="G95" t="str">
        <f>IF('Base Encuesta'!I69="","",'Base Encuesta'!I69)</f>
        <v/>
      </c>
      <c r="H95" t="str">
        <f>IF('Base Encuesta'!J69="","",'Base Encuesta'!J69)</f>
        <v/>
      </c>
      <c r="I95" t="str">
        <f>IF('Base Encuesta'!K69="","",'Base Encuesta'!K69)</f>
        <v/>
      </c>
      <c r="J95" t="str">
        <f>IF(OR('Base Encuesta'!P69="",IFERROR(VALUE(LEFT('Base Encuesta'!K69,1)),"")&gt;=3),"",PROPER(TRIM('Base Encuesta'!P69)))</f>
        <v/>
      </c>
      <c r="K95" t="str">
        <f>IF(OR('Base Encuesta'!Q69="",IFERROR(VALUE(LEFT('Base Encuesta'!K69,1)),"")&gt;=3),"",'Base Encuesta'!Q69)</f>
        <v/>
      </c>
      <c r="L95" t="str">
        <f>IF(OR('Base Encuesta'!R69="",IFERROR(VALUE(LEFT('Base Encuesta'!K69,1)),"")&gt;=3),"",VALUE(LEFT('Base Encuesta'!R69,1)))</f>
        <v/>
      </c>
      <c r="M95" t="str">
        <f>IF(OR('Base Encuesta'!S69="",IFERROR(VALUE(LEFT('Base Encuesta'!K69,1)),"")&gt;=3),"",VALUE(LEFT('Base Encuesta'!S69,1)))</f>
        <v/>
      </c>
      <c r="N95" t="str">
        <f>IF(OR('Base Encuesta'!T69="",IFERROR(VALUE(LEFT('Base Encuesta'!K69,1)),"")&gt;=3),"",VALUE(LEFT('Base Encuesta'!T69,1)))</f>
        <v/>
      </c>
      <c r="O95" t="str">
        <f>IF(OR('Base Encuesta'!V69="",IFERROR(VALUE(LEFT('Base Encuesta'!K69,1)),"")&gt;=3),"",VALUE(LEFT('Base Encuesta'!V69,1)))</f>
        <v/>
      </c>
      <c r="P95" t="str">
        <f>IF(OR('Base Encuesta'!W69="",IFERROR(VALUE(LEFT('Base Encuesta'!K69,1)),"")&gt;=3),"",VALUE(LEFT('Base Encuesta'!W69,1)))</f>
        <v/>
      </c>
      <c r="Q95" t="str">
        <f>IF(OR('Base Encuesta'!X69="",IFERROR(VALUE(LEFT('Base Encuesta'!K69,1)),"")&gt;=3),"",VALUE(LEFT('Base Encuesta'!X69,1)))</f>
        <v/>
      </c>
      <c r="R95" t="str">
        <f>IF(OR('Base Encuesta'!Y69="",IFERROR(VALUE(LEFT('Base Encuesta'!K69,1)),"")&gt;=3),"",VALUE(LEFT('Base Encuesta'!Y69,1)))</f>
        <v/>
      </c>
      <c r="S95" t="str">
        <f>IF(OR('Base Encuesta'!Z69="",IFERROR(VALUE(LEFT('Base Encuesta'!K69,1)),"")&gt;=3),"",VALUE(LEFT('Base Encuesta'!Z69,1)))</f>
        <v/>
      </c>
      <c r="T95" t="str">
        <f>IF(OR('Base Encuesta'!AA69="",IFERROR(VALUE(LEFT('Base Encuesta'!K69,1)),"")&gt;=3),"",VALUE(LEFT('Base Encuesta'!AA69,1)))</f>
        <v/>
      </c>
      <c r="U95" t="str">
        <f>IF(OR('Base Encuesta'!AB69="",IFERROR(VALUE(LEFT('Base Encuesta'!K69,1)),"")&gt;=3),"",VALUE(LEFT('Base Encuesta'!AB69,1)))</f>
        <v/>
      </c>
      <c r="V95" t="str">
        <f>IF(OR('Base Encuesta'!AC69="",IFERROR(VALUE(LEFT('Base Encuesta'!K69,1)),"")&gt;=3),"",VALUE(LEFT('Base Encuesta'!AC69,1)))</f>
        <v/>
      </c>
      <c r="W95" t="str">
        <f>IF(OR('Base Encuesta'!AE69="",IFERROR(VALUE(LEFT('Base Encuesta'!K69,1)),"")&gt;=3),"",VALUE(LEFT('Base Encuesta'!AE69,1)))</f>
        <v/>
      </c>
      <c r="X95" t="str">
        <f>IF(OR('Base Encuesta'!AF69="",IFERROR(VALUE(LEFT('Base Encuesta'!K69,1)),"")&gt;=3),"",IF(W95=1,VALUE(LEFT('Base Encuesta'!AF69,1)),""))</f>
        <v/>
      </c>
      <c r="Y95" t="str">
        <f>IF(OR('Base Encuesta'!AG69="",IFERROR(VALUE(LEFT('Base Encuesta'!K69,1)),"")&gt;=3),"",IF(W95=1,VALUE(LEFT('Base Encuesta'!AG69,1)),""))</f>
        <v/>
      </c>
      <c r="Z95" t="str">
        <f>IF(OR('Base Encuesta'!AH69="",IFERROR(VALUE(LEFT('Base Encuesta'!K69,1)),"")&gt;=3),"",IF(W95=1,VALUE(LEFT('Base Encuesta'!AH69,1)),""))</f>
        <v/>
      </c>
      <c r="AA95" t="str">
        <f>IF(OR('Base Encuesta'!AI69="",IFERROR(VALUE(LEFT('Base Encuesta'!K69,1)),"")&gt;=3),"",IF(W95=1,VALUE(LEFT('Base Encuesta'!AI69,1)),""))</f>
        <v/>
      </c>
      <c r="AB95" t="str">
        <f>IF(OR('Base Encuesta'!AJ69="",IFERROR(VALUE(LEFT('Base Encuesta'!K69,1)),"")&gt;=3),"",IF(W95=1,VALUE(LEFT('Base Encuesta'!AJ69,1)),""))</f>
        <v/>
      </c>
      <c r="AC95" t="str">
        <f>IF(OR('Base Encuesta'!AL69="",IFERROR(VALUE(LEFT('Base Encuesta'!K69,1)),"")&gt;=3),"",VALUE(LEFT('Base Encuesta'!AL69,1)))</f>
        <v/>
      </c>
      <c r="AD95" t="str">
        <f>IF(OR('Base Encuesta'!AM69="",IFERROR(VALUE(LEFT('Base Encuesta'!K69,1)),"")&gt;=3),"",VALUE(LEFT('Base Encuesta'!AM69,1)))</f>
        <v/>
      </c>
      <c r="AE95" t="str">
        <f>IF(OR('Base Encuesta'!AN69="",IFERROR(VALUE(LEFT('Base Encuesta'!K69,1)),"")&gt;=3),"",VALUE(LEFT('Base Encuesta'!AN69,1)))</f>
        <v/>
      </c>
      <c r="AF95" t="str">
        <f>IF(OR('Base Encuesta'!AO69="",IFERROR(VALUE(LEFT('Base Encuesta'!K69,1)),"")&gt;=3),"",VALUE(LEFT('Base Encuesta'!AO69,1)))</f>
        <v/>
      </c>
      <c r="AG95" t="str">
        <f>IF(OR('Base Encuesta'!AQ69="",IFERROR(VALUE(LEFT('Base Encuesta'!K69,1)),"")&gt;=3),"",VALUE(LEFT('Base Encuesta'!AQ69,1)))</f>
        <v/>
      </c>
      <c r="AH95" t="str">
        <f>IF(OR('Base Encuesta'!AR69="",IFERROR(VALUE(LEFT('Base Encuesta'!K69,1)),"")&gt;=3),"",VALUE(LEFT('Base Encuesta'!AR69,1)))</f>
        <v/>
      </c>
    </row>
    <row r="96" spans="1:34">
      <c r="A96" t="str">
        <f>IF('Base Encuesta'!C70="","",'Base Encuesta'!C70)</f>
        <v/>
      </c>
      <c r="B96" t="str">
        <f>IF('Base Encuesta'!D70="","",'Base Encuesta'!D70)</f>
        <v/>
      </c>
      <c r="C96" t="str">
        <f>IF('Base Encuesta'!E70="","",'Base Encuesta'!E70)</f>
        <v/>
      </c>
      <c r="D96" t="str">
        <f>IF('Base Encuesta'!F70="","",'Base Encuesta'!F70)</f>
        <v/>
      </c>
      <c r="E96" t="str">
        <f>IF('Base Encuesta'!G70="","",'Base Encuesta'!G70)</f>
        <v/>
      </c>
      <c r="F96" t="str">
        <f>IF('Base Encuesta'!H70="","",'Base Encuesta'!H70)</f>
        <v/>
      </c>
      <c r="G96" t="str">
        <f>IF('Base Encuesta'!I70="","",'Base Encuesta'!I70)</f>
        <v/>
      </c>
      <c r="H96" t="str">
        <f>IF('Base Encuesta'!J70="","",'Base Encuesta'!J70)</f>
        <v/>
      </c>
      <c r="I96" t="str">
        <f>IF('Base Encuesta'!K70="","",'Base Encuesta'!K70)</f>
        <v/>
      </c>
      <c r="J96" t="str">
        <f>IF(OR('Base Encuesta'!P70="",IFERROR(VALUE(LEFT('Base Encuesta'!K70,1)),"")&gt;=3),"",PROPER(TRIM('Base Encuesta'!P70)))</f>
        <v/>
      </c>
      <c r="K96" t="str">
        <f>IF(OR('Base Encuesta'!Q70="",IFERROR(VALUE(LEFT('Base Encuesta'!K70,1)),"")&gt;=3),"",'Base Encuesta'!Q70)</f>
        <v/>
      </c>
      <c r="L96" t="str">
        <f>IF(OR('Base Encuesta'!R70="",IFERROR(VALUE(LEFT('Base Encuesta'!K70,1)),"")&gt;=3),"",VALUE(LEFT('Base Encuesta'!R70,1)))</f>
        <v/>
      </c>
      <c r="M96" t="str">
        <f>IF(OR('Base Encuesta'!S70="",IFERROR(VALUE(LEFT('Base Encuesta'!K70,1)),"")&gt;=3),"",VALUE(LEFT('Base Encuesta'!S70,1)))</f>
        <v/>
      </c>
      <c r="N96" t="str">
        <f>IF(OR('Base Encuesta'!T70="",IFERROR(VALUE(LEFT('Base Encuesta'!K70,1)),"")&gt;=3),"",VALUE(LEFT('Base Encuesta'!T70,1)))</f>
        <v/>
      </c>
      <c r="O96" t="str">
        <f>IF(OR('Base Encuesta'!V70="",IFERROR(VALUE(LEFT('Base Encuesta'!K70,1)),"")&gt;=3),"",VALUE(LEFT('Base Encuesta'!V70,1)))</f>
        <v/>
      </c>
      <c r="P96" t="str">
        <f>IF(OR('Base Encuesta'!W70="",IFERROR(VALUE(LEFT('Base Encuesta'!K70,1)),"")&gt;=3),"",VALUE(LEFT('Base Encuesta'!W70,1)))</f>
        <v/>
      </c>
      <c r="Q96" t="str">
        <f>IF(OR('Base Encuesta'!X70="",IFERROR(VALUE(LEFT('Base Encuesta'!K70,1)),"")&gt;=3),"",VALUE(LEFT('Base Encuesta'!X70,1)))</f>
        <v/>
      </c>
      <c r="R96" t="str">
        <f>IF(OR('Base Encuesta'!Y70="",IFERROR(VALUE(LEFT('Base Encuesta'!K70,1)),"")&gt;=3),"",VALUE(LEFT('Base Encuesta'!Y70,1)))</f>
        <v/>
      </c>
      <c r="S96" t="str">
        <f>IF(OR('Base Encuesta'!Z70="",IFERROR(VALUE(LEFT('Base Encuesta'!K70,1)),"")&gt;=3),"",VALUE(LEFT('Base Encuesta'!Z70,1)))</f>
        <v/>
      </c>
      <c r="T96" t="str">
        <f>IF(OR('Base Encuesta'!AA70="",IFERROR(VALUE(LEFT('Base Encuesta'!K70,1)),"")&gt;=3),"",VALUE(LEFT('Base Encuesta'!AA70,1)))</f>
        <v/>
      </c>
      <c r="U96" t="str">
        <f>IF(OR('Base Encuesta'!AB70="",IFERROR(VALUE(LEFT('Base Encuesta'!K70,1)),"")&gt;=3),"",VALUE(LEFT('Base Encuesta'!AB70,1)))</f>
        <v/>
      </c>
      <c r="V96" t="str">
        <f>IF(OR('Base Encuesta'!AC70="",IFERROR(VALUE(LEFT('Base Encuesta'!K70,1)),"")&gt;=3),"",VALUE(LEFT('Base Encuesta'!AC70,1)))</f>
        <v/>
      </c>
      <c r="W96" t="str">
        <f>IF(OR('Base Encuesta'!AE70="",IFERROR(VALUE(LEFT('Base Encuesta'!K70,1)),"")&gt;=3),"",VALUE(LEFT('Base Encuesta'!AE70,1)))</f>
        <v/>
      </c>
      <c r="X96" t="str">
        <f>IF(OR('Base Encuesta'!AF70="",IFERROR(VALUE(LEFT('Base Encuesta'!K70,1)),"")&gt;=3),"",IF(W96=1,VALUE(LEFT('Base Encuesta'!AF70,1)),""))</f>
        <v/>
      </c>
      <c r="Y96" t="str">
        <f>IF(OR('Base Encuesta'!AG70="",IFERROR(VALUE(LEFT('Base Encuesta'!K70,1)),"")&gt;=3),"",IF(W96=1,VALUE(LEFT('Base Encuesta'!AG70,1)),""))</f>
        <v/>
      </c>
      <c r="Z96" t="str">
        <f>IF(OR('Base Encuesta'!AH70="",IFERROR(VALUE(LEFT('Base Encuesta'!K70,1)),"")&gt;=3),"",IF(W96=1,VALUE(LEFT('Base Encuesta'!AH70,1)),""))</f>
        <v/>
      </c>
      <c r="AA96" t="str">
        <f>IF(OR('Base Encuesta'!AI70="",IFERROR(VALUE(LEFT('Base Encuesta'!K70,1)),"")&gt;=3),"",IF(W96=1,VALUE(LEFT('Base Encuesta'!AI70,1)),""))</f>
        <v/>
      </c>
      <c r="AB96" t="str">
        <f>IF(OR('Base Encuesta'!AJ70="",IFERROR(VALUE(LEFT('Base Encuesta'!K70,1)),"")&gt;=3),"",IF(W96=1,VALUE(LEFT('Base Encuesta'!AJ70,1)),""))</f>
        <v/>
      </c>
      <c r="AC96" t="str">
        <f>IF(OR('Base Encuesta'!AL70="",IFERROR(VALUE(LEFT('Base Encuesta'!K70,1)),"")&gt;=3),"",VALUE(LEFT('Base Encuesta'!AL70,1)))</f>
        <v/>
      </c>
      <c r="AD96" t="str">
        <f>IF(OR('Base Encuesta'!AM70="",IFERROR(VALUE(LEFT('Base Encuesta'!K70,1)),"")&gt;=3),"",VALUE(LEFT('Base Encuesta'!AM70,1)))</f>
        <v/>
      </c>
      <c r="AE96" t="str">
        <f>IF(OR('Base Encuesta'!AN70="",IFERROR(VALUE(LEFT('Base Encuesta'!K70,1)),"")&gt;=3),"",VALUE(LEFT('Base Encuesta'!AN70,1)))</f>
        <v/>
      </c>
      <c r="AF96" t="str">
        <f>IF(OR('Base Encuesta'!AO70="",IFERROR(VALUE(LEFT('Base Encuesta'!K70,1)),"")&gt;=3),"",VALUE(LEFT('Base Encuesta'!AO70,1)))</f>
        <v/>
      </c>
      <c r="AG96" t="str">
        <f>IF(OR('Base Encuesta'!AQ70="",IFERROR(VALUE(LEFT('Base Encuesta'!K70,1)),"")&gt;=3),"",VALUE(LEFT('Base Encuesta'!AQ70,1)))</f>
        <v/>
      </c>
      <c r="AH96" t="str">
        <f>IF(OR('Base Encuesta'!AR70="",IFERROR(VALUE(LEFT('Base Encuesta'!K70,1)),"")&gt;=3),"",VALUE(LEFT('Base Encuesta'!AR70,1)))</f>
        <v/>
      </c>
    </row>
    <row r="97" spans="1:34">
      <c r="A97" t="str">
        <f>IF('Base Encuesta'!C71="","",'Base Encuesta'!C71)</f>
        <v/>
      </c>
      <c r="B97" t="str">
        <f>IF('Base Encuesta'!D71="","",'Base Encuesta'!D71)</f>
        <v/>
      </c>
      <c r="C97" t="str">
        <f>IF('Base Encuesta'!E71="","",'Base Encuesta'!E71)</f>
        <v/>
      </c>
      <c r="D97" t="str">
        <f>IF('Base Encuesta'!F71="","",'Base Encuesta'!F71)</f>
        <v/>
      </c>
      <c r="E97" t="str">
        <f>IF('Base Encuesta'!G71="","",'Base Encuesta'!G71)</f>
        <v/>
      </c>
      <c r="F97" t="str">
        <f>IF('Base Encuesta'!H71="","",'Base Encuesta'!H71)</f>
        <v/>
      </c>
      <c r="G97" t="str">
        <f>IF('Base Encuesta'!I71="","",'Base Encuesta'!I71)</f>
        <v/>
      </c>
      <c r="H97" t="str">
        <f>IF('Base Encuesta'!J71="","",'Base Encuesta'!J71)</f>
        <v/>
      </c>
      <c r="I97" t="str">
        <f>IF('Base Encuesta'!K71="","",'Base Encuesta'!K71)</f>
        <v/>
      </c>
      <c r="J97" t="str">
        <f>IF(OR('Base Encuesta'!P71="",IFERROR(VALUE(LEFT('Base Encuesta'!K71,1)),"")&gt;=3),"",PROPER(TRIM('Base Encuesta'!P71)))</f>
        <v/>
      </c>
      <c r="K97" t="str">
        <f>IF(OR('Base Encuesta'!Q71="",IFERROR(VALUE(LEFT('Base Encuesta'!K71,1)),"")&gt;=3),"",'Base Encuesta'!Q71)</f>
        <v/>
      </c>
      <c r="L97" t="str">
        <f>IF(OR('Base Encuesta'!R71="",IFERROR(VALUE(LEFT('Base Encuesta'!K71,1)),"")&gt;=3),"",VALUE(LEFT('Base Encuesta'!R71,1)))</f>
        <v/>
      </c>
      <c r="M97" t="str">
        <f>IF(OR('Base Encuesta'!S71="",IFERROR(VALUE(LEFT('Base Encuesta'!K71,1)),"")&gt;=3),"",VALUE(LEFT('Base Encuesta'!S71,1)))</f>
        <v/>
      </c>
      <c r="N97" t="str">
        <f>IF(OR('Base Encuesta'!T71="",IFERROR(VALUE(LEFT('Base Encuesta'!K71,1)),"")&gt;=3),"",VALUE(LEFT('Base Encuesta'!T71,1)))</f>
        <v/>
      </c>
      <c r="O97" t="str">
        <f>IF(OR('Base Encuesta'!V71="",IFERROR(VALUE(LEFT('Base Encuesta'!K71,1)),"")&gt;=3),"",VALUE(LEFT('Base Encuesta'!V71,1)))</f>
        <v/>
      </c>
      <c r="P97" t="str">
        <f>IF(OR('Base Encuesta'!W71="",IFERROR(VALUE(LEFT('Base Encuesta'!K71,1)),"")&gt;=3),"",VALUE(LEFT('Base Encuesta'!W71,1)))</f>
        <v/>
      </c>
      <c r="Q97" t="str">
        <f>IF(OR('Base Encuesta'!X71="",IFERROR(VALUE(LEFT('Base Encuesta'!K71,1)),"")&gt;=3),"",VALUE(LEFT('Base Encuesta'!X71,1)))</f>
        <v/>
      </c>
      <c r="R97" t="str">
        <f>IF(OR('Base Encuesta'!Y71="",IFERROR(VALUE(LEFT('Base Encuesta'!K71,1)),"")&gt;=3),"",VALUE(LEFT('Base Encuesta'!Y71,1)))</f>
        <v/>
      </c>
      <c r="S97" t="str">
        <f>IF(OR('Base Encuesta'!Z71="",IFERROR(VALUE(LEFT('Base Encuesta'!K71,1)),"")&gt;=3),"",VALUE(LEFT('Base Encuesta'!Z71,1)))</f>
        <v/>
      </c>
      <c r="T97" t="str">
        <f>IF(OR('Base Encuesta'!AA71="",IFERROR(VALUE(LEFT('Base Encuesta'!K71,1)),"")&gt;=3),"",VALUE(LEFT('Base Encuesta'!AA71,1)))</f>
        <v/>
      </c>
      <c r="U97" t="str">
        <f>IF(OR('Base Encuesta'!AB71="",IFERROR(VALUE(LEFT('Base Encuesta'!K71,1)),"")&gt;=3),"",VALUE(LEFT('Base Encuesta'!AB71,1)))</f>
        <v/>
      </c>
      <c r="V97" t="str">
        <f>IF(OR('Base Encuesta'!AC71="",IFERROR(VALUE(LEFT('Base Encuesta'!K71,1)),"")&gt;=3),"",VALUE(LEFT('Base Encuesta'!AC71,1)))</f>
        <v/>
      </c>
      <c r="W97" t="str">
        <f>IF(OR('Base Encuesta'!AE71="",IFERROR(VALUE(LEFT('Base Encuesta'!K71,1)),"")&gt;=3),"",VALUE(LEFT('Base Encuesta'!AE71,1)))</f>
        <v/>
      </c>
      <c r="X97" t="str">
        <f>IF(OR('Base Encuesta'!AF71="",IFERROR(VALUE(LEFT('Base Encuesta'!K71,1)),"")&gt;=3),"",IF(W97=1,VALUE(LEFT('Base Encuesta'!AF71,1)),""))</f>
        <v/>
      </c>
      <c r="Y97" t="str">
        <f>IF(OR('Base Encuesta'!AG71="",IFERROR(VALUE(LEFT('Base Encuesta'!K71,1)),"")&gt;=3),"",IF(W97=1,VALUE(LEFT('Base Encuesta'!AG71,1)),""))</f>
        <v/>
      </c>
      <c r="Z97" t="str">
        <f>IF(OR('Base Encuesta'!AH71="",IFERROR(VALUE(LEFT('Base Encuesta'!K71,1)),"")&gt;=3),"",IF(W97=1,VALUE(LEFT('Base Encuesta'!AH71,1)),""))</f>
        <v/>
      </c>
      <c r="AA97" t="str">
        <f>IF(OR('Base Encuesta'!AI71="",IFERROR(VALUE(LEFT('Base Encuesta'!K71,1)),"")&gt;=3),"",IF(W97=1,VALUE(LEFT('Base Encuesta'!AI71,1)),""))</f>
        <v/>
      </c>
      <c r="AB97" t="str">
        <f>IF(OR('Base Encuesta'!AJ71="",IFERROR(VALUE(LEFT('Base Encuesta'!K71,1)),"")&gt;=3),"",IF(W97=1,VALUE(LEFT('Base Encuesta'!AJ71,1)),""))</f>
        <v/>
      </c>
      <c r="AC97" t="str">
        <f>IF(OR('Base Encuesta'!AL71="",IFERROR(VALUE(LEFT('Base Encuesta'!K71,1)),"")&gt;=3),"",VALUE(LEFT('Base Encuesta'!AL71,1)))</f>
        <v/>
      </c>
      <c r="AD97" t="str">
        <f>IF(OR('Base Encuesta'!AM71="",IFERROR(VALUE(LEFT('Base Encuesta'!K71,1)),"")&gt;=3),"",VALUE(LEFT('Base Encuesta'!AM71,1)))</f>
        <v/>
      </c>
      <c r="AE97" t="str">
        <f>IF(OR('Base Encuesta'!AN71="",IFERROR(VALUE(LEFT('Base Encuesta'!K71,1)),"")&gt;=3),"",VALUE(LEFT('Base Encuesta'!AN71,1)))</f>
        <v/>
      </c>
      <c r="AF97" t="str">
        <f>IF(OR('Base Encuesta'!AO71="",IFERROR(VALUE(LEFT('Base Encuesta'!K71,1)),"")&gt;=3),"",VALUE(LEFT('Base Encuesta'!AO71,1)))</f>
        <v/>
      </c>
      <c r="AG97" t="str">
        <f>IF(OR('Base Encuesta'!AQ71="",IFERROR(VALUE(LEFT('Base Encuesta'!K71,1)),"")&gt;=3),"",VALUE(LEFT('Base Encuesta'!AQ71,1)))</f>
        <v/>
      </c>
      <c r="AH97" t="str">
        <f>IF(OR('Base Encuesta'!AR71="",IFERROR(VALUE(LEFT('Base Encuesta'!K71,1)),"")&gt;=3),"",VALUE(LEFT('Base Encuesta'!AR71,1)))</f>
        <v/>
      </c>
    </row>
    <row r="98" spans="1:34">
      <c r="A98" t="str">
        <f>IF('Base Encuesta'!C72="","",'Base Encuesta'!C72)</f>
        <v/>
      </c>
      <c r="B98" t="str">
        <f>IF('Base Encuesta'!D72="","",'Base Encuesta'!D72)</f>
        <v/>
      </c>
      <c r="C98" t="str">
        <f>IF('Base Encuesta'!E72="","",'Base Encuesta'!E72)</f>
        <v/>
      </c>
      <c r="D98" t="str">
        <f>IF('Base Encuesta'!F72="","",'Base Encuesta'!F72)</f>
        <v/>
      </c>
      <c r="E98" t="str">
        <f>IF('Base Encuesta'!G72="","",'Base Encuesta'!G72)</f>
        <v/>
      </c>
      <c r="F98" t="str">
        <f>IF('Base Encuesta'!H72="","",'Base Encuesta'!H72)</f>
        <v/>
      </c>
      <c r="G98" t="str">
        <f>IF('Base Encuesta'!I72="","",'Base Encuesta'!I72)</f>
        <v/>
      </c>
      <c r="H98" t="str">
        <f>IF('Base Encuesta'!J72="","",'Base Encuesta'!J72)</f>
        <v/>
      </c>
      <c r="I98" t="str">
        <f>IF('Base Encuesta'!K72="","",'Base Encuesta'!K72)</f>
        <v/>
      </c>
      <c r="J98" t="str">
        <f>IF(OR('Base Encuesta'!P72="",IFERROR(VALUE(LEFT('Base Encuesta'!K72,1)),"")&gt;=3),"",PROPER(TRIM('Base Encuesta'!P72)))</f>
        <v/>
      </c>
      <c r="K98" t="str">
        <f>IF(OR('Base Encuesta'!Q72="",IFERROR(VALUE(LEFT('Base Encuesta'!K72,1)),"")&gt;=3),"",'Base Encuesta'!Q72)</f>
        <v/>
      </c>
      <c r="L98" t="str">
        <f>IF(OR('Base Encuesta'!R72="",IFERROR(VALUE(LEFT('Base Encuesta'!K72,1)),"")&gt;=3),"",VALUE(LEFT('Base Encuesta'!R72,1)))</f>
        <v/>
      </c>
      <c r="M98" t="str">
        <f>IF(OR('Base Encuesta'!S72="",IFERROR(VALUE(LEFT('Base Encuesta'!K72,1)),"")&gt;=3),"",VALUE(LEFT('Base Encuesta'!S72,1)))</f>
        <v/>
      </c>
      <c r="N98" t="str">
        <f>IF(OR('Base Encuesta'!T72="",IFERROR(VALUE(LEFT('Base Encuesta'!K72,1)),"")&gt;=3),"",VALUE(LEFT('Base Encuesta'!T72,1)))</f>
        <v/>
      </c>
      <c r="O98" t="str">
        <f>IF(OR('Base Encuesta'!V72="",IFERROR(VALUE(LEFT('Base Encuesta'!K72,1)),"")&gt;=3),"",VALUE(LEFT('Base Encuesta'!V72,1)))</f>
        <v/>
      </c>
      <c r="P98" t="str">
        <f>IF(OR('Base Encuesta'!W72="",IFERROR(VALUE(LEFT('Base Encuesta'!K72,1)),"")&gt;=3),"",VALUE(LEFT('Base Encuesta'!W72,1)))</f>
        <v/>
      </c>
      <c r="Q98" t="str">
        <f>IF(OR('Base Encuesta'!X72="",IFERROR(VALUE(LEFT('Base Encuesta'!K72,1)),"")&gt;=3),"",VALUE(LEFT('Base Encuesta'!X72,1)))</f>
        <v/>
      </c>
      <c r="R98" t="str">
        <f>IF(OR('Base Encuesta'!Y72="",IFERROR(VALUE(LEFT('Base Encuesta'!K72,1)),"")&gt;=3),"",VALUE(LEFT('Base Encuesta'!Y72,1)))</f>
        <v/>
      </c>
      <c r="S98" t="str">
        <f>IF(OR('Base Encuesta'!Z72="",IFERROR(VALUE(LEFT('Base Encuesta'!K72,1)),"")&gt;=3),"",VALUE(LEFT('Base Encuesta'!Z72,1)))</f>
        <v/>
      </c>
      <c r="T98" t="str">
        <f>IF(OR('Base Encuesta'!AA72="",IFERROR(VALUE(LEFT('Base Encuesta'!K72,1)),"")&gt;=3),"",VALUE(LEFT('Base Encuesta'!AA72,1)))</f>
        <v/>
      </c>
      <c r="U98" t="str">
        <f>IF(OR('Base Encuesta'!AB72="",IFERROR(VALUE(LEFT('Base Encuesta'!K72,1)),"")&gt;=3),"",VALUE(LEFT('Base Encuesta'!AB72,1)))</f>
        <v/>
      </c>
      <c r="V98" t="str">
        <f>IF(OR('Base Encuesta'!AC72="",IFERROR(VALUE(LEFT('Base Encuesta'!K72,1)),"")&gt;=3),"",VALUE(LEFT('Base Encuesta'!AC72,1)))</f>
        <v/>
      </c>
      <c r="W98" t="str">
        <f>IF(OR('Base Encuesta'!AE72="",IFERROR(VALUE(LEFT('Base Encuesta'!K72,1)),"")&gt;=3),"",VALUE(LEFT('Base Encuesta'!AE72,1)))</f>
        <v/>
      </c>
      <c r="X98" t="str">
        <f>IF(OR('Base Encuesta'!AF72="",IFERROR(VALUE(LEFT('Base Encuesta'!K72,1)),"")&gt;=3),"",IF(W98=1,VALUE(LEFT('Base Encuesta'!AF72,1)),""))</f>
        <v/>
      </c>
      <c r="Y98" t="str">
        <f>IF(OR('Base Encuesta'!AG72="",IFERROR(VALUE(LEFT('Base Encuesta'!K72,1)),"")&gt;=3),"",IF(W98=1,VALUE(LEFT('Base Encuesta'!AG72,1)),""))</f>
        <v/>
      </c>
      <c r="Z98" t="str">
        <f>IF(OR('Base Encuesta'!AH72="",IFERROR(VALUE(LEFT('Base Encuesta'!K72,1)),"")&gt;=3),"",IF(W98=1,VALUE(LEFT('Base Encuesta'!AH72,1)),""))</f>
        <v/>
      </c>
      <c r="AA98" t="str">
        <f>IF(OR('Base Encuesta'!AI72="",IFERROR(VALUE(LEFT('Base Encuesta'!K72,1)),"")&gt;=3),"",IF(W98=1,VALUE(LEFT('Base Encuesta'!AI72,1)),""))</f>
        <v/>
      </c>
      <c r="AB98" t="str">
        <f>IF(OR('Base Encuesta'!AJ72="",IFERROR(VALUE(LEFT('Base Encuesta'!K72,1)),"")&gt;=3),"",IF(W98=1,VALUE(LEFT('Base Encuesta'!AJ72,1)),""))</f>
        <v/>
      </c>
      <c r="AC98" t="str">
        <f>IF(OR('Base Encuesta'!AL72="",IFERROR(VALUE(LEFT('Base Encuesta'!K72,1)),"")&gt;=3),"",VALUE(LEFT('Base Encuesta'!AL72,1)))</f>
        <v/>
      </c>
      <c r="AD98" t="str">
        <f>IF(OR('Base Encuesta'!AM72="",IFERROR(VALUE(LEFT('Base Encuesta'!K72,1)),"")&gt;=3),"",VALUE(LEFT('Base Encuesta'!AM72,1)))</f>
        <v/>
      </c>
      <c r="AE98" t="str">
        <f>IF(OR('Base Encuesta'!AN72="",IFERROR(VALUE(LEFT('Base Encuesta'!K72,1)),"")&gt;=3),"",VALUE(LEFT('Base Encuesta'!AN72,1)))</f>
        <v/>
      </c>
      <c r="AF98" t="str">
        <f>IF(OR('Base Encuesta'!AO72="",IFERROR(VALUE(LEFT('Base Encuesta'!K72,1)),"")&gt;=3),"",VALUE(LEFT('Base Encuesta'!AO72,1)))</f>
        <v/>
      </c>
      <c r="AG98" t="str">
        <f>IF(OR('Base Encuesta'!AQ72="",IFERROR(VALUE(LEFT('Base Encuesta'!K72,1)),"")&gt;=3),"",VALUE(LEFT('Base Encuesta'!AQ72,1)))</f>
        <v/>
      </c>
      <c r="AH98" t="str">
        <f>IF(OR('Base Encuesta'!AR72="",IFERROR(VALUE(LEFT('Base Encuesta'!K72,1)),"")&gt;=3),"",VALUE(LEFT('Base Encuesta'!AR72,1)))</f>
        <v/>
      </c>
    </row>
    <row r="99" spans="1:34">
      <c r="A99" t="str">
        <f>IF('Base Encuesta'!C73="","",'Base Encuesta'!C73)</f>
        <v/>
      </c>
      <c r="B99" t="str">
        <f>IF('Base Encuesta'!D73="","",'Base Encuesta'!D73)</f>
        <v/>
      </c>
      <c r="C99" t="str">
        <f>IF('Base Encuesta'!E73="","",'Base Encuesta'!E73)</f>
        <v/>
      </c>
      <c r="D99" t="str">
        <f>IF('Base Encuesta'!F73="","",'Base Encuesta'!F73)</f>
        <v/>
      </c>
      <c r="E99" t="str">
        <f>IF('Base Encuesta'!G73="","",'Base Encuesta'!G73)</f>
        <v/>
      </c>
      <c r="F99" t="str">
        <f>IF('Base Encuesta'!H73="","",'Base Encuesta'!H73)</f>
        <v/>
      </c>
      <c r="G99" t="str">
        <f>IF('Base Encuesta'!I73="","",'Base Encuesta'!I73)</f>
        <v/>
      </c>
      <c r="H99" t="str">
        <f>IF('Base Encuesta'!J73="","",'Base Encuesta'!J73)</f>
        <v/>
      </c>
      <c r="I99" t="str">
        <f>IF('Base Encuesta'!K73="","",'Base Encuesta'!K73)</f>
        <v/>
      </c>
      <c r="J99" t="str">
        <f>IF(OR('Base Encuesta'!P73="",IFERROR(VALUE(LEFT('Base Encuesta'!K73,1)),"")&gt;=3),"",PROPER(TRIM('Base Encuesta'!P73)))</f>
        <v/>
      </c>
      <c r="K99" t="str">
        <f>IF(OR('Base Encuesta'!Q73="",IFERROR(VALUE(LEFT('Base Encuesta'!K73,1)),"")&gt;=3),"",'Base Encuesta'!Q73)</f>
        <v/>
      </c>
      <c r="L99" t="str">
        <f>IF(OR('Base Encuesta'!R73="",IFERROR(VALUE(LEFT('Base Encuesta'!K73,1)),"")&gt;=3),"",VALUE(LEFT('Base Encuesta'!R73,1)))</f>
        <v/>
      </c>
      <c r="M99" t="str">
        <f>IF(OR('Base Encuesta'!S73="",IFERROR(VALUE(LEFT('Base Encuesta'!K73,1)),"")&gt;=3),"",VALUE(LEFT('Base Encuesta'!S73,1)))</f>
        <v/>
      </c>
      <c r="N99" t="str">
        <f>IF(OR('Base Encuesta'!T73="",IFERROR(VALUE(LEFT('Base Encuesta'!K73,1)),"")&gt;=3),"",VALUE(LEFT('Base Encuesta'!T73,1)))</f>
        <v/>
      </c>
      <c r="O99" t="str">
        <f>IF(OR('Base Encuesta'!V73="",IFERROR(VALUE(LEFT('Base Encuesta'!K73,1)),"")&gt;=3),"",VALUE(LEFT('Base Encuesta'!V73,1)))</f>
        <v/>
      </c>
      <c r="P99" t="str">
        <f>IF(OR('Base Encuesta'!W73="",IFERROR(VALUE(LEFT('Base Encuesta'!K73,1)),"")&gt;=3),"",VALUE(LEFT('Base Encuesta'!W73,1)))</f>
        <v/>
      </c>
      <c r="Q99" t="str">
        <f>IF(OR('Base Encuesta'!X73="",IFERROR(VALUE(LEFT('Base Encuesta'!K73,1)),"")&gt;=3),"",VALUE(LEFT('Base Encuesta'!X73,1)))</f>
        <v/>
      </c>
      <c r="R99" t="str">
        <f>IF(OR('Base Encuesta'!Y73="",IFERROR(VALUE(LEFT('Base Encuesta'!K73,1)),"")&gt;=3),"",VALUE(LEFT('Base Encuesta'!Y73,1)))</f>
        <v/>
      </c>
      <c r="S99" t="str">
        <f>IF(OR('Base Encuesta'!Z73="",IFERROR(VALUE(LEFT('Base Encuesta'!K73,1)),"")&gt;=3),"",VALUE(LEFT('Base Encuesta'!Z73,1)))</f>
        <v/>
      </c>
      <c r="T99" t="str">
        <f>IF(OR('Base Encuesta'!AA73="",IFERROR(VALUE(LEFT('Base Encuesta'!K73,1)),"")&gt;=3),"",VALUE(LEFT('Base Encuesta'!AA73,1)))</f>
        <v/>
      </c>
      <c r="U99" t="str">
        <f>IF(OR('Base Encuesta'!AB73="",IFERROR(VALUE(LEFT('Base Encuesta'!K73,1)),"")&gt;=3),"",VALUE(LEFT('Base Encuesta'!AB73,1)))</f>
        <v/>
      </c>
      <c r="V99" t="str">
        <f>IF(OR('Base Encuesta'!AC73="",IFERROR(VALUE(LEFT('Base Encuesta'!K73,1)),"")&gt;=3),"",VALUE(LEFT('Base Encuesta'!AC73,1)))</f>
        <v/>
      </c>
      <c r="W99" t="str">
        <f>IF(OR('Base Encuesta'!AE73="",IFERROR(VALUE(LEFT('Base Encuesta'!K73,1)),"")&gt;=3),"",VALUE(LEFT('Base Encuesta'!AE73,1)))</f>
        <v/>
      </c>
      <c r="X99" t="str">
        <f>IF(OR('Base Encuesta'!AF73="",IFERROR(VALUE(LEFT('Base Encuesta'!K73,1)),"")&gt;=3),"",IF(W99=1,VALUE(LEFT('Base Encuesta'!AF73,1)),""))</f>
        <v/>
      </c>
      <c r="Y99" t="str">
        <f>IF(OR('Base Encuesta'!AG73="",IFERROR(VALUE(LEFT('Base Encuesta'!K73,1)),"")&gt;=3),"",IF(W99=1,VALUE(LEFT('Base Encuesta'!AG73,1)),""))</f>
        <v/>
      </c>
      <c r="Z99" t="str">
        <f>IF(OR('Base Encuesta'!AH73="",IFERROR(VALUE(LEFT('Base Encuesta'!K73,1)),"")&gt;=3),"",IF(W99=1,VALUE(LEFT('Base Encuesta'!AH73,1)),""))</f>
        <v/>
      </c>
      <c r="AA99" t="str">
        <f>IF(OR('Base Encuesta'!AI73="",IFERROR(VALUE(LEFT('Base Encuesta'!K73,1)),"")&gt;=3),"",IF(W99=1,VALUE(LEFT('Base Encuesta'!AI73,1)),""))</f>
        <v/>
      </c>
      <c r="AB99" t="str">
        <f>IF(OR('Base Encuesta'!AJ73="",IFERROR(VALUE(LEFT('Base Encuesta'!K73,1)),"")&gt;=3),"",IF(W99=1,VALUE(LEFT('Base Encuesta'!AJ73,1)),""))</f>
        <v/>
      </c>
      <c r="AC99" t="str">
        <f>IF(OR('Base Encuesta'!AL73="",IFERROR(VALUE(LEFT('Base Encuesta'!K73,1)),"")&gt;=3),"",VALUE(LEFT('Base Encuesta'!AL73,1)))</f>
        <v/>
      </c>
      <c r="AD99" t="str">
        <f>IF(OR('Base Encuesta'!AM73="",IFERROR(VALUE(LEFT('Base Encuesta'!K73,1)),"")&gt;=3),"",VALUE(LEFT('Base Encuesta'!AM73,1)))</f>
        <v/>
      </c>
      <c r="AE99" t="str">
        <f>IF(OR('Base Encuesta'!AN73="",IFERROR(VALUE(LEFT('Base Encuesta'!K73,1)),"")&gt;=3),"",VALUE(LEFT('Base Encuesta'!AN73,1)))</f>
        <v/>
      </c>
      <c r="AF99" t="str">
        <f>IF(OR('Base Encuesta'!AO73="",IFERROR(VALUE(LEFT('Base Encuesta'!K73,1)),"")&gt;=3),"",VALUE(LEFT('Base Encuesta'!AO73,1)))</f>
        <v/>
      </c>
      <c r="AG99" t="str">
        <f>IF(OR('Base Encuesta'!AQ73="",IFERROR(VALUE(LEFT('Base Encuesta'!K73,1)),"")&gt;=3),"",VALUE(LEFT('Base Encuesta'!AQ73,1)))</f>
        <v/>
      </c>
      <c r="AH99" t="str">
        <f>IF(OR('Base Encuesta'!AR73="",IFERROR(VALUE(LEFT('Base Encuesta'!K73,1)),"")&gt;=3),"",VALUE(LEFT('Base Encuesta'!AR73,1)))</f>
        <v/>
      </c>
    </row>
    <row r="100" spans="1:34">
      <c r="A100" t="str">
        <f>IF('Base Encuesta'!C74="","",'Base Encuesta'!C74)</f>
        <v/>
      </c>
      <c r="B100" t="str">
        <f>IF('Base Encuesta'!D74="","",'Base Encuesta'!D74)</f>
        <v/>
      </c>
      <c r="C100" t="str">
        <f>IF('Base Encuesta'!E74="","",'Base Encuesta'!E74)</f>
        <v/>
      </c>
      <c r="D100" t="str">
        <f>IF('Base Encuesta'!F74="","",'Base Encuesta'!F74)</f>
        <v/>
      </c>
      <c r="E100" t="str">
        <f>IF('Base Encuesta'!G74="","",'Base Encuesta'!G74)</f>
        <v/>
      </c>
      <c r="F100" t="str">
        <f>IF('Base Encuesta'!H74="","",'Base Encuesta'!H74)</f>
        <v/>
      </c>
      <c r="G100" t="str">
        <f>IF('Base Encuesta'!I74="","",'Base Encuesta'!I74)</f>
        <v/>
      </c>
      <c r="H100" t="str">
        <f>IF('Base Encuesta'!J74="","",'Base Encuesta'!J74)</f>
        <v/>
      </c>
      <c r="I100" t="str">
        <f>IF('Base Encuesta'!K74="","",'Base Encuesta'!K74)</f>
        <v/>
      </c>
      <c r="J100" t="str">
        <f>IF(OR('Base Encuesta'!P74="",IFERROR(VALUE(LEFT('Base Encuesta'!K74,1)),"")&gt;=3),"",PROPER(TRIM('Base Encuesta'!P74)))</f>
        <v/>
      </c>
      <c r="K100" t="str">
        <f>IF(OR('Base Encuesta'!Q74="",IFERROR(VALUE(LEFT('Base Encuesta'!K74,1)),"")&gt;=3),"",'Base Encuesta'!Q74)</f>
        <v/>
      </c>
      <c r="L100" t="str">
        <f>IF(OR('Base Encuesta'!R74="",IFERROR(VALUE(LEFT('Base Encuesta'!K74,1)),"")&gt;=3),"",VALUE(LEFT('Base Encuesta'!R74,1)))</f>
        <v/>
      </c>
      <c r="M100" t="str">
        <f>IF(OR('Base Encuesta'!S74="",IFERROR(VALUE(LEFT('Base Encuesta'!K74,1)),"")&gt;=3),"",VALUE(LEFT('Base Encuesta'!S74,1)))</f>
        <v/>
      </c>
      <c r="N100" t="str">
        <f>IF(OR('Base Encuesta'!T74="",IFERROR(VALUE(LEFT('Base Encuesta'!K74,1)),"")&gt;=3),"",VALUE(LEFT('Base Encuesta'!T74,1)))</f>
        <v/>
      </c>
      <c r="O100" t="str">
        <f>IF(OR('Base Encuesta'!V74="",IFERROR(VALUE(LEFT('Base Encuesta'!K74,1)),"")&gt;=3),"",VALUE(LEFT('Base Encuesta'!V74,1)))</f>
        <v/>
      </c>
      <c r="P100" t="str">
        <f>IF(OR('Base Encuesta'!W74="",IFERROR(VALUE(LEFT('Base Encuesta'!K74,1)),"")&gt;=3),"",VALUE(LEFT('Base Encuesta'!W74,1)))</f>
        <v/>
      </c>
      <c r="Q100" t="str">
        <f>IF(OR('Base Encuesta'!X74="",IFERROR(VALUE(LEFT('Base Encuesta'!K74,1)),"")&gt;=3),"",VALUE(LEFT('Base Encuesta'!X74,1)))</f>
        <v/>
      </c>
      <c r="R100" t="str">
        <f>IF(OR('Base Encuesta'!Y74="",IFERROR(VALUE(LEFT('Base Encuesta'!K74,1)),"")&gt;=3),"",VALUE(LEFT('Base Encuesta'!Y74,1)))</f>
        <v/>
      </c>
      <c r="S100" t="str">
        <f>IF(OR('Base Encuesta'!Z74="",IFERROR(VALUE(LEFT('Base Encuesta'!K74,1)),"")&gt;=3),"",VALUE(LEFT('Base Encuesta'!Z74,1)))</f>
        <v/>
      </c>
      <c r="T100" t="str">
        <f>IF(OR('Base Encuesta'!AA74="",IFERROR(VALUE(LEFT('Base Encuesta'!K74,1)),"")&gt;=3),"",VALUE(LEFT('Base Encuesta'!AA74,1)))</f>
        <v/>
      </c>
      <c r="U100" t="str">
        <f>IF(OR('Base Encuesta'!AB74="",IFERROR(VALUE(LEFT('Base Encuesta'!K74,1)),"")&gt;=3),"",VALUE(LEFT('Base Encuesta'!AB74,1)))</f>
        <v/>
      </c>
      <c r="V100" t="str">
        <f>IF(OR('Base Encuesta'!AC74="",IFERROR(VALUE(LEFT('Base Encuesta'!K74,1)),"")&gt;=3),"",VALUE(LEFT('Base Encuesta'!AC74,1)))</f>
        <v/>
      </c>
      <c r="W100" t="str">
        <f>IF(OR('Base Encuesta'!AE74="",IFERROR(VALUE(LEFT('Base Encuesta'!K74,1)),"")&gt;=3),"",VALUE(LEFT('Base Encuesta'!AE74,1)))</f>
        <v/>
      </c>
      <c r="X100" t="str">
        <f>IF(OR('Base Encuesta'!AF74="",IFERROR(VALUE(LEFT('Base Encuesta'!K74,1)),"")&gt;=3),"",IF(W100=1,VALUE(LEFT('Base Encuesta'!AF74,1)),""))</f>
        <v/>
      </c>
      <c r="Y100" t="str">
        <f>IF(OR('Base Encuesta'!AG74="",IFERROR(VALUE(LEFT('Base Encuesta'!K74,1)),"")&gt;=3),"",IF(W100=1,VALUE(LEFT('Base Encuesta'!AG74,1)),""))</f>
        <v/>
      </c>
      <c r="Z100" t="str">
        <f>IF(OR('Base Encuesta'!AH74="",IFERROR(VALUE(LEFT('Base Encuesta'!K74,1)),"")&gt;=3),"",IF(W100=1,VALUE(LEFT('Base Encuesta'!AH74,1)),""))</f>
        <v/>
      </c>
      <c r="AA100" t="str">
        <f>IF(OR('Base Encuesta'!AI74="",IFERROR(VALUE(LEFT('Base Encuesta'!K74,1)),"")&gt;=3),"",IF(W100=1,VALUE(LEFT('Base Encuesta'!AI74,1)),""))</f>
        <v/>
      </c>
      <c r="AB100" t="str">
        <f>IF(OR('Base Encuesta'!AJ74="",IFERROR(VALUE(LEFT('Base Encuesta'!K74,1)),"")&gt;=3),"",IF(W100=1,VALUE(LEFT('Base Encuesta'!AJ74,1)),""))</f>
        <v/>
      </c>
      <c r="AC100" t="str">
        <f>IF(OR('Base Encuesta'!AL74="",IFERROR(VALUE(LEFT('Base Encuesta'!K74,1)),"")&gt;=3),"",VALUE(LEFT('Base Encuesta'!AL74,1)))</f>
        <v/>
      </c>
      <c r="AD100" t="str">
        <f>IF(OR('Base Encuesta'!AM74="",IFERROR(VALUE(LEFT('Base Encuesta'!K74,1)),"")&gt;=3),"",VALUE(LEFT('Base Encuesta'!AM74,1)))</f>
        <v/>
      </c>
      <c r="AE100" t="str">
        <f>IF(OR('Base Encuesta'!AN74="",IFERROR(VALUE(LEFT('Base Encuesta'!K74,1)),"")&gt;=3),"",VALUE(LEFT('Base Encuesta'!AN74,1)))</f>
        <v/>
      </c>
      <c r="AF100" t="str">
        <f>IF(OR('Base Encuesta'!AO74="",IFERROR(VALUE(LEFT('Base Encuesta'!K74,1)),"")&gt;=3),"",VALUE(LEFT('Base Encuesta'!AO74,1)))</f>
        <v/>
      </c>
      <c r="AG100" t="str">
        <f>IF(OR('Base Encuesta'!AQ74="",IFERROR(VALUE(LEFT('Base Encuesta'!K74,1)),"")&gt;=3),"",VALUE(LEFT('Base Encuesta'!AQ74,1)))</f>
        <v/>
      </c>
      <c r="AH100" t="str">
        <f>IF(OR('Base Encuesta'!AR74="",IFERROR(VALUE(LEFT('Base Encuesta'!K74,1)),"")&gt;=3),"",VALUE(LEFT('Base Encuesta'!AR74,1)))</f>
        <v/>
      </c>
    </row>
    <row r="101" spans="1:34">
      <c r="A101" t="str">
        <f>IF('Base Encuesta'!C75="","",'Base Encuesta'!C75)</f>
        <v/>
      </c>
      <c r="B101" t="str">
        <f>IF('Base Encuesta'!D75="","",'Base Encuesta'!D75)</f>
        <v/>
      </c>
      <c r="C101" t="str">
        <f>IF('Base Encuesta'!E75="","",'Base Encuesta'!E75)</f>
        <v/>
      </c>
      <c r="D101" t="str">
        <f>IF('Base Encuesta'!F75="","",'Base Encuesta'!F75)</f>
        <v/>
      </c>
      <c r="E101" t="str">
        <f>IF('Base Encuesta'!G75="","",'Base Encuesta'!G75)</f>
        <v/>
      </c>
      <c r="F101" t="str">
        <f>IF('Base Encuesta'!H75="","",'Base Encuesta'!H75)</f>
        <v/>
      </c>
      <c r="G101" t="str">
        <f>IF('Base Encuesta'!I75="","",'Base Encuesta'!I75)</f>
        <v/>
      </c>
      <c r="H101" t="str">
        <f>IF('Base Encuesta'!J75="","",'Base Encuesta'!J75)</f>
        <v/>
      </c>
      <c r="I101" t="str">
        <f>IF('Base Encuesta'!K75="","",'Base Encuesta'!K75)</f>
        <v/>
      </c>
      <c r="J101" t="str">
        <f>IF(OR('Base Encuesta'!P75="",IFERROR(VALUE(LEFT('Base Encuesta'!K75,1)),"")&gt;=3),"",PROPER(TRIM('Base Encuesta'!P75)))</f>
        <v/>
      </c>
      <c r="K101" t="str">
        <f>IF(OR('Base Encuesta'!Q75="",IFERROR(VALUE(LEFT('Base Encuesta'!K75,1)),"")&gt;=3),"",'Base Encuesta'!Q75)</f>
        <v/>
      </c>
      <c r="L101" t="str">
        <f>IF(OR('Base Encuesta'!R75="",IFERROR(VALUE(LEFT('Base Encuesta'!K75,1)),"")&gt;=3),"",VALUE(LEFT('Base Encuesta'!R75,1)))</f>
        <v/>
      </c>
      <c r="M101" t="str">
        <f>IF(OR('Base Encuesta'!S75="",IFERROR(VALUE(LEFT('Base Encuesta'!K75,1)),"")&gt;=3),"",VALUE(LEFT('Base Encuesta'!S75,1)))</f>
        <v/>
      </c>
      <c r="N101" t="str">
        <f>IF(OR('Base Encuesta'!T75="",IFERROR(VALUE(LEFT('Base Encuesta'!K75,1)),"")&gt;=3),"",VALUE(LEFT('Base Encuesta'!T75,1)))</f>
        <v/>
      </c>
      <c r="O101" t="str">
        <f>IF(OR('Base Encuesta'!V75="",IFERROR(VALUE(LEFT('Base Encuesta'!K75,1)),"")&gt;=3),"",VALUE(LEFT('Base Encuesta'!V75,1)))</f>
        <v/>
      </c>
      <c r="P101" t="str">
        <f>IF(OR('Base Encuesta'!W75="",IFERROR(VALUE(LEFT('Base Encuesta'!K75,1)),"")&gt;=3),"",VALUE(LEFT('Base Encuesta'!W75,1)))</f>
        <v/>
      </c>
      <c r="Q101" t="str">
        <f>IF(OR('Base Encuesta'!X75="",IFERROR(VALUE(LEFT('Base Encuesta'!K75,1)),"")&gt;=3),"",VALUE(LEFT('Base Encuesta'!X75,1)))</f>
        <v/>
      </c>
      <c r="R101" t="str">
        <f>IF(OR('Base Encuesta'!Y75="",IFERROR(VALUE(LEFT('Base Encuesta'!K75,1)),"")&gt;=3),"",VALUE(LEFT('Base Encuesta'!Y75,1)))</f>
        <v/>
      </c>
      <c r="S101" t="str">
        <f>IF(OR('Base Encuesta'!Z75="",IFERROR(VALUE(LEFT('Base Encuesta'!K75,1)),"")&gt;=3),"",VALUE(LEFT('Base Encuesta'!Z75,1)))</f>
        <v/>
      </c>
      <c r="T101" t="str">
        <f>IF(OR('Base Encuesta'!AA75="",IFERROR(VALUE(LEFT('Base Encuesta'!K75,1)),"")&gt;=3),"",VALUE(LEFT('Base Encuesta'!AA75,1)))</f>
        <v/>
      </c>
      <c r="U101" t="str">
        <f>IF(OR('Base Encuesta'!AB75="",IFERROR(VALUE(LEFT('Base Encuesta'!K75,1)),"")&gt;=3),"",VALUE(LEFT('Base Encuesta'!AB75,1)))</f>
        <v/>
      </c>
      <c r="V101" t="str">
        <f>IF(OR('Base Encuesta'!AC75="",IFERROR(VALUE(LEFT('Base Encuesta'!K75,1)),"")&gt;=3),"",VALUE(LEFT('Base Encuesta'!AC75,1)))</f>
        <v/>
      </c>
      <c r="W101" t="str">
        <f>IF(OR('Base Encuesta'!AE75="",IFERROR(VALUE(LEFT('Base Encuesta'!K75,1)),"")&gt;=3),"",VALUE(LEFT('Base Encuesta'!AE75,1)))</f>
        <v/>
      </c>
      <c r="X101" t="str">
        <f>IF(OR('Base Encuesta'!AF75="",IFERROR(VALUE(LEFT('Base Encuesta'!K75,1)),"")&gt;=3),"",IF(W101=1,VALUE(LEFT('Base Encuesta'!AF75,1)),""))</f>
        <v/>
      </c>
      <c r="Y101" t="str">
        <f>IF(OR('Base Encuesta'!AG75="",IFERROR(VALUE(LEFT('Base Encuesta'!K75,1)),"")&gt;=3),"",IF(W101=1,VALUE(LEFT('Base Encuesta'!AG75,1)),""))</f>
        <v/>
      </c>
      <c r="Z101" t="str">
        <f>IF(OR('Base Encuesta'!AH75="",IFERROR(VALUE(LEFT('Base Encuesta'!K75,1)),"")&gt;=3),"",IF(W101=1,VALUE(LEFT('Base Encuesta'!AH75,1)),""))</f>
        <v/>
      </c>
      <c r="AA101" t="str">
        <f>IF(OR('Base Encuesta'!AI75="",IFERROR(VALUE(LEFT('Base Encuesta'!K75,1)),"")&gt;=3),"",IF(W101=1,VALUE(LEFT('Base Encuesta'!AI75,1)),""))</f>
        <v/>
      </c>
      <c r="AB101" t="str">
        <f>IF(OR('Base Encuesta'!AJ75="",IFERROR(VALUE(LEFT('Base Encuesta'!K75,1)),"")&gt;=3),"",IF(W101=1,VALUE(LEFT('Base Encuesta'!AJ75,1)),""))</f>
        <v/>
      </c>
      <c r="AC101" t="str">
        <f>IF(OR('Base Encuesta'!AL75="",IFERROR(VALUE(LEFT('Base Encuesta'!K75,1)),"")&gt;=3),"",VALUE(LEFT('Base Encuesta'!AL75,1)))</f>
        <v/>
      </c>
      <c r="AD101" t="str">
        <f>IF(OR('Base Encuesta'!AM75="",IFERROR(VALUE(LEFT('Base Encuesta'!K75,1)),"")&gt;=3),"",VALUE(LEFT('Base Encuesta'!AM75,1)))</f>
        <v/>
      </c>
      <c r="AE101" t="str">
        <f>IF(OR('Base Encuesta'!AN75="",IFERROR(VALUE(LEFT('Base Encuesta'!K75,1)),"")&gt;=3),"",VALUE(LEFT('Base Encuesta'!AN75,1)))</f>
        <v/>
      </c>
      <c r="AF101" t="str">
        <f>IF(OR('Base Encuesta'!AO75="",IFERROR(VALUE(LEFT('Base Encuesta'!K75,1)),"")&gt;=3),"",VALUE(LEFT('Base Encuesta'!AO75,1)))</f>
        <v/>
      </c>
      <c r="AG101" t="str">
        <f>IF(OR('Base Encuesta'!AQ75="",IFERROR(VALUE(LEFT('Base Encuesta'!K75,1)),"")&gt;=3),"",VALUE(LEFT('Base Encuesta'!AQ75,1)))</f>
        <v/>
      </c>
      <c r="AH101" t="str">
        <f>IF(OR('Base Encuesta'!AR75="",IFERROR(VALUE(LEFT('Base Encuesta'!K75,1)),"")&gt;=3),"",VALUE(LEFT('Base Encuesta'!AR75,1)))</f>
        <v/>
      </c>
    </row>
    <row r="102" spans="1:34">
      <c r="A102" t="str">
        <f>IF('Base Encuesta'!C76="","",'Base Encuesta'!C76)</f>
        <v/>
      </c>
      <c r="B102" t="str">
        <f>IF('Base Encuesta'!D76="","",'Base Encuesta'!D76)</f>
        <v/>
      </c>
      <c r="C102" t="str">
        <f>IF('Base Encuesta'!E76="","",'Base Encuesta'!E76)</f>
        <v/>
      </c>
      <c r="D102" t="str">
        <f>IF('Base Encuesta'!F76="","",'Base Encuesta'!F76)</f>
        <v/>
      </c>
      <c r="E102" t="str">
        <f>IF('Base Encuesta'!G76="","",'Base Encuesta'!G76)</f>
        <v/>
      </c>
      <c r="F102" t="str">
        <f>IF('Base Encuesta'!H76="","",'Base Encuesta'!H76)</f>
        <v/>
      </c>
      <c r="G102" t="str">
        <f>IF('Base Encuesta'!I76="","",'Base Encuesta'!I76)</f>
        <v/>
      </c>
      <c r="H102" t="str">
        <f>IF('Base Encuesta'!J76="","",'Base Encuesta'!J76)</f>
        <v/>
      </c>
      <c r="I102" t="str">
        <f>IF('Base Encuesta'!K76="","",'Base Encuesta'!K76)</f>
        <v/>
      </c>
      <c r="J102" t="str">
        <f>IF(OR('Base Encuesta'!P76="",IFERROR(VALUE(LEFT('Base Encuesta'!K76,1)),"")&gt;=3),"",PROPER(TRIM('Base Encuesta'!P76)))</f>
        <v/>
      </c>
      <c r="K102" t="str">
        <f>IF(OR('Base Encuesta'!Q76="",IFERROR(VALUE(LEFT('Base Encuesta'!K76,1)),"")&gt;=3),"",'Base Encuesta'!Q76)</f>
        <v/>
      </c>
      <c r="L102" t="str">
        <f>IF(OR('Base Encuesta'!R76="",IFERROR(VALUE(LEFT('Base Encuesta'!K76,1)),"")&gt;=3),"",VALUE(LEFT('Base Encuesta'!R76,1)))</f>
        <v/>
      </c>
      <c r="M102" t="str">
        <f>IF(OR('Base Encuesta'!S76="",IFERROR(VALUE(LEFT('Base Encuesta'!K76,1)),"")&gt;=3),"",VALUE(LEFT('Base Encuesta'!S76,1)))</f>
        <v/>
      </c>
      <c r="N102" t="str">
        <f>IF(OR('Base Encuesta'!T76="",IFERROR(VALUE(LEFT('Base Encuesta'!K76,1)),"")&gt;=3),"",VALUE(LEFT('Base Encuesta'!T76,1)))</f>
        <v/>
      </c>
      <c r="O102" t="str">
        <f>IF(OR('Base Encuesta'!V76="",IFERROR(VALUE(LEFT('Base Encuesta'!K76,1)),"")&gt;=3),"",VALUE(LEFT('Base Encuesta'!V76,1)))</f>
        <v/>
      </c>
      <c r="P102" t="str">
        <f>IF(OR('Base Encuesta'!W76="",IFERROR(VALUE(LEFT('Base Encuesta'!K76,1)),"")&gt;=3),"",VALUE(LEFT('Base Encuesta'!W76,1)))</f>
        <v/>
      </c>
      <c r="Q102" t="str">
        <f>IF(OR('Base Encuesta'!X76="",IFERROR(VALUE(LEFT('Base Encuesta'!K76,1)),"")&gt;=3),"",VALUE(LEFT('Base Encuesta'!X76,1)))</f>
        <v/>
      </c>
      <c r="R102" t="str">
        <f>IF(OR('Base Encuesta'!Y76="",IFERROR(VALUE(LEFT('Base Encuesta'!K76,1)),"")&gt;=3),"",VALUE(LEFT('Base Encuesta'!Y76,1)))</f>
        <v/>
      </c>
      <c r="S102" t="str">
        <f>IF(OR('Base Encuesta'!Z76="",IFERROR(VALUE(LEFT('Base Encuesta'!K76,1)),"")&gt;=3),"",VALUE(LEFT('Base Encuesta'!Z76,1)))</f>
        <v/>
      </c>
      <c r="T102" t="str">
        <f>IF(OR('Base Encuesta'!AA76="",IFERROR(VALUE(LEFT('Base Encuesta'!K76,1)),"")&gt;=3),"",VALUE(LEFT('Base Encuesta'!AA76,1)))</f>
        <v/>
      </c>
      <c r="U102" t="str">
        <f>IF(OR('Base Encuesta'!AB76="",IFERROR(VALUE(LEFT('Base Encuesta'!K76,1)),"")&gt;=3),"",VALUE(LEFT('Base Encuesta'!AB76,1)))</f>
        <v/>
      </c>
      <c r="V102" t="str">
        <f>IF(OR('Base Encuesta'!AC76="",IFERROR(VALUE(LEFT('Base Encuesta'!K76,1)),"")&gt;=3),"",VALUE(LEFT('Base Encuesta'!AC76,1)))</f>
        <v/>
      </c>
      <c r="W102" t="str">
        <f>IF(OR('Base Encuesta'!AE76="",IFERROR(VALUE(LEFT('Base Encuesta'!K76,1)),"")&gt;=3),"",VALUE(LEFT('Base Encuesta'!AE76,1)))</f>
        <v/>
      </c>
      <c r="X102" t="str">
        <f>IF(OR('Base Encuesta'!AF76="",IFERROR(VALUE(LEFT('Base Encuesta'!K76,1)),"")&gt;=3),"",IF(W102=1,VALUE(LEFT('Base Encuesta'!AF76,1)),""))</f>
        <v/>
      </c>
      <c r="Y102" t="str">
        <f>IF(OR('Base Encuesta'!AG76="",IFERROR(VALUE(LEFT('Base Encuesta'!K76,1)),"")&gt;=3),"",IF(W102=1,VALUE(LEFT('Base Encuesta'!AG76,1)),""))</f>
        <v/>
      </c>
      <c r="Z102" t="str">
        <f>IF(OR('Base Encuesta'!AH76="",IFERROR(VALUE(LEFT('Base Encuesta'!K76,1)),"")&gt;=3),"",IF(W102=1,VALUE(LEFT('Base Encuesta'!AH76,1)),""))</f>
        <v/>
      </c>
      <c r="AA102" t="str">
        <f>IF(OR('Base Encuesta'!AI76="",IFERROR(VALUE(LEFT('Base Encuesta'!K76,1)),"")&gt;=3),"",IF(W102=1,VALUE(LEFT('Base Encuesta'!AI76,1)),""))</f>
        <v/>
      </c>
      <c r="AB102" t="str">
        <f>IF(OR('Base Encuesta'!AJ76="",IFERROR(VALUE(LEFT('Base Encuesta'!K76,1)),"")&gt;=3),"",IF(W102=1,VALUE(LEFT('Base Encuesta'!AJ76,1)),""))</f>
        <v/>
      </c>
      <c r="AC102" t="str">
        <f>IF(OR('Base Encuesta'!AL76="",IFERROR(VALUE(LEFT('Base Encuesta'!K76,1)),"")&gt;=3),"",VALUE(LEFT('Base Encuesta'!AL76,1)))</f>
        <v/>
      </c>
      <c r="AD102" t="str">
        <f>IF(OR('Base Encuesta'!AM76="",IFERROR(VALUE(LEFT('Base Encuesta'!K76,1)),"")&gt;=3),"",VALUE(LEFT('Base Encuesta'!AM76,1)))</f>
        <v/>
      </c>
      <c r="AE102" t="str">
        <f>IF(OR('Base Encuesta'!AN76="",IFERROR(VALUE(LEFT('Base Encuesta'!K76,1)),"")&gt;=3),"",VALUE(LEFT('Base Encuesta'!AN76,1)))</f>
        <v/>
      </c>
      <c r="AF102" t="str">
        <f>IF(OR('Base Encuesta'!AO76="",IFERROR(VALUE(LEFT('Base Encuesta'!K76,1)),"")&gt;=3),"",VALUE(LEFT('Base Encuesta'!AO76,1)))</f>
        <v/>
      </c>
      <c r="AG102" t="str">
        <f>IF(OR('Base Encuesta'!AQ76="",IFERROR(VALUE(LEFT('Base Encuesta'!K76,1)),"")&gt;=3),"",VALUE(LEFT('Base Encuesta'!AQ76,1)))</f>
        <v/>
      </c>
      <c r="AH102" t="str">
        <f>IF(OR('Base Encuesta'!AR76="",IFERROR(VALUE(LEFT('Base Encuesta'!K76,1)),"")&gt;=3),"",VALUE(LEFT('Base Encuesta'!AR76,1)))</f>
        <v/>
      </c>
    </row>
    <row r="103" spans="1:34">
      <c r="A103" t="str">
        <f>IF('Base Encuesta'!C77="","",'Base Encuesta'!C77)</f>
        <v/>
      </c>
      <c r="B103" t="str">
        <f>IF('Base Encuesta'!D77="","",'Base Encuesta'!D77)</f>
        <v/>
      </c>
      <c r="C103" t="str">
        <f>IF('Base Encuesta'!E77="","",'Base Encuesta'!E77)</f>
        <v/>
      </c>
      <c r="D103" t="str">
        <f>IF('Base Encuesta'!F77="","",'Base Encuesta'!F77)</f>
        <v/>
      </c>
      <c r="E103" t="str">
        <f>IF('Base Encuesta'!G77="","",'Base Encuesta'!G77)</f>
        <v/>
      </c>
      <c r="F103" t="str">
        <f>IF('Base Encuesta'!H77="","",'Base Encuesta'!H77)</f>
        <v/>
      </c>
      <c r="G103" t="str">
        <f>IF('Base Encuesta'!I77="","",'Base Encuesta'!I77)</f>
        <v/>
      </c>
      <c r="H103" t="str">
        <f>IF('Base Encuesta'!J77="","",'Base Encuesta'!J77)</f>
        <v/>
      </c>
      <c r="I103" t="str">
        <f>IF('Base Encuesta'!K77="","",'Base Encuesta'!K77)</f>
        <v/>
      </c>
      <c r="J103" t="str">
        <f>IF(OR('Base Encuesta'!P77="",IFERROR(VALUE(LEFT('Base Encuesta'!K77,1)),"")&gt;=3),"",PROPER(TRIM('Base Encuesta'!P77)))</f>
        <v/>
      </c>
      <c r="K103" t="str">
        <f>IF(OR('Base Encuesta'!Q77="",IFERROR(VALUE(LEFT('Base Encuesta'!K77,1)),"")&gt;=3),"",'Base Encuesta'!Q77)</f>
        <v/>
      </c>
      <c r="L103" t="str">
        <f>IF(OR('Base Encuesta'!R77="",IFERROR(VALUE(LEFT('Base Encuesta'!K77,1)),"")&gt;=3),"",VALUE(LEFT('Base Encuesta'!R77,1)))</f>
        <v/>
      </c>
      <c r="M103" t="str">
        <f>IF(OR('Base Encuesta'!S77="",IFERROR(VALUE(LEFT('Base Encuesta'!K77,1)),"")&gt;=3),"",VALUE(LEFT('Base Encuesta'!S77,1)))</f>
        <v/>
      </c>
      <c r="N103" t="str">
        <f>IF(OR('Base Encuesta'!T77="",IFERROR(VALUE(LEFT('Base Encuesta'!K77,1)),"")&gt;=3),"",VALUE(LEFT('Base Encuesta'!T77,1)))</f>
        <v/>
      </c>
      <c r="O103" t="str">
        <f>IF(OR('Base Encuesta'!V77="",IFERROR(VALUE(LEFT('Base Encuesta'!K77,1)),"")&gt;=3),"",VALUE(LEFT('Base Encuesta'!V77,1)))</f>
        <v/>
      </c>
      <c r="P103" t="str">
        <f>IF(OR('Base Encuesta'!W77="",IFERROR(VALUE(LEFT('Base Encuesta'!K77,1)),"")&gt;=3),"",VALUE(LEFT('Base Encuesta'!W77,1)))</f>
        <v/>
      </c>
      <c r="Q103" t="str">
        <f>IF(OR('Base Encuesta'!X77="",IFERROR(VALUE(LEFT('Base Encuesta'!K77,1)),"")&gt;=3),"",VALUE(LEFT('Base Encuesta'!X77,1)))</f>
        <v/>
      </c>
      <c r="R103" t="str">
        <f>IF(OR('Base Encuesta'!Y77="",IFERROR(VALUE(LEFT('Base Encuesta'!K77,1)),"")&gt;=3),"",VALUE(LEFT('Base Encuesta'!Y77,1)))</f>
        <v/>
      </c>
      <c r="S103" t="str">
        <f>IF(OR('Base Encuesta'!Z77="",IFERROR(VALUE(LEFT('Base Encuesta'!K77,1)),"")&gt;=3),"",VALUE(LEFT('Base Encuesta'!Z77,1)))</f>
        <v/>
      </c>
      <c r="T103" t="str">
        <f>IF(OR('Base Encuesta'!AA77="",IFERROR(VALUE(LEFT('Base Encuesta'!K77,1)),"")&gt;=3),"",VALUE(LEFT('Base Encuesta'!AA77,1)))</f>
        <v/>
      </c>
      <c r="U103" t="str">
        <f>IF(OR('Base Encuesta'!AB77="",IFERROR(VALUE(LEFT('Base Encuesta'!K77,1)),"")&gt;=3),"",VALUE(LEFT('Base Encuesta'!AB77,1)))</f>
        <v/>
      </c>
      <c r="V103" t="str">
        <f>IF(OR('Base Encuesta'!AC77="",IFERROR(VALUE(LEFT('Base Encuesta'!K77,1)),"")&gt;=3),"",VALUE(LEFT('Base Encuesta'!AC77,1)))</f>
        <v/>
      </c>
      <c r="W103" t="str">
        <f>IF(OR('Base Encuesta'!AE77="",IFERROR(VALUE(LEFT('Base Encuesta'!K77,1)),"")&gt;=3),"",VALUE(LEFT('Base Encuesta'!AE77,1)))</f>
        <v/>
      </c>
      <c r="X103" t="str">
        <f>IF(OR('Base Encuesta'!AF77="",IFERROR(VALUE(LEFT('Base Encuesta'!K77,1)),"")&gt;=3),"",IF(W103=1,VALUE(LEFT('Base Encuesta'!AF77,1)),""))</f>
        <v/>
      </c>
      <c r="Y103" t="str">
        <f>IF(OR('Base Encuesta'!AG77="",IFERROR(VALUE(LEFT('Base Encuesta'!K77,1)),"")&gt;=3),"",IF(W103=1,VALUE(LEFT('Base Encuesta'!AG77,1)),""))</f>
        <v/>
      </c>
      <c r="Z103" t="str">
        <f>IF(OR('Base Encuesta'!AH77="",IFERROR(VALUE(LEFT('Base Encuesta'!K77,1)),"")&gt;=3),"",IF(W103=1,VALUE(LEFT('Base Encuesta'!AH77,1)),""))</f>
        <v/>
      </c>
      <c r="AA103" t="str">
        <f>IF(OR('Base Encuesta'!AI77="",IFERROR(VALUE(LEFT('Base Encuesta'!K77,1)),"")&gt;=3),"",IF(W103=1,VALUE(LEFT('Base Encuesta'!AI77,1)),""))</f>
        <v/>
      </c>
      <c r="AB103" t="str">
        <f>IF(OR('Base Encuesta'!AJ77="",IFERROR(VALUE(LEFT('Base Encuesta'!K77,1)),"")&gt;=3),"",IF(W103=1,VALUE(LEFT('Base Encuesta'!AJ77,1)),""))</f>
        <v/>
      </c>
      <c r="AC103" t="str">
        <f>IF(OR('Base Encuesta'!AL77="",IFERROR(VALUE(LEFT('Base Encuesta'!K77,1)),"")&gt;=3),"",VALUE(LEFT('Base Encuesta'!AL77,1)))</f>
        <v/>
      </c>
      <c r="AD103" t="str">
        <f>IF(OR('Base Encuesta'!AM77="",IFERROR(VALUE(LEFT('Base Encuesta'!K77,1)),"")&gt;=3),"",VALUE(LEFT('Base Encuesta'!AM77,1)))</f>
        <v/>
      </c>
      <c r="AE103" t="str">
        <f>IF(OR('Base Encuesta'!AN77="",IFERROR(VALUE(LEFT('Base Encuesta'!K77,1)),"")&gt;=3),"",VALUE(LEFT('Base Encuesta'!AN77,1)))</f>
        <v/>
      </c>
      <c r="AF103" t="str">
        <f>IF(OR('Base Encuesta'!AO77="",IFERROR(VALUE(LEFT('Base Encuesta'!K77,1)),"")&gt;=3),"",VALUE(LEFT('Base Encuesta'!AO77,1)))</f>
        <v/>
      </c>
      <c r="AG103" t="str">
        <f>IF(OR('Base Encuesta'!AQ77="",IFERROR(VALUE(LEFT('Base Encuesta'!K77,1)),"")&gt;=3),"",VALUE(LEFT('Base Encuesta'!AQ77,1)))</f>
        <v/>
      </c>
      <c r="AH103" t="str">
        <f>IF(OR('Base Encuesta'!AR77="",IFERROR(VALUE(LEFT('Base Encuesta'!K77,1)),"")&gt;=3),"",VALUE(LEFT('Base Encuesta'!AR77,1)))</f>
        <v/>
      </c>
    </row>
    <row r="104" spans="1:34">
      <c r="A104" t="str">
        <f>IF('Base Encuesta'!C78="","",'Base Encuesta'!C78)</f>
        <v/>
      </c>
      <c r="B104" t="str">
        <f>IF('Base Encuesta'!D78="","",'Base Encuesta'!D78)</f>
        <v/>
      </c>
      <c r="C104" t="str">
        <f>IF('Base Encuesta'!E78="","",'Base Encuesta'!E78)</f>
        <v/>
      </c>
      <c r="D104" t="str">
        <f>IF('Base Encuesta'!F78="","",'Base Encuesta'!F78)</f>
        <v/>
      </c>
      <c r="E104" t="str">
        <f>IF('Base Encuesta'!G78="","",'Base Encuesta'!G78)</f>
        <v/>
      </c>
      <c r="F104" t="str">
        <f>IF('Base Encuesta'!H78="","",'Base Encuesta'!H78)</f>
        <v/>
      </c>
      <c r="G104" t="str">
        <f>IF('Base Encuesta'!I78="","",'Base Encuesta'!I78)</f>
        <v/>
      </c>
      <c r="H104" t="str">
        <f>IF('Base Encuesta'!J78="","",'Base Encuesta'!J78)</f>
        <v/>
      </c>
      <c r="I104" t="str">
        <f>IF('Base Encuesta'!K78="","",'Base Encuesta'!K78)</f>
        <v/>
      </c>
      <c r="J104" t="str">
        <f>IF(OR('Base Encuesta'!P78="",IFERROR(VALUE(LEFT('Base Encuesta'!K78,1)),"")&gt;=3),"",PROPER(TRIM('Base Encuesta'!P78)))</f>
        <v/>
      </c>
      <c r="K104" t="str">
        <f>IF(OR('Base Encuesta'!Q78="",IFERROR(VALUE(LEFT('Base Encuesta'!K78,1)),"")&gt;=3),"",'Base Encuesta'!Q78)</f>
        <v/>
      </c>
      <c r="L104" t="str">
        <f>IF(OR('Base Encuesta'!R78="",IFERROR(VALUE(LEFT('Base Encuesta'!K78,1)),"")&gt;=3),"",VALUE(LEFT('Base Encuesta'!R78,1)))</f>
        <v/>
      </c>
      <c r="M104" t="str">
        <f>IF(OR('Base Encuesta'!S78="",IFERROR(VALUE(LEFT('Base Encuesta'!K78,1)),"")&gt;=3),"",VALUE(LEFT('Base Encuesta'!S78,1)))</f>
        <v/>
      </c>
      <c r="N104" t="str">
        <f>IF(OR('Base Encuesta'!T78="",IFERROR(VALUE(LEFT('Base Encuesta'!K78,1)),"")&gt;=3),"",VALUE(LEFT('Base Encuesta'!T78,1)))</f>
        <v/>
      </c>
      <c r="O104" t="str">
        <f>IF(OR('Base Encuesta'!V78="",IFERROR(VALUE(LEFT('Base Encuesta'!K78,1)),"")&gt;=3),"",VALUE(LEFT('Base Encuesta'!V78,1)))</f>
        <v/>
      </c>
      <c r="P104" t="str">
        <f>IF(OR('Base Encuesta'!W78="",IFERROR(VALUE(LEFT('Base Encuesta'!K78,1)),"")&gt;=3),"",VALUE(LEFT('Base Encuesta'!W78,1)))</f>
        <v/>
      </c>
      <c r="Q104" t="str">
        <f>IF(OR('Base Encuesta'!X78="",IFERROR(VALUE(LEFT('Base Encuesta'!K78,1)),"")&gt;=3),"",VALUE(LEFT('Base Encuesta'!X78,1)))</f>
        <v/>
      </c>
      <c r="R104" t="str">
        <f>IF(OR('Base Encuesta'!Y78="",IFERROR(VALUE(LEFT('Base Encuesta'!K78,1)),"")&gt;=3),"",VALUE(LEFT('Base Encuesta'!Y78,1)))</f>
        <v/>
      </c>
      <c r="S104" t="str">
        <f>IF(OR('Base Encuesta'!Z78="",IFERROR(VALUE(LEFT('Base Encuesta'!K78,1)),"")&gt;=3),"",VALUE(LEFT('Base Encuesta'!Z78,1)))</f>
        <v/>
      </c>
      <c r="T104" t="str">
        <f>IF(OR('Base Encuesta'!AA78="",IFERROR(VALUE(LEFT('Base Encuesta'!K78,1)),"")&gt;=3),"",VALUE(LEFT('Base Encuesta'!AA78,1)))</f>
        <v/>
      </c>
      <c r="U104" t="str">
        <f>IF(OR('Base Encuesta'!AB78="",IFERROR(VALUE(LEFT('Base Encuesta'!K78,1)),"")&gt;=3),"",VALUE(LEFT('Base Encuesta'!AB78,1)))</f>
        <v/>
      </c>
      <c r="V104" t="str">
        <f>IF(OR('Base Encuesta'!AC78="",IFERROR(VALUE(LEFT('Base Encuesta'!K78,1)),"")&gt;=3),"",VALUE(LEFT('Base Encuesta'!AC78,1)))</f>
        <v/>
      </c>
      <c r="W104" t="str">
        <f>IF(OR('Base Encuesta'!AE78="",IFERROR(VALUE(LEFT('Base Encuesta'!K78,1)),"")&gt;=3),"",VALUE(LEFT('Base Encuesta'!AE78,1)))</f>
        <v/>
      </c>
      <c r="X104" t="str">
        <f>IF(OR('Base Encuesta'!AF78="",IFERROR(VALUE(LEFT('Base Encuesta'!K78,1)),"")&gt;=3),"",IF(W104=1,VALUE(LEFT('Base Encuesta'!AF78,1)),""))</f>
        <v/>
      </c>
      <c r="Y104" t="str">
        <f>IF(OR('Base Encuesta'!AG78="",IFERROR(VALUE(LEFT('Base Encuesta'!K78,1)),"")&gt;=3),"",IF(W104=1,VALUE(LEFT('Base Encuesta'!AG78,1)),""))</f>
        <v/>
      </c>
      <c r="Z104" t="str">
        <f>IF(OR('Base Encuesta'!AH78="",IFERROR(VALUE(LEFT('Base Encuesta'!K78,1)),"")&gt;=3),"",IF(W104=1,VALUE(LEFT('Base Encuesta'!AH78,1)),""))</f>
        <v/>
      </c>
      <c r="AA104" t="str">
        <f>IF(OR('Base Encuesta'!AI78="",IFERROR(VALUE(LEFT('Base Encuesta'!K78,1)),"")&gt;=3),"",IF(W104=1,VALUE(LEFT('Base Encuesta'!AI78,1)),""))</f>
        <v/>
      </c>
      <c r="AB104" t="str">
        <f>IF(OR('Base Encuesta'!AJ78="",IFERROR(VALUE(LEFT('Base Encuesta'!K78,1)),"")&gt;=3),"",IF(W104=1,VALUE(LEFT('Base Encuesta'!AJ78,1)),""))</f>
        <v/>
      </c>
      <c r="AC104" t="str">
        <f>IF(OR('Base Encuesta'!AL78="",IFERROR(VALUE(LEFT('Base Encuesta'!K78,1)),"")&gt;=3),"",VALUE(LEFT('Base Encuesta'!AL78,1)))</f>
        <v/>
      </c>
      <c r="AD104" t="str">
        <f>IF(OR('Base Encuesta'!AM78="",IFERROR(VALUE(LEFT('Base Encuesta'!K78,1)),"")&gt;=3),"",VALUE(LEFT('Base Encuesta'!AM78,1)))</f>
        <v/>
      </c>
      <c r="AE104" t="str">
        <f>IF(OR('Base Encuesta'!AN78="",IFERROR(VALUE(LEFT('Base Encuesta'!K78,1)),"")&gt;=3),"",VALUE(LEFT('Base Encuesta'!AN78,1)))</f>
        <v/>
      </c>
      <c r="AF104" t="str">
        <f>IF(OR('Base Encuesta'!AO78="",IFERROR(VALUE(LEFT('Base Encuesta'!K78,1)),"")&gt;=3),"",VALUE(LEFT('Base Encuesta'!AO78,1)))</f>
        <v/>
      </c>
      <c r="AG104" t="str">
        <f>IF(OR('Base Encuesta'!AQ78="",IFERROR(VALUE(LEFT('Base Encuesta'!K78,1)),"")&gt;=3),"",VALUE(LEFT('Base Encuesta'!AQ78,1)))</f>
        <v/>
      </c>
      <c r="AH104" t="str">
        <f>IF(OR('Base Encuesta'!AR78="",IFERROR(VALUE(LEFT('Base Encuesta'!K78,1)),"")&gt;=3),"",VALUE(LEFT('Base Encuesta'!AR78,1)))</f>
        <v/>
      </c>
    </row>
    <row r="105" spans="1:34">
      <c r="A105" t="str">
        <f>IF('Base Encuesta'!C79="","",'Base Encuesta'!C79)</f>
        <v/>
      </c>
      <c r="B105" t="str">
        <f>IF('Base Encuesta'!D79="","",'Base Encuesta'!D79)</f>
        <v/>
      </c>
      <c r="C105" t="str">
        <f>IF('Base Encuesta'!E79="","",'Base Encuesta'!E79)</f>
        <v/>
      </c>
      <c r="D105" t="str">
        <f>IF('Base Encuesta'!F79="","",'Base Encuesta'!F79)</f>
        <v/>
      </c>
      <c r="E105" t="str">
        <f>IF('Base Encuesta'!G79="","",'Base Encuesta'!G79)</f>
        <v/>
      </c>
      <c r="F105" t="str">
        <f>IF('Base Encuesta'!H79="","",'Base Encuesta'!H79)</f>
        <v/>
      </c>
      <c r="G105" t="str">
        <f>IF('Base Encuesta'!I79="","",'Base Encuesta'!I79)</f>
        <v/>
      </c>
      <c r="H105" t="str">
        <f>IF('Base Encuesta'!J79="","",'Base Encuesta'!J79)</f>
        <v/>
      </c>
      <c r="I105" t="str">
        <f>IF('Base Encuesta'!K79="","",'Base Encuesta'!K79)</f>
        <v/>
      </c>
      <c r="J105" t="str">
        <f>IF(OR('Base Encuesta'!P79="",IFERROR(VALUE(LEFT('Base Encuesta'!K79,1)),"")&gt;=3),"",PROPER(TRIM('Base Encuesta'!P79)))</f>
        <v/>
      </c>
      <c r="K105" t="str">
        <f>IF(OR('Base Encuesta'!Q79="",IFERROR(VALUE(LEFT('Base Encuesta'!K79,1)),"")&gt;=3),"",'Base Encuesta'!Q79)</f>
        <v/>
      </c>
      <c r="L105" t="str">
        <f>IF(OR('Base Encuesta'!R79="",IFERROR(VALUE(LEFT('Base Encuesta'!K79,1)),"")&gt;=3),"",VALUE(LEFT('Base Encuesta'!R79,1)))</f>
        <v/>
      </c>
      <c r="M105" t="str">
        <f>IF(OR('Base Encuesta'!S79="",IFERROR(VALUE(LEFT('Base Encuesta'!K79,1)),"")&gt;=3),"",VALUE(LEFT('Base Encuesta'!S79,1)))</f>
        <v/>
      </c>
      <c r="N105" t="str">
        <f>IF(OR('Base Encuesta'!T79="",IFERROR(VALUE(LEFT('Base Encuesta'!K79,1)),"")&gt;=3),"",VALUE(LEFT('Base Encuesta'!T79,1)))</f>
        <v/>
      </c>
      <c r="O105" t="str">
        <f>IF(OR('Base Encuesta'!V79="",IFERROR(VALUE(LEFT('Base Encuesta'!K79,1)),"")&gt;=3),"",VALUE(LEFT('Base Encuesta'!V79,1)))</f>
        <v/>
      </c>
      <c r="P105" t="str">
        <f>IF(OR('Base Encuesta'!W79="",IFERROR(VALUE(LEFT('Base Encuesta'!K79,1)),"")&gt;=3),"",VALUE(LEFT('Base Encuesta'!W79,1)))</f>
        <v/>
      </c>
      <c r="Q105" t="str">
        <f>IF(OR('Base Encuesta'!X79="",IFERROR(VALUE(LEFT('Base Encuesta'!K79,1)),"")&gt;=3),"",VALUE(LEFT('Base Encuesta'!X79,1)))</f>
        <v/>
      </c>
      <c r="R105" t="str">
        <f>IF(OR('Base Encuesta'!Y79="",IFERROR(VALUE(LEFT('Base Encuesta'!K79,1)),"")&gt;=3),"",VALUE(LEFT('Base Encuesta'!Y79,1)))</f>
        <v/>
      </c>
      <c r="S105" t="str">
        <f>IF(OR('Base Encuesta'!Z79="",IFERROR(VALUE(LEFT('Base Encuesta'!K79,1)),"")&gt;=3),"",VALUE(LEFT('Base Encuesta'!Z79,1)))</f>
        <v/>
      </c>
      <c r="T105" t="str">
        <f>IF(OR('Base Encuesta'!AA79="",IFERROR(VALUE(LEFT('Base Encuesta'!K79,1)),"")&gt;=3),"",VALUE(LEFT('Base Encuesta'!AA79,1)))</f>
        <v/>
      </c>
      <c r="U105" t="str">
        <f>IF(OR('Base Encuesta'!AB79="",IFERROR(VALUE(LEFT('Base Encuesta'!K79,1)),"")&gt;=3),"",VALUE(LEFT('Base Encuesta'!AB79,1)))</f>
        <v/>
      </c>
      <c r="V105" t="str">
        <f>IF(OR('Base Encuesta'!AC79="",IFERROR(VALUE(LEFT('Base Encuesta'!K79,1)),"")&gt;=3),"",VALUE(LEFT('Base Encuesta'!AC79,1)))</f>
        <v/>
      </c>
      <c r="W105" t="str">
        <f>IF(OR('Base Encuesta'!AE79="",IFERROR(VALUE(LEFT('Base Encuesta'!K79,1)),"")&gt;=3),"",VALUE(LEFT('Base Encuesta'!AE79,1)))</f>
        <v/>
      </c>
      <c r="X105" t="str">
        <f>IF(OR('Base Encuesta'!AF79="",IFERROR(VALUE(LEFT('Base Encuesta'!K79,1)),"")&gt;=3),"",IF(W105=1,VALUE(LEFT('Base Encuesta'!AF79,1)),""))</f>
        <v/>
      </c>
      <c r="Y105" t="str">
        <f>IF(OR('Base Encuesta'!AG79="",IFERROR(VALUE(LEFT('Base Encuesta'!K79,1)),"")&gt;=3),"",IF(W105=1,VALUE(LEFT('Base Encuesta'!AG79,1)),""))</f>
        <v/>
      </c>
      <c r="Z105" t="str">
        <f>IF(OR('Base Encuesta'!AH79="",IFERROR(VALUE(LEFT('Base Encuesta'!K79,1)),"")&gt;=3),"",IF(W105=1,VALUE(LEFT('Base Encuesta'!AH79,1)),""))</f>
        <v/>
      </c>
      <c r="AA105" t="str">
        <f>IF(OR('Base Encuesta'!AI79="",IFERROR(VALUE(LEFT('Base Encuesta'!K79,1)),"")&gt;=3),"",IF(W105=1,VALUE(LEFT('Base Encuesta'!AI79,1)),""))</f>
        <v/>
      </c>
      <c r="AB105" t="str">
        <f>IF(OR('Base Encuesta'!AJ79="",IFERROR(VALUE(LEFT('Base Encuesta'!K79,1)),"")&gt;=3),"",IF(W105=1,VALUE(LEFT('Base Encuesta'!AJ79,1)),""))</f>
        <v/>
      </c>
      <c r="AC105" t="str">
        <f>IF(OR('Base Encuesta'!AL79="",IFERROR(VALUE(LEFT('Base Encuesta'!K79,1)),"")&gt;=3),"",VALUE(LEFT('Base Encuesta'!AL79,1)))</f>
        <v/>
      </c>
      <c r="AD105" t="str">
        <f>IF(OR('Base Encuesta'!AM79="",IFERROR(VALUE(LEFT('Base Encuesta'!K79,1)),"")&gt;=3),"",VALUE(LEFT('Base Encuesta'!AM79,1)))</f>
        <v/>
      </c>
      <c r="AE105" t="str">
        <f>IF(OR('Base Encuesta'!AN79="",IFERROR(VALUE(LEFT('Base Encuesta'!K79,1)),"")&gt;=3),"",VALUE(LEFT('Base Encuesta'!AN79,1)))</f>
        <v/>
      </c>
      <c r="AF105" t="str">
        <f>IF(OR('Base Encuesta'!AO79="",IFERROR(VALUE(LEFT('Base Encuesta'!K79,1)),"")&gt;=3),"",VALUE(LEFT('Base Encuesta'!AO79,1)))</f>
        <v/>
      </c>
      <c r="AG105" t="str">
        <f>IF(OR('Base Encuesta'!AQ79="",IFERROR(VALUE(LEFT('Base Encuesta'!K79,1)),"")&gt;=3),"",VALUE(LEFT('Base Encuesta'!AQ79,1)))</f>
        <v/>
      </c>
      <c r="AH105" t="str">
        <f>IF(OR('Base Encuesta'!AR79="",IFERROR(VALUE(LEFT('Base Encuesta'!K79,1)),"")&gt;=3),"",VALUE(LEFT('Base Encuesta'!AR79,1)))</f>
        <v/>
      </c>
    </row>
    <row r="106" spans="1:34">
      <c r="A106" t="str">
        <f>IF('Base Encuesta'!C80="","",'Base Encuesta'!C80)</f>
        <v/>
      </c>
      <c r="B106" t="str">
        <f>IF('Base Encuesta'!D80="","",'Base Encuesta'!D80)</f>
        <v/>
      </c>
      <c r="C106" t="str">
        <f>IF('Base Encuesta'!E80="","",'Base Encuesta'!E80)</f>
        <v/>
      </c>
      <c r="D106" t="str">
        <f>IF('Base Encuesta'!F80="","",'Base Encuesta'!F80)</f>
        <v/>
      </c>
      <c r="E106" t="str">
        <f>IF('Base Encuesta'!G80="","",'Base Encuesta'!G80)</f>
        <v/>
      </c>
      <c r="F106" t="str">
        <f>IF('Base Encuesta'!H80="","",'Base Encuesta'!H80)</f>
        <v/>
      </c>
      <c r="G106" t="str">
        <f>IF('Base Encuesta'!I80="","",'Base Encuesta'!I80)</f>
        <v/>
      </c>
      <c r="H106" t="str">
        <f>IF('Base Encuesta'!J80="","",'Base Encuesta'!J80)</f>
        <v/>
      </c>
      <c r="I106" t="str">
        <f>IF('Base Encuesta'!K80="","",'Base Encuesta'!K80)</f>
        <v/>
      </c>
      <c r="J106" t="str">
        <f>IF(OR('Base Encuesta'!P80="",IFERROR(VALUE(LEFT('Base Encuesta'!K80,1)),"")&gt;=3),"",PROPER(TRIM('Base Encuesta'!P80)))</f>
        <v/>
      </c>
      <c r="K106" t="str">
        <f>IF(OR('Base Encuesta'!Q80="",IFERROR(VALUE(LEFT('Base Encuesta'!K80,1)),"")&gt;=3),"",'Base Encuesta'!Q80)</f>
        <v/>
      </c>
      <c r="L106" t="str">
        <f>IF(OR('Base Encuesta'!R80="",IFERROR(VALUE(LEFT('Base Encuesta'!K80,1)),"")&gt;=3),"",VALUE(LEFT('Base Encuesta'!R80,1)))</f>
        <v/>
      </c>
      <c r="M106" t="str">
        <f>IF(OR('Base Encuesta'!S80="",IFERROR(VALUE(LEFT('Base Encuesta'!K80,1)),"")&gt;=3),"",VALUE(LEFT('Base Encuesta'!S80,1)))</f>
        <v/>
      </c>
      <c r="N106" t="str">
        <f>IF(OR('Base Encuesta'!T80="",IFERROR(VALUE(LEFT('Base Encuesta'!K80,1)),"")&gt;=3),"",VALUE(LEFT('Base Encuesta'!T80,1)))</f>
        <v/>
      </c>
      <c r="O106" t="str">
        <f>IF(OR('Base Encuesta'!V80="",IFERROR(VALUE(LEFT('Base Encuesta'!K80,1)),"")&gt;=3),"",VALUE(LEFT('Base Encuesta'!V80,1)))</f>
        <v/>
      </c>
      <c r="P106" t="str">
        <f>IF(OR('Base Encuesta'!W80="",IFERROR(VALUE(LEFT('Base Encuesta'!K80,1)),"")&gt;=3),"",VALUE(LEFT('Base Encuesta'!W80,1)))</f>
        <v/>
      </c>
      <c r="Q106" t="str">
        <f>IF(OR('Base Encuesta'!X80="",IFERROR(VALUE(LEFT('Base Encuesta'!K80,1)),"")&gt;=3),"",VALUE(LEFT('Base Encuesta'!X80,1)))</f>
        <v/>
      </c>
      <c r="R106" t="str">
        <f>IF(OR('Base Encuesta'!Y80="",IFERROR(VALUE(LEFT('Base Encuesta'!K80,1)),"")&gt;=3),"",VALUE(LEFT('Base Encuesta'!Y80,1)))</f>
        <v/>
      </c>
      <c r="S106" t="str">
        <f>IF(OR('Base Encuesta'!Z80="",IFERROR(VALUE(LEFT('Base Encuesta'!K80,1)),"")&gt;=3),"",VALUE(LEFT('Base Encuesta'!Z80,1)))</f>
        <v/>
      </c>
      <c r="T106" t="str">
        <f>IF(OR('Base Encuesta'!AA80="",IFERROR(VALUE(LEFT('Base Encuesta'!K80,1)),"")&gt;=3),"",VALUE(LEFT('Base Encuesta'!AA80,1)))</f>
        <v/>
      </c>
      <c r="U106" t="str">
        <f>IF(OR('Base Encuesta'!AB80="",IFERROR(VALUE(LEFT('Base Encuesta'!K80,1)),"")&gt;=3),"",VALUE(LEFT('Base Encuesta'!AB80,1)))</f>
        <v/>
      </c>
      <c r="V106" t="str">
        <f>IF(OR('Base Encuesta'!AC80="",IFERROR(VALUE(LEFT('Base Encuesta'!K80,1)),"")&gt;=3),"",VALUE(LEFT('Base Encuesta'!AC80,1)))</f>
        <v/>
      </c>
      <c r="W106" t="str">
        <f>IF(OR('Base Encuesta'!AE80="",IFERROR(VALUE(LEFT('Base Encuesta'!K80,1)),"")&gt;=3),"",VALUE(LEFT('Base Encuesta'!AE80,1)))</f>
        <v/>
      </c>
      <c r="X106" t="str">
        <f>IF(OR('Base Encuesta'!AF80="",IFERROR(VALUE(LEFT('Base Encuesta'!K80,1)),"")&gt;=3),"",IF(W106=1,VALUE(LEFT('Base Encuesta'!AF80,1)),""))</f>
        <v/>
      </c>
      <c r="Y106" t="str">
        <f>IF(OR('Base Encuesta'!AG80="",IFERROR(VALUE(LEFT('Base Encuesta'!K80,1)),"")&gt;=3),"",IF(W106=1,VALUE(LEFT('Base Encuesta'!AG80,1)),""))</f>
        <v/>
      </c>
      <c r="Z106" t="str">
        <f>IF(OR('Base Encuesta'!AH80="",IFERROR(VALUE(LEFT('Base Encuesta'!K80,1)),"")&gt;=3),"",IF(W106=1,VALUE(LEFT('Base Encuesta'!AH80,1)),""))</f>
        <v/>
      </c>
      <c r="AA106" t="str">
        <f>IF(OR('Base Encuesta'!AI80="",IFERROR(VALUE(LEFT('Base Encuesta'!K80,1)),"")&gt;=3),"",IF(W106=1,VALUE(LEFT('Base Encuesta'!AI80,1)),""))</f>
        <v/>
      </c>
      <c r="AB106" t="str">
        <f>IF(OR('Base Encuesta'!AJ80="",IFERROR(VALUE(LEFT('Base Encuesta'!K80,1)),"")&gt;=3),"",IF(W106=1,VALUE(LEFT('Base Encuesta'!AJ80,1)),""))</f>
        <v/>
      </c>
      <c r="AC106" t="str">
        <f>IF(OR('Base Encuesta'!AL80="",IFERROR(VALUE(LEFT('Base Encuesta'!K80,1)),"")&gt;=3),"",VALUE(LEFT('Base Encuesta'!AL80,1)))</f>
        <v/>
      </c>
      <c r="AD106" t="str">
        <f>IF(OR('Base Encuesta'!AM80="",IFERROR(VALUE(LEFT('Base Encuesta'!K80,1)),"")&gt;=3),"",VALUE(LEFT('Base Encuesta'!AM80,1)))</f>
        <v/>
      </c>
      <c r="AE106" t="str">
        <f>IF(OR('Base Encuesta'!AN80="",IFERROR(VALUE(LEFT('Base Encuesta'!K80,1)),"")&gt;=3),"",VALUE(LEFT('Base Encuesta'!AN80,1)))</f>
        <v/>
      </c>
      <c r="AF106" t="str">
        <f>IF(OR('Base Encuesta'!AO80="",IFERROR(VALUE(LEFT('Base Encuesta'!K80,1)),"")&gt;=3),"",VALUE(LEFT('Base Encuesta'!AO80,1)))</f>
        <v/>
      </c>
      <c r="AG106" t="str">
        <f>IF(OR('Base Encuesta'!AQ80="",IFERROR(VALUE(LEFT('Base Encuesta'!K80,1)),"")&gt;=3),"",VALUE(LEFT('Base Encuesta'!AQ80,1)))</f>
        <v/>
      </c>
      <c r="AH106" t="str">
        <f>IF(OR('Base Encuesta'!AR80="",IFERROR(VALUE(LEFT('Base Encuesta'!K80,1)),"")&gt;=3),"",VALUE(LEFT('Base Encuesta'!AR80,1)))</f>
        <v/>
      </c>
    </row>
    <row r="107" spans="1:34">
      <c r="A107" t="str">
        <f>IF('Base Encuesta'!C81="","",'Base Encuesta'!C81)</f>
        <v/>
      </c>
      <c r="B107" t="str">
        <f>IF('Base Encuesta'!D81="","",'Base Encuesta'!D81)</f>
        <v/>
      </c>
      <c r="C107" t="str">
        <f>IF('Base Encuesta'!E81="","",'Base Encuesta'!E81)</f>
        <v/>
      </c>
      <c r="D107" t="str">
        <f>IF('Base Encuesta'!F81="","",'Base Encuesta'!F81)</f>
        <v/>
      </c>
      <c r="E107" t="str">
        <f>IF('Base Encuesta'!G81="","",'Base Encuesta'!G81)</f>
        <v/>
      </c>
      <c r="F107" t="str">
        <f>IF('Base Encuesta'!H81="","",'Base Encuesta'!H81)</f>
        <v/>
      </c>
      <c r="G107" t="str">
        <f>IF('Base Encuesta'!I81="","",'Base Encuesta'!I81)</f>
        <v/>
      </c>
      <c r="H107" t="str">
        <f>IF('Base Encuesta'!J81="","",'Base Encuesta'!J81)</f>
        <v/>
      </c>
      <c r="I107" t="str">
        <f>IF('Base Encuesta'!K81="","",'Base Encuesta'!K81)</f>
        <v/>
      </c>
      <c r="J107" t="str">
        <f>IF(OR('Base Encuesta'!P81="",IFERROR(VALUE(LEFT('Base Encuesta'!K81,1)),"")&gt;=3),"",PROPER(TRIM('Base Encuesta'!P81)))</f>
        <v/>
      </c>
      <c r="K107" t="str">
        <f>IF(OR('Base Encuesta'!Q81="",IFERROR(VALUE(LEFT('Base Encuesta'!K81,1)),"")&gt;=3),"",'Base Encuesta'!Q81)</f>
        <v/>
      </c>
      <c r="L107" t="str">
        <f>IF(OR('Base Encuesta'!R81="",IFERROR(VALUE(LEFT('Base Encuesta'!K81,1)),"")&gt;=3),"",VALUE(LEFT('Base Encuesta'!R81,1)))</f>
        <v/>
      </c>
      <c r="M107" t="str">
        <f>IF(OR('Base Encuesta'!S81="",IFERROR(VALUE(LEFT('Base Encuesta'!K81,1)),"")&gt;=3),"",VALUE(LEFT('Base Encuesta'!S81,1)))</f>
        <v/>
      </c>
      <c r="N107" t="str">
        <f>IF(OR('Base Encuesta'!T81="",IFERROR(VALUE(LEFT('Base Encuesta'!K81,1)),"")&gt;=3),"",VALUE(LEFT('Base Encuesta'!T81,1)))</f>
        <v/>
      </c>
      <c r="O107" t="str">
        <f>IF(OR('Base Encuesta'!V81="",IFERROR(VALUE(LEFT('Base Encuesta'!K81,1)),"")&gt;=3),"",VALUE(LEFT('Base Encuesta'!V81,1)))</f>
        <v/>
      </c>
      <c r="P107" t="str">
        <f>IF(OR('Base Encuesta'!W81="",IFERROR(VALUE(LEFT('Base Encuesta'!K81,1)),"")&gt;=3),"",VALUE(LEFT('Base Encuesta'!W81,1)))</f>
        <v/>
      </c>
      <c r="Q107" t="str">
        <f>IF(OR('Base Encuesta'!X81="",IFERROR(VALUE(LEFT('Base Encuesta'!K81,1)),"")&gt;=3),"",VALUE(LEFT('Base Encuesta'!X81,1)))</f>
        <v/>
      </c>
      <c r="R107" t="str">
        <f>IF(OR('Base Encuesta'!Y81="",IFERROR(VALUE(LEFT('Base Encuesta'!K81,1)),"")&gt;=3),"",VALUE(LEFT('Base Encuesta'!Y81,1)))</f>
        <v/>
      </c>
      <c r="S107" t="str">
        <f>IF(OR('Base Encuesta'!Z81="",IFERROR(VALUE(LEFT('Base Encuesta'!K81,1)),"")&gt;=3),"",VALUE(LEFT('Base Encuesta'!Z81,1)))</f>
        <v/>
      </c>
      <c r="T107" t="str">
        <f>IF(OR('Base Encuesta'!AA81="",IFERROR(VALUE(LEFT('Base Encuesta'!K81,1)),"")&gt;=3),"",VALUE(LEFT('Base Encuesta'!AA81,1)))</f>
        <v/>
      </c>
      <c r="U107" t="str">
        <f>IF(OR('Base Encuesta'!AB81="",IFERROR(VALUE(LEFT('Base Encuesta'!K81,1)),"")&gt;=3),"",VALUE(LEFT('Base Encuesta'!AB81,1)))</f>
        <v/>
      </c>
      <c r="V107" t="str">
        <f>IF(OR('Base Encuesta'!AC81="",IFERROR(VALUE(LEFT('Base Encuesta'!K81,1)),"")&gt;=3),"",VALUE(LEFT('Base Encuesta'!AC81,1)))</f>
        <v/>
      </c>
      <c r="W107" t="str">
        <f>IF(OR('Base Encuesta'!AE81="",IFERROR(VALUE(LEFT('Base Encuesta'!K81,1)),"")&gt;=3),"",VALUE(LEFT('Base Encuesta'!AE81,1)))</f>
        <v/>
      </c>
      <c r="X107" t="str">
        <f>IF(OR('Base Encuesta'!AF81="",IFERROR(VALUE(LEFT('Base Encuesta'!K81,1)),"")&gt;=3),"",IF(W107=1,VALUE(LEFT('Base Encuesta'!AF81,1)),""))</f>
        <v/>
      </c>
      <c r="Y107" t="str">
        <f>IF(OR('Base Encuesta'!AG81="",IFERROR(VALUE(LEFT('Base Encuesta'!K81,1)),"")&gt;=3),"",IF(W107=1,VALUE(LEFT('Base Encuesta'!AG81,1)),""))</f>
        <v/>
      </c>
      <c r="Z107" t="str">
        <f>IF(OR('Base Encuesta'!AH81="",IFERROR(VALUE(LEFT('Base Encuesta'!K81,1)),"")&gt;=3),"",IF(W107=1,VALUE(LEFT('Base Encuesta'!AH81,1)),""))</f>
        <v/>
      </c>
      <c r="AA107" t="str">
        <f>IF(OR('Base Encuesta'!AI81="",IFERROR(VALUE(LEFT('Base Encuesta'!K81,1)),"")&gt;=3),"",IF(W107=1,VALUE(LEFT('Base Encuesta'!AI81,1)),""))</f>
        <v/>
      </c>
      <c r="AB107" t="str">
        <f>IF(OR('Base Encuesta'!AJ81="",IFERROR(VALUE(LEFT('Base Encuesta'!K81,1)),"")&gt;=3),"",IF(W107=1,VALUE(LEFT('Base Encuesta'!AJ81,1)),""))</f>
        <v/>
      </c>
      <c r="AC107" t="str">
        <f>IF(OR('Base Encuesta'!AL81="",IFERROR(VALUE(LEFT('Base Encuesta'!K81,1)),"")&gt;=3),"",VALUE(LEFT('Base Encuesta'!AL81,1)))</f>
        <v/>
      </c>
      <c r="AD107" t="str">
        <f>IF(OR('Base Encuesta'!AM81="",IFERROR(VALUE(LEFT('Base Encuesta'!K81,1)),"")&gt;=3),"",VALUE(LEFT('Base Encuesta'!AM81,1)))</f>
        <v/>
      </c>
      <c r="AE107" t="str">
        <f>IF(OR('Base Encuesta'!AN81="",IFERROR(VALUE(LEFT('Base Encuesta'!K81,1)),"")&gt;=3),"",VALUE(LEFT('Base Encuesta'!AN81,1)))</f>
        <v/>
      </c>
      <c r="AF107" t="str">
        <f>IF(OR('Base Encuesta'!AO81="",IFERROR(VALUE(LEFT('Base Encuesta'!K81,1)),"")&gt;=3),"",VALUE(LEFT('Base Encuesta'!AO81,1)))</f>
        <v/>
      </c>
      <c r="AG107" t="str">
        <f>IF(OR('Base Encuesta'!AQ81="",IFERROR(VALUE(LEFT('Base Encuesta'!K81,1)),"")&gt;=3),"",VALUE(LEFT('Base Encuesta'!AQ81,1)))</f>
        <v/>
      </c>
      <c r="AH107" t="str">
        <f>IF(OR('Base Encuesta'!AR81="",IFERROR(VALUE(LEFT('Base Encuesta'!K81,1)),"")&gt;=3),"",VALUE(LEFT('Base Encuesta'!AR81,1)))</f>
        <v/>
      </c>
    </row>
    <row r="108" spans="1:34">
      <c r="A108" t="str">
        <f>IF('Base Encuesta'!C82="","",'Base Encuesta'!C82)</f>
        <v/>
      </c>
      <c r="B108" t="str">
        <f>IF('Base Encuesta'!D82="","",'Base Encuesta'!D82)</f>
        <v/>
      </c>
      <c r="C108" t="str">
        <f>IF('Base Encuesta'!E82="","",'Base Encuesta'!E82)</f>
        <v/>
      </c>
      <c r="D108" t="str">
        <f>IF('Base Encuesta'!F82="","",'Base Encuesta'!F82)</f>
        <v/>
      </c>
      <c r="E108" t="str">
        <f>IF('Base Encuesta'!G82="","",'Base Encuesta'!G82)</f>
        <v/>
      </c>
      <c r="F108" t="str">
        <f>IF('Base Encuesta'!H82="","",'Base Encuesta'!H82)</f>
        <v/>
      </c>
      <c r="G108" t="str">
        <f>IF('Base Encuesta'!I82="","",'Base Encuesta'!I82)</f>
        <v/>
      </c>
      <c r="H108" t="str">
        <f>IF('Base Encuesta'!J82="","",'Base Encuesta'!J82)</f>
        <v/>
      </c>
      <c r="I108" t="str">
        <f>IF('Base Encuesta'!K82="","",'Base Encuesta'!K82)</f>
        <v/>
      </c>
      <c r="J108" t="str">
        <f>IF(OR('Base Encuesta'!P82="",IFERROR(VALUE(LEFT('Base Encuesta'!K82,1)),"")&gt;=3),"",PROPER(TRIM('Base Encuesta'!P82)))</f>
        <v/>
      </c>
      <c r="K108" t="str">
        <f>IF(OR('Base Encuesta'!Q82="",IFERROR(VALUE(LEFT('Base Encuesta'!K82,1)),"")&gt;=3),"",'Base Encuesta'!Q82)</f>
        <v/>
      </c>
      <c r="L108" t="str">
        <f>IF(OR('Base Encuesta'!R82="",IFERROR(VALUE(LEFT('Base Encuesta'!K82,1)),"")&gt;=3),"",VALUE(LEFT('Base Encuesta'!R82,1)))</f>
        <v/>
      </c>
      <c r="M108" t="str">
        <f>IF(OR('Base Encuesta'!S82="",IFERROR(VALUE(LEFT('Base Encuesta'!K82,1)),"")&gt;=3),"",VALUE(LEFT('Base Encuesta'!S82,1)))</f>
        <v/>
      </c>
      <c r="N108" t="str">
        <f>IF(OR('Base Encuesta'!T82="",IFERROR(VALUE(LEFT('Base Encuesta'!K82,1)),"")&gt;=3),"",VALUE(LEFT('Base Encuesta'!T82,1)))</f>
        <v/>
      </c>
      <c r="O108" t="str">
        <f>IF(OR('Base Encuesta'!V82="",IFERROR(VALUE(LEFT('Base Encuesta'!K82,1)),"")&gt;=3),"",VALUE(LEFT('Base Encuesta'!V82,1)))</f>
        <v/>
      </c>
      <c r="P108" t="str">
        <f>IF(OR('Base Encuesta'!W82="",IFERROR(VALUE(LEFT('Base Encuesta'!K82,1)),"")&gt;=3),"",VALUE(LEFT('Base Encuesta'!W82,1)))</f>
        <v/>
      </c>
      <c r="Q108" t="str">
        <f>IF(OR('Base Encuesta'!X82="",IFERROR(VALUE(LEFT('Base Encuesta'!K82,1)),"")&gt;=3),"",VALUE(LEFT('Base Encuesta'!X82,1)))</f>
        <v/>
      </c>
      <c r="R108" t="str">
        <f>IF(OR('Base Encuesta'!Y82="",IFERROR(VALUE(LEFT('Base Encuesta'!K82,1)),"")&gt;=3),"",VALUE(LEFT('Base Encuesta'!Y82,1)))</f>
        <v/>
      </c>
      <c r="S108" t="str">
        <f>IF(OR('Base Encuesta'!Z82="",IFERROR(VALUE(LEFT('Base Encuesta'!K82,1)),"")&gt;=3),"",VALUE(LEFT('Base Encuesta'!Z82,1)))</f>
        <v/>
      </c>
      <c r="T108" t="str">
        <f>IF(OR('Base Encuesta'!AA82="",IFERROR(VALUE(LEFT('Base Encuesta'!K82,1)),"")&gt;=3),"",VALUE(LEFT('Base Encuesta'!AA82,1)))</f>
        <v/>
      </c>
      <c r="U108" t="str">
        <f>IF(OR('Base Encuesta'!AB82="",IFERROR(VALUE(LEFT('Base Encuesta'!K82,1)),"")&gt;=3),"",VALUE(LEFT('Base Encuesta'!AB82,1)))</f>
        <v/>
      </c>
      <c r="V108" t="str">
        <f>IF(OR('Base Encuesta'!AC82="",IFERROR(VALUE(LEFT('Base Encuesta'!K82,1)),"")&gt;=3),"",VALUE(LEFT('Base Encuesta'!AC82,1)))</f>
        <v/>
      </c>
      <c r="W108" t="str">
        <f>IF(OR('Base Encuesta'!AE82="",IFERROR(VALUE(LEFT('Base Encuesta'!K82,1)),"")&gt;=3),"",VALUE(LEFT('Base Encuesta'!AE82,1)))</f>
        <v/>
      </c>
      <c r="X108" t="str">
        <f>IF(OR('Base Encuesta'!AF82="",IFERROR(VALUE(LEFT('Base Encuesta'!K82,1)),"")&gt;=3),"",IF(W108=1,VALUE(LEFT('Base Encuesta'!AF82,1)),""))</f>
        <v/>
      </c>
      <c r="Y108" t="str">
        <f>IF(OR('Base Encuesta'!AG82="",IFERROR(VALUE(LEFT('Base Encuesta'!K82,1)),"")&gt;=3),"",IF(W108=1,VALUE(LEFT('Base Encuesta'!AG82,1)),""))</f>
        <v/>
      </c>
      <c r="Z108" t="str">
        <f>IF(OR('Base Encuesta'!AH82="",IFERROR(VALUE(LEFT('Base Encuesta'!K82,1)),"")&gt;=3),"",IF(W108=1,VALUE(LEFT('Base Encuesta'!AH82,1)),""))</f>
        <v/>
      </c>
      <c r="AA108" t="str">
        <f>IF(OR('Base Encuesta'!AI82="",IFERROR(VALUE(LEFT('Base Encuesta'!K82,1)),"")&gt;=3),"",IF(W108=1,VALUE(LEFT('Base Encuesta'!AI82,1)),""))</f>
        <v/>
      </c>
      <c r="AB108" t="str">
        <f>IF(OR('Base Encuesta'!AJ82="",IFERROR(VALUE(LEFT('Base Encuesta'!K82,1)),"")&gt;=3),"",IF(W108=1,VALUE(LEFT('Base Encuesta'!AJ82,1)),""))</f>
        <v/>
      </c>
      <c r="AC108" t="str">
        <f>IF(OR('Base Encuesta'!AL82="",IFERROR(VALUE(LEFT('Base Encuesta'!K82,1)),"")&gt;=3),"",VALUE(LEFT('Base Encuesta'!AL82,1)))</f>
        <v/>
      </c>
      <c r="AD108" t="str">
        <f>IF(OR('Base Encuesta'!AM82="",IFERROR(VALUE(LEFT('Base Encuesta'!K82,1)),"")&gt;=3),"",VALUE(LEFT('Base Encuesta'!AM82,1)))</f>
        <v/>
      </c>
      <c r="AE108" t="str">
        <f>IF(OR('Base Encuesta'!AN82="",IFERROR(VALUE(LEFT('Base Encuesta'!K82,1)),"")&gt;=3),"",VALUE(LEFT('Base Encuesta'!AN82,1)))</f>
        <v/>
      </c>
      <c r="AF108" t="str">
        <f>IF(OR('Base Encuesta'!AO82="",IFERROR(VALUE(LEFT('Base Encuesta'!K82,1)),"")&gt;=3),"",VALUE(LEFT('Base Encuesta'!AO82,1)))</f>
        <v/>
      </c>
      <c r="AG108" t="str">
        <f>IF(OR('Base Encuesta'!AQ82="",IFERROR(VALUE(LEFT('Base Encuesta'!K82,1)),"")&gt;=3),"",VALUE(LEFT('Base Encuesta'!AQ82,1)))</f>
        <v/>
      </c>
      <c r="AH108" t="str">
        <f>IF(OR('Base Encuesta'!AR82="",IFERROR(VALUE(LEFT('Base Encuesta'!K82,1)),"")&gt;=3),"",VALUE(LEFT('Base Encuesta'!AR82,1)))</f>
        <v/>
      </c>
    </row>
    <row r="109" spans="1:34">
      <c r="A109" t="str">
        <f>IF('Base Encuesta'!C83="","",'Base Encuesta'!C83)</f>
        <v/>
      </c>
      <c r="B109" t="str">
        <f>IF('Base Encuesta'!D83="","",'Base Encuesta'!D83)</f>
        <v/>
      </c>
      <c r="C109" t="str">
        <f>IF('Base Encuesta'!E83="","",'Base Encuesta'!E83)</f>
        <v/>
      </c>
      <c r="D109" t="str">
        <f>IF('Base Encuesta'!F83="","",'Base Encuesta'!F83)</f>
        <v/>
      </c>
      <c r="E109" t="str">
        <f>IF('Base Encuesta'!G83="","",'Base Encuesta'!G83)</f>
        <v/>
      </c>
      <c r="F109" t="str">
        <f>IF('Base Encuesta'!H83="","",'Base Encuesta'!H83)</f>
        <v/>
      </c>
      <c r="G109" t="str">
        <f>IF('Base Encuesta'!I83="","",'Base Encuesta'!I83)</f>
        <v/>
      </c>
      <c r="H109" t="str">
        <f>IF('Base Encuesta'!J83="","",'Base Encuesta'!J83)</f>
        <v/>
      </c>
      <c r="I109" t="str">
        <f>IF('Base Encuesta'!K83="","",'Base Encuesta'!K83)</f>
        <v/>
      </c>
      <c r="J109" t="str">
        <f>IF(OR('Base Encuesta'!P83="",IFERROR(VALUE(LEFT('Base Encuesta'!K83,1)),"")&gt;=3),"",PROPER(TRIM('Base Encuesta'!P83)))</f>
        <v/>
      </c>
      <c r="K109" t="str">
        <f>IF(OR('Base Encuesta'!Q83="",IFERROR(VALUE(LEFT('Base Encuesta'!K83,1)),"")&gt;=3),"",'Base Encuesta'!Q83)</f>
        <v/>
      </c>
      <c r="L109" t="str">
        <f>IF(OR('Base Encuesta'!R83="",IFERROR(VALUE(LEFT('Base Encuesta'!K83,1)),"")&gt;=3),"",VALUE(LEFT('Base Encuesta'!R83,1)))</f>
        <v/>
      </c>
      <c r="M109" t="str">
        <f>IF(OR('Base Encuesta'!S83="",IFERROR(VALUE(LEFT('Base Encuesta'!K83,1)),"")&gt;=3),"",VALUE(LEFT('Base Encuesta'!S83,1)))</f>
        <v/>
      </c>
      <c r="N109" t="str">
        <f>IF(OR('Base Encuesta'!T83="",IFERROR(VALUE(LEFT('Base Encuesta'!K83,1)),"")&gt;=3),"",VALUE(LEFT('Base Encuesta'!T83,1)))</f>
        <v/>
      </c>
      <c r="O109" t="str">
        <f>IF(OR('Base Encuesta'!V83="",IFERROR(VALUE(LEFT('Base Encuesta'!K83,1)),"")&gt;=3),"",VALUE(LEFT('Base Encuesta'!V83,1)))</f>
        <v/>
      </c>
      <c r="P109" t="str">
        <f>IF(OR('Base Encuesta'!W83="",IFERROR(VALUE(LEFT('Base Encuesta'!K83,1)),"")&gt;=3),"",VALUE(LEFT('Base Encuesta'!W83,1)))</f>
        <v/>
      </c>
      <c r="Q109" t="str">
        <f>IF(OR('Base Encuesta'!X83="",IFERROR(VALUE(LEFT('Base Encuesta'!K83,1)),"")&gt;=3),"",VALUE(LEFT('Base Encuesta'!X83,1)))</f>
        <v/>
      </c>
      <c r="R109" t="str">
        <f>IF(OR('Base Encuesta'!Y83="",IFERROR(VALUE(LEFT('Base Encuesta'!K83,1)),"")&gt;=3),"",VALUE(LEFT('Base Encuesta'!Y83,1)))</f>
        <v/>
      </c>
      <c r="S109" t="str">
        <f>IF(OR('Base Encuesta'!Z83="",IFERROR(VALUE(LEFT('Base Encuesta'!K83,1)),"")&gt;=3),"",VALUE(LEFT('Base Encuesta'!Z83,1)))</f>
        <v/>
      </c>
      <c r="T109" t="str">
        <f>IF(OR('Base Encuesta'!AA83="",IFERROR(VALUE(LEFT('Base Encuesta'!K83,1)),"")&gt;=3),"",VALUE(LEFT('Base Encuesta'!AA83,1)))</f>
        <v/>
      </c>
      <c r="U109" t="str">
        <f>IF(OR('Base Encuesta'!AB83="",IFERROR(VALUE(LEFT('Base Encuesta'!K83,1)),"")&gt;=3),"",VALUE(LEFT('Base Encuesta'!AB83,1)))</f>
        <v/>
      </c>
      <c r="V109" t="str">
        <f>IF(OR('Base Encuesta'!AC83="",IFERROR(VALUE(LEFT('Base Encuesta'!K83,1)),"")&gt;=3),"",VALUE(LEFT('Base Encuesta'!AC83,1)))</f>
        <v/>
      </c>
      <c r="W109" t="str">
        <f>IF(OR('Base Encuesta'!AE83="",IFERROR(VALUE(LEFT('Base Encuesta'!K83,1)),"")&gt;=3),"",VALUE(LEFT('Base Encuesta'!AE83,1)))</f>
        <v/>
      </c>
      <c r="X109" t="str">
        <f>IF(OR('Base Encuesta'!AF83="",IFERROR(VALUE(LEFT('Base Encuesta'!K83,1)),"")&gt;=3),"",IF(W109=1,VALUE(LEFT('Base Encuesta'!AF83,1)),""))</f>
        <v/>
      </c>
      <c r="Y109" t="str">
        <f>IF(OR('Base Encuesta'!AG83="",IFERROR(VALUE(LEFT('Base Encuesta'!K83,1)),"")&gt;=3),"",IF(W109=1,VALUE(LEFT('Base Encuesta'!AG83,1)),""))</f>
        <v/>
      </c>
      <c r="Z109" t="str">
        <f>IF(OR('Base Encuesta'!AH83="",IFERROR(VALUE(LEFT('Base Encuesta'!K83,1)),"")&gt;=3),"",IF(W109=1,VALUE(LEFT('Base Encuesta'!AH83,1)),""))</f>
        <v/>
      </c>
      <c r="AA109" t="str">
        <f>IF(OR('Base Encuesta'!AI83="",IFERROR(VALUE(LEFT('Base Encuesta'!K83,1)),"")&gt;=3),"",IF(W109=1,VALUE(LEFT('Base Encuesta'!AI83,1)),""))</f>
        <v/>
      </c>
      <c r="AB109" t="str">
        <f>IF(OR('Base Encuesta'!AJ83="",IFERROR(VALUE(LEFT('Base Encuesta'!K83,1)),"")&gt;=3),"",IF(W109=1,VALUE(LEFT('Base Encuesta'!AJ83,1)),""))</f>
        <v/>
      </c>
      <c r="AC109" t="str">
        <f>IF(OR('Base Encuesta'!AL83="",IFERROR(VALUE(LEFT('Base Encuesta'!K83,1)),"")&gt;=3),"",VALUE(LEFT('Base Encuesta'!AL83,1)))</f>
        <v/>
      </c>
      <c r="AD109" t="str">
        <f>IF(OR('Base Encuesta'!AM83="",IFERROR(VALUE(LEFT('Base Encuesta'!K83,1)),"")&gt;=3),"",VALUE(LEFT('Base Encuesta'!AM83,1)))</f>
        <v/>
      </c>
      <c r="AE109" t="str">
        <f>IF(OR('Base Encuesta'!AN83="",IFERROR(VALUE(LEFT('Base Encuesta'!K83,1)),"")&gt;=3),"",VALUE(LEFT('Base Encuesta'!AN83,1)))</f>
        <v/>
      </c>
      <c r="AF109" t="str">
        <f>IF(OR('Base Encuesta'!AO83="",IFERROR(VALUE(LEFT('Base Encuesta'!K83,1)),"")&gt;=3),"",VALUE(LEFT('Base Encuesta'!AO83,1)))</f>
        <v/>
      </c>
      <c r="AG109" t="str">
        <f>IF(OR('Base Encuesta'!AQ83="",IFERROR(VALUE(LEFT('Base Encuesta'!K83,1)),"")&gt;=3),"",VALUE(LEFT('Base Encuesta'!AQ83,1)))</f>
        <v/>
      </c>
      <c r="AH109" t="str">
        <f>IF(OR('Base Encuesta'!AR83="",IFERROR(VALUE(LEFT('Base Encuesta'!K83,1)),"")&gt;=3),"",VALUE(LEFT('Base Encuesta'!AR83,1)))</f>
        <v/>
      </c>
    </row>
    <row r="110" spans="1:34">
      <c r="A110" t="str">
        <f>IF('Base Encuesta'!C84="","",'Base Encuesta'!C84)</f>
        <v/>
      </c>
      <c r="B110" t="str">
        <f>IF('Base Encuesta'!D84="","",'Base Encuesta'!D84)</f>
        <v/>
      </c>
      <c r="C110" t="str">
        <f>IF('Base Encuesta'!E84="","",'Base Encuesta'!E84)</f>
        <v/>
      </c>
      <c r="D110" t="str">
        <f>IF('Base Encuesta'!F84="","",'Base Encuesta'!F84)</f>
        <v/>
      </c>
      <c r="E110" t="str">
        <f>IF('Base Encuesta'!G84="","",'Base Encuesta'!G84)</f>
        <v/>
      </c>
      <c r="F110" t="str">
        <f>IF('Base Encuesta'!H84="","",'Base Encuesta'!H84)</f>
        <v/>
      </c>
      <c r="G110" t="str">
        <f>IF('Base Encuesta'!I84="","",'Base Encuesta'!I84)</f>
        <v/>
      </c>
      <c r="H110" t="str">
        <f>IF('Base Encuesta'!J84="","",'Base Encuesta'!J84)</f>
        <v/>
      </c>
      <c r="I110" t="str">
        <f>IF('Base Encuesta'!K84="","",'Base Encuesta'!K84)</f>
        <v/>
      </c>
      <c r="J110" t="str">
        <f>IF(OR('Base Encuesta'!P84="",IFERROR(VALUE(LEFT('Base Encuesta'!K84,1)),"")&gt;=3),"",PROPER(TRIM('Base Encuesta'!P84)))</f>
        <v/>
      </c>
      <c r="K110" t="str">
        <f>IF(OR('Base Encuesta'!Q84="",IFERROR(VALUE(LEFT('Base Encuesta'!K84,1)),"")&gt;=3),"",'Base Encuesta'!Q84)</f>
        <v/>
      </c>
      <c r="L110" t="str">
        <f>IF(OR('Base Encuesta'!R84="",IFERROR(VALUE(LEFT('Base Encuesta'!K84,1)),"")&gt;=3),"",VALUE(LEFT('Base Encuesta'!R84,1)))</f>
        <v/>
      </c>
      <c r="M110" t="str">
        <f>IF(OR('Base Encuesta'!S84="",IFERROR(VALUE(LEFT('Base Encuesta'!K84,1)),"")&gt;=3),"",VALUE(LEFT('Base Encuesta'!S84,1)))</f>
        <v/>
      </c>
      <c r="N110" t="str">
        <f>IF(OR('Base Encuesta'!T84="",IFERROR(VALUE(LEFT('Base Encuesta'!K84,1)),"")&gt;=3),"",VALUE(LEFT('Base Encuesta'!T84,1)))</f>
        <v/>
      </c>
      <c r="O110" t="str">
        <f>IF(OR('Base Encuesta'!V84="",IFERROR(VALUE(LEFT('Base Encuesta'!K84,1)),"")&gt;=3),"",VALUE(LEFT('Base Encuesta'!V84,1)))</f>
        <v/>
      </c>
      <c r="P110" t="str">
        <f>IF(OR('Base Encuesta'!W84="",IFERROR(VALUE(LEFT('Base Encuesta'!K84,1)),"")&gt;=3),"",VALUE(LEFT('Base Encuesta'!W84,1)))</f>
        <v/>
      </c>
      <c r="Q110" t="str">
        <f>IF(OR('Base Encuesta'!X84="",IFERROR(VALUE(LEFT('Base Encuesta'!K84,1)),"")&gt;=3),"",VALUE(LEFT('Base Encuesta'!X84,1)))</f>
        <v/>
      </c>
      <c r="R110" t="str">
        <f>IF(OR('Base Encuesta'!Y84="",IFERROR(VALUE(LEFT('Base Encuesta'!K84,1)),"")&gt;=3),"",VALUE(LEFT('Base Encuesta'!Y84,1)))</f>
        <v/>
      </c>
      <c r="S110" t="str">
        <f>IF(OR('Base Encuesta'!Z84="",IFERROR(VALUE(LEFT('Base Encuesta'!K84,1)),"")&gt;=3),"",VALUE(LEFT('Base Encuesta'!Z84,1)))</f>
        <v/>
      </c>
      <c r="T110" t="str">
        <f>IF(OR('Base Encuesta'!AA84="",IFERROR(VALUE(LEFT('Base Encuesta'!K84,1)),"")&gt;=3),"",VALUE(LEFT('Base Encuesta'!AA84,1)))</f>
        <v/>
      </c>
      <c r="U110" t="str">
        <f>IF(OR('Base Encuesta'!AB84="",IFERROR(VALUE(LEFT('Base Encuesta'!K84,1)),"")&gt;=3),"",VALUE(LEFT('Base Encuesta'!AB84,1)))</f>
        <v/>
      </c>
      <c r="V110" t="str">
        <f>IF(OR('Base Encuesta'!AC84="",IFERROR(VALUE(LEFT('Base Encuesta'!K84,1)),"")&gt;=3),"",VALUE(LEFT('Base Encuesta'!AC84,1)))</f>
        <v/>
      </c>
      <c r="W110" t="str">
        <f>IF(OR('Base Encuesta'!AE84="",IFERROR(VALUE(LEFT('Base Encuesta'!K84,1)),"")&gt;=3),"",VALUE(LEFT('Base Encuesta'!AE84,1)))</f>
        <v/>
      </c>
      <c r="X110" t="str">
        <f>IF(OR('Base Encuesta'!AF84="",IFERROR(VALUE(LEFT('Base Encuesta'!K84,1)),"")&gt;=3),"",IF(W110=1,VALUE(LEFT('Base Encuesta'!AF84,1)),""))</f>
        <v/>
      </c>
      <c r="Y110" t="str">
        <f>IF(OR('Base Encuesta'!AG84="",IFERROR(VALUE(LEFT('Base Encuesta'!K84,1)),"")&gt;=3),"",IF(W110=1,VALUE(LEFT('Base Encuesta'!AG84,1)),""))</f>
        <v/>
      </c>
      <c r="Z110" t="str">
        <f>IF(OR('Base Encuesta'!AH84="",IFERROR(VALUE(LEFT('Base Encuesta'!K84,1)),"")&gt;=3),"",IF(W110=1,VALUE(LEFT('Base Encuesta'!AH84,1)),""))</f>
        <v/>
      </c>
      <c r="AA110" t="str">
        <f>IF(OR('Base Encuesta'!AI84="",IFERROR(VALUE(LEFT('Base Encuesta'!K84,1)),"")&gt;=3),"",IF(W110=1,VALUE(LEFT('Base Encuesta'!AI84,1)),""))</f>
        <v/>
      </c>
      <c r="AB110" t="str">
        <f>IF(OR('Base Encuesta'!AJ84="",IFERROR(VALUE(LEFT('Base Encuesta'!K84,1)),"")&gt;=3),"",IF(W110=1,VALUE(LEFT('Base Encuesta'!AJ84,1)),""))</f>
        <v/>
      </c>
      <c r="AC110" t="str">
        <f>IF(OR('Base Encuesta'!AL84="",IFERROR(VALUE(LEFT('Base Encuesta'!K84,1)),"")&gt;=3),"",VALUE(LEFT('Base Encuesta'!AL84,1)))</f>
        <v/>
      </c>
      <c r="AD110" t="str">
        <f>IF(OR('Base Encuesta'!AM84="",IFERROR(VALUE(LEFT('Base Encuesta'!K84,1)),"")&gt;=3),"",VALUE(LEFT('Base Encuesta'!AM84,1)))</f>
        <v/>
      </c>
      <c r="AE110" t="str">
        <f>IF(OR('Base Encuesta'!AN84="",IFERROR(VALUE(LEFT('Base Encuesta'!K84,1)),"")&gt;=3),"",VALUE(LEFT('Base Encuesta'!AN84,1)))</f>
        <v/>
      </c>
      <c r="AF110" t="str">
        <f>IF(OR('Base Encuesta'!AO84="",IFERROR(VALUE(LEFT('Base Encuesta'!K84,1)),"")&gt;=3),"",VALUE(LEFT('Base Encuesta'!AO84,1)))</f>
        <v/>
      </c>
      <c r="AG110" t="str">
        <f>IF(OR('Base Encuesta'!AQ84="",IFERROR(VALUE(LEFT('Base Encuesta'!K84,1)),"")&gt;=3),"",VALUE(LEFT('Base Encuesta'!AQ84,1)))</f>
        <v/>
      </c>
      <c r="AH110" t="str">
        <f>IF(OR('Base Encuesta'!AR84="",IFERROR(VALUE(LEFT('Base Encuesta'!K84,1)),"")&gt;=3),"",VALUE(LEFT('Base Encuesta'!AR84,1)))</f>
        <v/>
      </c>
    </row>
    <row r="111" spans="1:34">
      <c r="A111" t="str">
        <f>IF('Base Encuesta'!C85="","",'Base Encuesta'!C85)</f>
        <v/>
      </c>
      <c r="B111" t="str">
        <f>IF('Base Encuesta'!D85="","",'Base Encuesta'!D85)</f>
        <v/>
      </c>
      <c r="C111" t="str">
        <f>IF('Base Encuesta'!E85="","",'Base Encuesta'!E85)</f>
        <v/>
      </c>
      <c r="D111" t="str">
        <f>IF('Base Encuesta'!F85="","",'Base Encuesta'!F85)</f>
        <v/>
      </c>
      <c r="E111" t="str">
        <f>IF('Base Encuesta'!G85="","",'Base Encuesta'!G85)</f>
        <v/>
      </c>
      <c r="F111" t="str">
        <f>IF('Base Encuesta'!H85="","",'Base Encuesta'!H85)</f>
        <v/>
      </c>
      <c r="G111" t="str">
        <f>IF('Base Encuesta'!I85="","",'Base Encuesta'!I85)</f>
        <v/>
      </c>
      <c r="H111" t="str">
        <f>IF('Base Encuesta'!J85="","",'Base Encuesta'!J85)</f>
        <v/>
      </c>
      <c r="I111" t="str">
        <f>IF('Base Encuesta'!K85="","",'Base Encuesta'!K85)</f>
        <v/>
      </c>
      <c r="J111" t="str">
        <f>IF(OR('Base Encuesta'!P85="",IFERROR(VALUE(LEFT('Base Encuesta'!K85,1)),"")&gt;=3),"",PROPER(TRIM('Base Encuesta'!P85)))</f>
        <v/>
      </c>
      <c r="K111" t="str">
        <f>IF(OR('Base Encuesta'!Q85="",IFERROR(VALUE(LEFT('Base Encuesta'!K85,1)),"")&gt;=3),"",'Base Encuesta'!Q85)</f>
        <v/>
      </c>
      <c r="L111" t="str">
        <f>IF(OR('Base Encuesta'!R85="",IFERROR(VALUE(LEFT('Base Encuesta'!K85,1)),"")&gt;=3),"",VALUE(LEFT('Base Encuesta'!R85,1)))</f>
        <v/>
      </c>
      <c r="M111" t="str">
        <f>IF(OR('Base Encuesta'!S85="",IFERROR(VALUE(LEFT('Base Encuesta'!K85,1)),"")&gt;=3),"",VALUE(LEFT('Base Encuesta'!S85,1)))</f>
        <v/>
      </c>
      <c r="N111" t="str">
        <f>IF(OR('Base Encuesta'!T85="",IFERROR(VALUE(LEFT('Base Encuesta'!K85,1)),"")&gt;=3),"",VALUE(LEFT('Base Encuesta'!T85,1)))</f>
        <v/>
      </c>
      <c r="O111" t="str">
        <f>IF(OR('Base Encuesta'!V85="",IFERROR(VALUE(LEFT('Base Encuesta'!K85,1)),"")&gt;=3),"",VALUE(LEFT('Base Encuesta'!V85,1)))</f>
        <v/>
      </c>
      <c r="P111" t="str">
        <f>IF(OR('Base Encuesta'!W85="",IFERROR(VALUE(LEFT('Base Encuesta'!K85,1)),"")&gt;=3),"",VALUE(LEFT('Base Encuesta'!W85,1)))</f>
        <v/>
      </c>
      <c r="Q111" t="str">
        <f>IF(OR('Base Encuesta'!X85="",IFERROR(VALUE(LEFT('Base Encuesta'!K85,1)),"")&gt;=3),"",VALUE(LEFT('Base Encuesta'!X85,1)))</f>
        <v/>
      </c>
      <c r="R111" t="str">
        <f>IF(OR('Base Encuesta'!Y85="",IFERROR(VALUE(LEFT('Base Encuesta'!K85,1)),"")&gt;=3),"",VALUE(LEFT('Base Encuesta'!Y85,1)))</f>
        <v/>
      </c>
      <c r="S111" t="str">
        <f>IF(OR('Base Encuesta'!Z85="",IFERROR(VALUE(LEFT('Base Encuesta'!K85,1)),"")&gt;=3),"",VALUE(LEFT('Base Encuesta'!Z85,1)))</f>
        <v/>
      </c>
      <c r="T111" t="str">
        <f>IF(OR('Base Encuesta'!AA85="",IFERROR(VALUE(LEFT('Base Encuesta'!K85,1)),"")&gt;=3),"",VALUE(LEFT('Base Encuesta'!AA85,1)))</f>
        <v/>
      </c>
      <c r="U111" t="str">
        <f>IF(OR('Base Encuesta'!AB85="",IFERROR(VALUE(LEFT('Base Encuesta'!K85,1)),"")&gt;=3),"",VALUE(LEFT('Base Encuesta'!AB85,1)))</f>
        <v/>
      </c>
      <c r="V111" t="str">
        <f>IF(OR('Base Encuesta'!AC85="",IFERROR(VALUE(LEFT('Base Encuesta'!K85,1)),"")&gt;=3),"",VALUE(LEFT('Base Encuesta'!AC85,1)))</f>
        <v/>
      </c>
      <c r="W111" t="str">
        <f>IF(OR('Base Encuesta'!AE85="",IFERROR(VALUE(LEFT('Base Encuesta'!K85,1)),"")&gt;=3),"",VALUE(LEFT('Base Encuesta'!AE85,1)))</f>
        <v/>
      </c>
      <c r="X111" t="str">
        <f>IF(OR('Base Encuesta'!AF85="",IFERROR(VALUE(LEFT('Base Encuesta'!K85,1)),"")&gt;=3),"",IF(W111=1,VALUE(LEFT('Base Encuesta'!AF85,1)),""))</f>
        <v/>
      </c>
      <c r="Y111" t="str">
        <f>IF(OR('Base Encuesta'!AG85="",IFERROR(VALUE(LEFT('Base Encuesta'!K85,1)),"")&gt;=3),"",IF(W111=1,VALUE(LEFT('Base Encuesta'!AG85,1)),""))</f>
        <v/>
      </c>
      <c r="Z111" t="str">
        <f>IF(OR('Base Encuesta'!AH85="",IFERROR(VALUE(LEFT('Base Encuesta'!K85,1)),"")&gt;=3),"",IF(W111=1,VALUE(LEFT('Base Encuesta'!AH85,1)),""))</f>
        <v/>
      </c>
      <c r="AA111" t="str">
        <f>IF(OR('Base Encuesta'!AI85="",IFERROR(VALUE(LEFT('Base Encuesta'!K85,1)),"")&gt;=3),"",IF(W111=1,VALUE(LEFT('Base Encuesta'!AI85,1)),""))</f>
        <v/>
      </c>
      <c r="AB111" t="str">
        <f>IF(OR('Base Encuesta'!AJ85="",IFERROR(VALUE(LEFT('Base Encuesta'!K85,1)),"")&gt;=3),"",IF(W111=1,VALUE(LEFT('Base Encuesta'!AJ85,1)),""))</f>
        <v/>
      </c>
      <c r="AC111" t="str">
        <f>IF(OR('Base Encuesta'!AL85="",IFERROR(VALUE(LEFT('Base Encuesta'!K85,1)),"")&gt;=3),"",VALUE(LEFT('Base Encuesta'!AL85,1)))</f>
        <v/>
      </c>
      <c r="AD111" t="str">
        <f>IF(OR('Base Encuesta'!AM85="",IFERROR(VALUE(LEFT('Base Encuesta'!K85,1)),"")&gt;=3),"",VALUE(LEFT('Base Encuesta'!AM85,1)))</f>
        <v/>
      </c>
      <c r="AE111" t="str">
        <f>IF(OR('Base Encuesta'!AN85="",IFERROR(VALUE(LEFT('Base Encuesta'!K85,1)),"")&gt;=3),"",VALUE(LEFT('Base Encuesta'!AN85,1)))</f>
        <v/>
      </c>
      <c r="AF111" t="str">
        <f>IF(OR('Base Encuesta'!AO85="",IFERROR(VALUE(LEFT('Base Encuesta'!K85,1)),"")&gt;=3),"",VALUE(LEFT('Base Encuesta'!AO85,1)))</f>
        <v/>
      </c>
      <c r="AG111" t="str">
        <f>IF(OR('Base Encuesta'!AQ85="",IFERROR(VALUE(LEFT('Base Encuesta'!K85,1)),"")&gt;=3),"",VALUE(LEFT('Base Encuesta'!AQ85,1)))</f>
        <v/>
      </c>
      <c r="AH111" t="str">
        <f>IF(OR('Base Encuesta'!AR85="",IFERROR(VALUE(LEFT('Base Encuesta'!K85,1)),"")&gt;=3),"",VALUE(LEFT('Base Encuesta'!AR85,1)))</f>
        <v/>
      </c>
    </row>
    <row r="112" spans="1:34">
      <c r="A112" t="str">
        <f>IF('Base Encuesta'!C86="","",'Base Encuesta'!C86)</f>
        <v/>
      </c>
      <c r="B112" t="str">
        <f>IF('Base Encuesta'!D86="","",'Base Encuesta'!D86)</f>
        <v/>
      </c>
      <c r="C112" t="str">
        <f>IF('Base Encuesta'!E86="","",'Base Encuesta'!E86)</f>
        <v/>
      </c>
      <c r="D112" t="str">
        <f>IF('Base Encuesta'!F86="","",'Base Encuesta'!F86)</f>
        <v/>
      </c>
      <c r="E112" t="str">
        <f>IF('Base Encuesta'!G86="","",'Base Encuesta'!G86)</f>
        <v/>
      </c>
      <c r="F112" t="str">
        <f>IF('Base Encuesta'!H86="","",'Base Encuesta'!H86)</f>
        <v/>
      </c>
      <c r="G112" t="str">
        <f>IF('Base Encuesta'!I86="","",'Base Encuesta'!I86)</f>
        <v/>
      </c>
      <c r="H112" t="str">
        <f>IF('Base Encuesta'!J86="","",'Base Encuesta'!J86)</f>
        <v/>
      </c>
      <c r="I112" t="str">
        <f>IF('Base Encuesta'!K86="","",'Base Encuesta'!K86)</f>
        <v/>
      </c>
      <c r="J112" t="str">
        <f>IF(OR('Base Encuesta'!P86="",IFERROR(VALUE(LEFT('Base Encuesta'!K86,1)),"")&gt;=3),"",PROPER(TRIM('Base Encuesta'!P86)))</f>
        <v/>
      </c>
      <c r="K112" t="str">
        <f>IF(OR('Base Encuesta'!Q86="",IFERROR(VALUE(LEFT('Base Encuesta'!K86,1)),"")&gt;=3),"",'Base Encuesta'!Q86)</f>
        <v/>
      </c>
      <c r="L112" t="str">
        <f>IF(OR('Base Encuesta'!R86="",IFERROR(VALUE(LEFT('Base Encuesta'!K86,1)),"")&gt;=3),"",VALUE(LEFT('Base Encuesta'!R86,1)))</f>
        <v/>
      </c>
      <c r="M112" t="str">
        <f>IF(OR('Base Encuesta'!S86="",IFERROR(VALUE(LEFT('Base Encuesta'!K86,1)),"")&gt;=3),"",VALUE(LEFT('Base Encuesta'!S86,1)))</f>
        <v/>
      </c>
      <c r="N112" t="str">
        <f>IF(OR('Base Encuesta'!T86="",IFERROR(VALUE(LEFT('Base Encuesta'!K86,1)),"")&gt;=3),"",VALUE(LEFT('Base Encuesta'!T86,1)))</f>
        <v/>
      </c>
      <c r="O112" t="str">
        <f>IF(OR('Base Encuesta'!V86="",IFERROR(VALUE(LEFT('Base Encuesta'!K86,1)),"")&gt;=3),"",VALUE(LEFT('Base Encuesta'!V86,1)))</f>
        <v/>
      </c>
      <c r="P112" t="str">
        <f>IF(OR('Base Encuesta'!W86="",IFERROR(VALUE(LEFT('Base Encuesta'!K86,1)),"")&gt;=3),"",VALUE(LEFT('Base Encuesta'!W86,1)))</f>
        <v/>
      </c>
      <c r="Q112" t="str">
        <f>IF(OR('Base Encuesta'!X86="",IFERROR(VALUE(LEFT('Base Encuesta'!K86,1)),"")&gt;=3),"",VALUE(LEFT('Base Encuesta'!X86,1)))</f>
        <v/>
      </c>
      <c r="R112" t="str">
        <f>IF(OR('Base Encuesta'!Y86="",IFERROR(VALUE(LEFT('Base Encuesta'!K86,1)),"")&gt;=3),"",VALUE(LEFT('Base Encuesta'!Y86,1)))</f>
        <v/>
      </c>
      <c r="S112" t="str">
        <f>IF(OR('Base Encuesta'!Z86="",IFERROR(VALUE(LEFT('Base Encuesta'!K86,1)),"")&gt;=3),"",VALUE(LEFT('Base Encuesta'!Z86,1)))</f>
        <v/>
      </c>
      <c r="T112" t="str">
        <f>IF(OR('Base Encuesta'!AA86="",IFERROR(VALUE(LEFT('Base Encuesta'!K86,1)),"")&gt;=3),"",VALUE(LEFT('Base Encuesta'!AA86,1)))</f>
        <v/>
      </c>
      <c r="U112" t="str">
        <f>IF(OR('Base Encuesta'!AB86="",IFERROR(VALUE(LEFT('Base Encuesta'!K86,1)),"")&gt;=3),"",VALUE(LEFT('Base Encuesta'!AB86,1)))</f>
        <v/>
      </c>
      <c r="V112" t="str">
        <f>IF(OR('Base Encuesta'!AC86="",IFERROR(VALUE(LEFT('Base Encuesta'!K86,1)),"")&gt;=3),"",VALUE(LEFT('Base Encuesta'!AC86,1)))</f>
        <v/>
      </c>
      <c r="W112" t="str">
        <f>IF(OR('Base Encuesta'!AE86="",IFERROR(VALUE(LEFT('Base Encuesta'!K86,1)),"")&gt;=3),"",VALUE(LEFT('Base Encuesta'!AE86,1)))</f>
        <v/>
      </c>
      <c r="X112" t="str">
        <f>IF(OR('Base Encuesta'!AF86="",IFERROR(VALUE(LEFT('Base Encuesta'!K86,1)),"")&gt;=3),"",IF(W112=1,VALUE(LEFT('Base Encuesta'!AF86,1)),""))</f>
        <v/>
      </c>
      <c r="Y112" t="str">
        <f>IF(OR('Base Encuesta'!AG86="",IFERROR(VALUE(LEFT('Base Encuesta'!K86,1)),"")&gt;=3),"",IF(W112=1,VALUE(LEFT('Base Encuesta'!AG86,1)),""))</f>
        <v/>
      </c>
      <c r="Z112" t="str">
        <f>IF(OR('Base Encuesta'!AH86="",IFERROR(VALUE(LEFT('Base Encuesta'!K86,1)),"")&gt;=3),"",IF(W112=1,VALUE(LEFT('Base Encuesta'!AH86,1)),""))</f>
        <v/>
      </c>
      <c r="AA112" t="str">
        <f>IF(OR('Base Encuesta'!AI86="",IFERROR(VALUE(LEFT('Base Encuesta'!K86,1)),"")&gt;=3),"",IF(W112=1,VALUE(LEFT('Base Encuesta'!AI86,1)),""))</f>
        <v/>
      </c>
      <c r="AB112" t="str">
        <f>IF(OR('Base Encuesta'!AJ86="",IFERROR(VALUE(LEFT('Base Encuesta'!K86,1)),"")&gt;=3),"",IF(W112=1,VALUE(LEFT('Base Encuesta'!AJ86,1)),""))</f>
        <v/>
      </c>
      <c r="AC112" t="str">
        <f>IF(OR('Base Encuesta'!AL86="",IFERROR(VALUE(LEFT('Base Encuesta'!K86,1)),"")&gt;=3),"",VALUE(LEFT('Base Encuesta'!AL86,1)))</f>
        <v/>
      </c>
      <c r="AD112" t="str">
        <f>IF(OR('Base Encuesta'!AM86="",IFERROR(VALUE(LEFT('Base Encuesta'!K86,1)),"")&gt;=3),"",VALUE(LEFT('Base Encuesta'!AM86,1)))</f>
        <v/>
      </c>
      <c r="AE112" t="str">
        <f>IF(OR('Base Encuesta'!AN86="",IFERROR(VALUE(LEFT('Base Encuesta'!K86,1)),"")&gt;=3),"",VALUE(LEFT('Base Encuesta'!AN86,1)))</f>
        <v/>
      </c>
      <c r="AF112" t="str">
        <f>IF(OR('Base Encuesta'!AO86="",IFERROR(VALUE(LEFT('Base Encuesta'!K86,1)),"")&gt;=3),"",VALUE(LEFT('Base Encuesta'!AO86,1)))</f>
        <v/>
      </c>
      <c r="AG112" t="str">
        <f>IF(OR('Base Encuesta'!AQ86="",IFERROR(VALUE(LEFT('Base Encuesta'!K86,1)),"")&gt;=3),"",VALUE(LEFT('Base Encuesta'!AQ86,1)))</f>
        <v/>
      </c>
      <c r="AH112" t="str">
        <f>IF(OR('Base Encuesta'!AR86="",IFERROR(VALUE(LEFT('Base Encuesta'!K86,1)),"")&gt;=3),"",VALUE(LEFT('Base Encuesta'!AR86,1)))</f>
        <v/>
      </c>
    </row>
    <row r="113" spans="1:34">
      <c r="A113" t="str">
        <f>IF('Base Encuesta'!C87="","",'Base Encuesta'!C87)</f>
        <v/>
      </c>
      <c r="B113" t="str">
        <f>IF('Base Encuesta'!D87="","",'Base Encuesta'!D87)</f>
        <v/>
      </c>
      <c r="C113" t="str">
        <f>IF('Base Encuesta'!E87="","",'Base Encuesta'!E87)</f>
        <v/>
      </c>
      <c r="D113" t="str">
        <f>IF('Base Encuesta'!F87="","",'Base Encuesta'!F87)</f>
        <v/>
      </c>
      <c r="E113" t="str">
        <f>IF('Base Encuesta'!G87="","",'Base Encuesta'!G87)</f>
        <v/>
      </c>
      <c r="F113" t="str">
        <f>IF('Base Encuesta'!H87="","",'Base Encuesta'!H87)</f>
        <v/>
      </c>
      <c r="G113" t="str">
        <f>IF('Base Encuesta'!I87="","",'Base Encuesta'!I87)</f>
        <v/>
      </c>
      <c r="H113" t="str">
        <f>IF('Base Encuesta'!J87="","",'Base Encuesta'!J87)</f>
        <v/>
      </c>
      <c r="I113" t="str">
        <f>IF('Base Encuesta'!K87="","",'Base Encuesta'!K87)</f>
        <v/>
      </c>
      <c r="J113" t="str">
        <f>IF(OR('Base Encuesta'!P87="",IFERROR(VALUE(LEFT('Base Encuesta'!K87,1)),"")&gt;=3),"",PROPER(TRIM('Base Encuesta'!P87)))</f>
        <v/>
      </c>
      <c r="K113" t="str">
        <f>IF(OR('Base Encuesta'!Q87="",IFERROR(VALUE(LEFT('Base Encuesta'!K87,1)),"")&gt;=3),"",'Base Encuesta'!Q87)</f>
        <v/>
      </c>
      <c r="L113" t="str">
        <f>IF(OR('Base Encuesta'!R87="",IFERROR(VALUE(LEFT('Base Encuesta'!K87,1)),"")&gt;=3),"",VALUE(LEFT('Base Encuesta'!R87,1)))</f>
        <v/>
      </c>
      <c r="M113" t="str">
        <f>IF(OR('Base Encuesta'!S87="",IFERROR(VALUE(LEFT('Base Encuesta'!K87,1)),"")&gt;=3),"",VALUE(LEFT('Base Encuesta'!S87,1)))</f>
        <v/>
      </c>
      <c r="N113" t="str">
        <f>IF(OR('Base Encuesta'!T87="",IFERROR(VALUE(LEFT('Base Encuesta'!K87,1)),"")&gt;=3),"",VALUE(LEFT('Base Encuesta'!T87,1)))</f>
        <v/>
      </c>
      <c r="O113" t="str">
        <f>IF(OR('Base Encuesta'!V87="",IFERROR(VALUE(LEFT('Base Encuesta'!K87,1)),"")&gt;=3),"",VALUE(LEFT('Base Encuesta'!V87,1)))</f>
        <v/>
      </c>
      <c r="P113" t="str">
        <f>IF(OR('Base Encuesta'!W87="",IFERROR(VALUE(LEFT('Base Encuesta'!K87,1)),"")&gt;=3),"",VALUE(LEFT('Base Encuesta'!W87,1)))</f>
        <v/>
      </c>
      <c r="Q113" t="str">
        <f>IF(OR('Base Encuesta'!X87="",IFERROR(VALUE(LEFT('Base Encuesta'!K87,1)),"")&gt;=3),"",VALUE(LEFT('Base Encuesta'!X87,1)))</f>
        <v/>
      </c>
      <c r="R113" t="str">
        <f>IF(OR('Base Encuesta'!Y87="",IFERROR(VALUE(LEFT('Base Encuesta'!K87,1)),"")&gt;=3),"",VALUE(LEFT('Base Encuesta'!Y87,1)))</f>
        <v/>
      </c>
      <c r="S113" t="str">
        <f>IF(OR('Base Encuesta'!Z87="",IFERROR(VALUE(LEFT('Base Encuesta'!K87,1)),"")&gt;=3),"",VALUE(LEFT('Base Encuesta'!Z87,1)))</f>
        <v/>
      </c>
      <c r="T113" t="str">
        <f>IF(OR('Base Encuesta'!AA87="",IFERROR(VALUE(LEFT('Base Encuesta'!K87,1)),"")&gt;=3),"",VALUE(LEFT('Base Encuesta'!AA87,1)))</f>
        <v/>
      </c>
      <c r="U113" t="str">
        <f>IF(OR('Base Encuesta'!AB87="",IFERROR(VALUE(LEFT('Base Encuesta'!K87,1)),"")&gt;=3),"",VALUE(LEFT('Base Encuesta'!AB87,1)))</f>
        <v/>
      </c>
      <c r="V113" t="str">
        <f>IF(OR('Base Encuesta'!AC87="",IFERROR(VALUE(LEFT('Base Encuesta'!K87,1)),"")&gt;=3),"",VALUE(LEFT('Base Encuesta'!AC87,1)))</f>
        <v/>
      </c>
      <c r="W113" t="str">
        <f>IF(OR('Base Encuesta'!AE87="",IFERROR(VALUE(LEFT('Base Encuesta'!K87,1)),"")&gt;=3),"",VALUE(LEFT('Base Encuesta'!AE87,1)))</f>
        <v/>
      </c>
      <c r="X113" t="str">
        <f>IF(OR('Base Encuesta'!AF87="",IFERROR(VALUE(LEFT('Base Encuesta'!K87,1)),"")&gt;=3),"",IF(W113=1,VALUE(LEFT('Base Encuesta'!AF87,1)),""))</f>
        <v/>
      </c>
      <c r="Y113" t="str">
        <f>IF(OR('Base Encuesta'!AG87="",IFERROR(VALUE(LEFT('Base Encuesta'!K87,1)),"")&gt;=3),"",IF(W113=1,VALUE(LEFT('Base Encuesta'!AG87,1)),""))</f>
        <v/>
      </c>
      <c r="Z113" t="str">
        <f>IF(OR('Base Encuesta'!AH87="",IFERROR(VALUE(LEFT('Base Encuesta'!K87,1)),"")&gt;=3),"",IF(W113=1,VALUE(LEFT('Base Encuesta'!AH87,1)),""))</f>
        <v/>
      </c>
      <c r="AA113" t="str">
        <f>IF(OR('Base Encuesta'!AI87="",IFERROR(VALUE(LEFT('Base Encuesta'!K87,1)),"")&gt;=3),"",IF(W113=1,VALUE(LEFT('Base Encuesta'!AI87,1)),""))</f>
        <v/>
      </c>
      <c r="AB113" t="str">
        <f>IF(OR('Base Encuesta'!AJ87="",IFERROR(VALUE(LEFT('Base Encuesta'!K87,1)),"")&gt;=3),"",IF(W113=1,VALUE(LEFT('Base Encuesta'!AJ87,1)),""))</f>
        <v/>
      </c>
      <c r="AC113" t="str">
        <f>IF(OR('Base Encuesta'!AL87="",IFERROR(VALUE(LEFT('Base Encuesta'!K87,1)),"")&gt;=3),"",VALUE(LEFT('Base Encuesta'!AL87,1)))</f>
        <v/>
      </c>
      <c r="AD113" t="str">
        <f>IF(OR('Base Encuesta'!AM87="",IFERROR(VALUE(LEFT('Base Encuesta'!K87,1)),"")&gt;=3),"",VALUE(LEFT('Base Encuesta'!AM87,1)))</f>
        <v/>
      </c>
      <c r="AE113" t="str">
        <f>IF(OR('Base Encuesta'!AN87="",IFERROR(VALUE(LEFT('Base Encuesta'!K87,1)),"")&gt;=3),"",VALUE(LEFT('Base Encuesta'!AN87,1)))</f>
        <v/>
      </c>
      <c r="AF113" t="str">
        <f>IF(OR('Base Encuesta'!AO87="",IFERROR(VALUE(LEFT('Base Encuesta'!K87,1)),"")&gt;=3),"",VALUE(LEFT('Base Encuesta'!AO87,1)))</f>
        <v/>
      </c>
      <c r="AG113" t="str">
        <f>IF(OR('Base Encuesta'!AQ87="",IFERROR(VALUE(LEFT('Base Encuesta'!K87,1)),"")&gt;=3),"",VALUE(LEFT('Base Encuesta'!AQ87,1)))</f>
        <v/>
      </c>
      <c r="AH113" t="str">
        <f>IF(OR('Base Encuesta'!AR87="",IFERROR(VALUE(LEFT('Base Encuesta'!K87,1)),"")&gt;=3),"",VALUE(LEFT('Base Encuesta'!AR87,1)))</f>
        <v/>
      </c>
    </row>
    <row r="114" spans="1:34">
      <c r="A114" t="str">
        <f>IF('Base Encuesta'!C88="","",'Base Encuesta'!C88)</f>
        <v/>
      </c>
      <c r="B114" t="str">
        <f>IF('Base Encuesta'!D88="","",'Base Encuesta'!D88)</f>
        <v/>
      </c>
      <c r="C114" t="str">
        <f>IF('Base Encuesta'!E88="","",'Base Encuesta'!E88)</f>
        <v/>
      </c>
      <c r="D114" t="str">
        <f>IF('Base Encuesta'!F88="","",'Base Encuesta'!F88)</f>
        <v/>
      </c>
      <c r="E114" t="str">
        <f>IF('Base Encuesta'!G88="","",'Base Encuesta'!G88)</f>
        <v/>
      </c>
      <c r="F114" t="str">
        <f>IF('Base Encuesta'!H88="","",'Base Encuesta'!H88)</f>
        <v/>
      </c>
      <c r="G114" t="str">
        <f>IF('Base Encuesta'!I88="","",'Base Encuesta'!I88)</f>
        <v/>
      </c>
      <c r="H114" t="str">
        <f>IF('Base Encuesta'!J88="","",'Base Encuesta'!J88)</f>
        <v/>
      </c>
      <c r="I114" t="str">
        <f>IF('Base Encuesta'!K88="","",'Base Encuesta'!K88)</f>
        <v/>
      </c>
      <c r="J114" t="str">
        <f>IF(OR('Base Encuesta'!P88="",IFERROR(VALUE(LEFT('Base Encuesta'!K88,1)),"")&gt;=3),"",PROPER(TRIM('Base Encuesta'!P88)))</f>
        <v/>
      </c>
      <c r="K114" t="str">
        <f>IF(OR('Base Encuesta'!Q88="",IFERROR(VALUE(LEFT('Base Encuesta'!K88,1)),"")&gt;=3),"",'Base Encuesta'!Q88)</f>
        <v/>
      </c>
      <c r="L114" t="str">
        <f>IF(OR('Base Encuesta'!R88="",IFERROR(VALUE(LEFT('Base Encuesta'!K88,1)),"")&gt;=3),"",VALUE(LEFT('Base Encuesta'!R88,1)))</f>
        <v/>
      </c>
      <c r="M114" t="str">
        <f>IF(OR('Base Encuesta'!S88="",IFERROR(VALUE(LEFT('Base Encuesta'!K88,1)),"")&gt;=3),"",VALUE(LEFT('Base Encuesta'!S88,1)))</f>
        <v/>
      </c>
      <c r="N114" t="str">
        <f>IF(OR('Base Encuesta'!T88="",IFERROR(VALUE(LEFT('Base Encuesta'!K88,1)),"")&gt;=3),"",VALUE(LEFT('Base Encuesta'!T88,1)))</f>
        <v/>
      </c>
      <c r="O114" t="str">
        <f>IF(OR('Base Encuesta'!V88="",IFERROR(VALUE(LEFT('Base Encuesta'!K88,1)),"")&gt;=3),"",VALUE(LEFT('Base Encuesta'!V88,1)))</f>
        <v/>
      </c>
      <c r="P114" t="str">
        <f>IF(OR('Base Encuesta'!W88="",IFERROR(VALUE(LEFT('Base Encuesta'!K88,1)),"")&gt;=3),"",VALUE(LEFT('Base Encuesta'!W88,1)))</f>
        <v/>
      </c>
      <c r="Q114" t="str">
        <f>IF(OR('Base Encuesta'!X88="",IFERROR(VALUE(LEFT('Base Encuesta'!K88,1)),"")&gt;=3),"",VALUE(LEFT('Base Encuesta'!X88,1)))</f>
        <v/>
      </c>
      <c r="R114" t="str">
        <f>IF(OR('Base Encuesta'!Y88="",IFERROR(VALUE(LEFT('Base Encuesta'!K88,1)),"")&gt;=3),"",VALUE(LEFT('Base Encuesta'!Y88,1)))</f>
        <v/>
      </c>
      <c r="S114" t="str">
        <f>IF(OR('Base Encuesta'!Z88="",IFERROR(VALUE(LEFT('Base Encuesta'!K88,1)),"")&gt;=3),"",VALUE(LEFT('Base Encuesta'!Z88,1)))</f>
        <v/>
      </c>
      <c r="T114" t="str">
        <f>IF(OR('Base Encuesta'!AA88="",IFERROR(VALUE(LEFT('Base Encuesta'!K88,1)),"")&gt;=3),"",VALUE(LEFT('Base Encuesta'!AA88,1)))</f>
        <v/>
      </c>
      <c r="U114" t="str">
        <f>IF(OR('Base Encuesta'!AB88="",IFERROR(VALUE(LEFT('Base Encuesta'!K88,1)),"")&gt;=3),"",VALUE(LEFT('Base Encuesta'!AB88,1)))</f>
        <v/>
      </c>
      <c r="V114" t="str">
        <f>IF(OR('Base Encuesta'!AC88="",IFERROR(VALUE(LEFT('Base Encuesta'!K88,1)),"")&gt;=3),"",VALUE(LEFT('Base Encuesta'!AC88,1)))</f>
        <v/>
      </c>
      <c r="W114" t="str">
        <f>IF(OR('Base Encuesta'!AE88="",IFERROR(VALUE(LEFT('Base Encuesta'!K88,1)),"")&gt;=3),"",VALUE(LEFT('Base Encuesta'!AE88,1)))</f>
        <v/>
      </c>
      <c r="X114" t="str">
        <f>IF(OR('Base Encuesta'!AF88="",IFERROR(VALUE(LEFT('Base Encuesta'!K88,1)),"")&gt;=3),"",IF(W114=1,VALUE(LEFT('Base Encuesta'!AF88,1)),""))</f>
        <v/>
      </c>
      <c r="Y114" t="str">
        <f>IF(OR('Base Encuesta'!AG88="",IFERROR(VALUE(LEFT('Base Encuesta'!K88,1)),"")&gt;=3),"",IF(W114=1,VALUE(LEFT('Base Encuesta'!AG88,1)),""))</f>
        <v/>
      </c>
      <c r="Z114" t="str">
        <f>IF(OR('Base Encuesta'!AH88="",IFERROR(VALUE(LEFT('Base Encuesta'!K88,1)),"")&gt;=3),"",IF(W114=1,VALUE(LEFT('Base Encuesta'!AH88,1)),""))</f>
        <v/>
      </c>
      <c r="AA114" t="str">
        <f>IF(OR('Base Encuesta'!AI88="",IFERROR(VALUE(LEFT('Base Encuesta'!K88,1)),"")&gt;=3),"",IF(W114=1,VALUE(LEFT('Base Encuesta'!AI88,1)),""))</f>
        <v/>
      </c>
      <c r="AB114" t="str">
        <f>IF(OR('Base Encuesta'!AJ88="",IFERROR(VALUE(LEFT('Base Encuesta'!K88,1)),"")&gt;=3),"",IF(W114=1,VALUE(LEFT('Base Encuesta'!AJ88,1)),""))</f>
        <v/>
      </c>
      <c r="AC114" t="str">
        <f>IF(OR('Base Encuesta'!AL88="",IFERROR(VALUE(LEFT('Base Encuesta'!K88,1)),"")&gt;=3),"",VALUE(LEFT('Base Encuesta'!AL88,1)))</f>
        <v/>
      </c>
      <c r="AD114" t="str">
        <f>IF(OR('Base Encuesta'!AM88="",IFERROR(VALUE(LEFT('Base Encuesta'!K88,1)),"")&gt;=3),"",VALUE(LEFT('Base Encuesta'!AM88,1)))</f>
        <v/>
      </c>
      <c r="AE114" t="str">
        <f>IF(OR('Base Encuesta'!AN88="",IFERROR(VALUE(LEFT('Base Encuesta'!K88,1)),"")&gt;=3),"",VALUE(LEFT('Base Encuesta'!AN88,1)))</f>
        <v/>
      </c>
      <c r="AF114" t="str">
        <f>IF(OR('Base Encuesta'!AO88="",IFERROR(VALUE(LEFT('Base Encuesta'!K88,1)),"")&gt;=3),"",VALUE(LEFT('Base Encuesta'!AO88,1)))</f>
        <v/>
      </c>
      <c r="AG114" t="str">
        <f>IF(OR('Base Encuesta'!AQ88="",IFERROR(VALUE(LEFT('Base Encuesta'!K88,1)),"")&gt;=3),"",VALUE(LEFT('Base Encuesta'!AQ88,1)))</f>
        <v/>
      </c>
      <c r="AH114" t="str">
        <f>IF(OR('Base Encuesta'!AR88="",IFERROR(VALUE(LEFT('Base Encuesta'!K88,1)),"")&gt;=3),"",VALUE(LEFT('Base Encuesta'!AR88,1)))</f>
        <v/>
      </c>
    </row>
    <row r="115" spans="1:34">
      <c r="A115" t="str">
        <f>IF('Base Encuesta'!C89="","",'Base Encuesta'!C89)</f>
        <v/>
      </c>
      <c r="B115" t="str">
        <f>IF('Base Encuesta'!D89="","",'Base Encuesta'!D89)</f>
        <v/>
      </c>
      <c r="C115" t="str">
        <f>IF('Base Encuesta'!E89="","",'Base Encuesta'!E89)</f>
        <v/>
      </c>
      <c r="D115" t="str">
        <f>IF('Base Encuesta'!F89="","",'Base Encuesta'!F89)</f>
        <v/>
      </c>
      <c r="E115" t="str">
        <f>IF('Base Encuesta'!G89="","",'Base Encuesta'!G89)</f>
        <v/>
      </c>
      <c r="F115" t="str">
        <f>IF('Base Encuesta'!H89="","",'Base Encuesta'!H89)</f>
        <v/>
      </c>
      <c r="G115" t="str">
        <f>IF('Base Encuesta'!I89="","",'Base Encuesta'!I89)</f>
        <v/>
      </c>
      <c r="H115" t="str">
        <f>IF('Base Encuesta'!J89="","",'Base Encuesta'!J89)</f>
        <v/>
      </c>
      <c r="I115" t="str">
        <f>IF('Base Encuesta'!K89="","",'Base Encuesta'!K89)</f>
        <v/>
      </c>
      <c r="J115" t="str">
        <f>IF(OR('Base Encuesta'!P89="",IFERROR(VALUE(LEFT('Base Encuesta'!K89,1)),"")&gt;=3),"",PROPER(TRIM('Base Encuesta'!P89)))</f>
        <v/>
      </c>
      <c r="K115" t="str">
        <f>IF(OR('Base Encuesta'!Q89="",IFERROR(VALUE(LEFT('Base Encuesta'!K89,1)),"")&gt;=3),"",'Base Encuesta'!Q89)</f>
        <v/>
      </c>
      <c r="L115" t="str">
        <f>IF(OR('Base Encuesta'!R89="",IFERROR(VALUE(LEFT('Base Encuesta'!K89,1)),"")&gt;=3),"",VALUE(LEFT('Base Encuesta'!R89,1)))</f>
        <v/>
      </c>
      <c r="M115" t="str">
        <f>IF(OR('Base Encuesta'!S89="",IFERROR(VALUE(LEFT('Base Encuesta'!K89,1)),"")&gt;=3),"",VALUE(LEFT('Base Encuesta'!S89,1)))</f>
        <v/>
      </c>
      <c r="N115" t="str">
        <f>IF(OR('Base Encuesta'!T89="",IFERROR(VALUE(LEFT('Base Encuesta'!K89,1)),"")&gt;=3),"",VALUE(LEFT('Base Encuesta'!T89,1)))</f>
        <v/>
      </c>
      <c r="O115" t="str">
        <f>IF(OR('Base Encuesta'!V89="",IFERROR(VALUE(LEFT('Base Encuesta'!K89,1)),"")&gt;=3),"",VALUE(LEFT('Base Encuesta'!V89,1)))</f>
        <v/>
      </c>
      <c r="P115" t="str">
        <f>IF(OR('Base Encuesta'!W89="",IFERROR(VALUE(LEFT('Base Encuesta'!K89,1)),"")&gt;=3),"",VALUE(LEFT('Base Encuesta'!W89,1)))</f>
        <v/>
      </c>
      <c r="Q115" t="str">
        <f>IF(OR('Base Encuesta'!X89="",IFERROR(VALUE(LEFT('Base Encuesta'!K89,1)),"")&gt;=3),"",VALUE(LEFT('Base Encuesta'!X89,1)))</f>
        <v/>
      </c>
      <c r="R115" t="str">
        <f>IF(OR('Base Encuesta'!Y89="",IFERROR(VALUE(LEFT('Base Encuesta'!K89,1)),"")&gt;=3),"",VALUE(LEFT('Base Encuesta'!Y89,1)))</f>
        <v/>
      </c>
      <c r="S115" t="str">
        <f>IF(OR('Base Encuesta'!Z89="",IFERROR(VALUE(LEFT('Base Encuesta'!K89,1)),"")&gt;=3),"",VALUE(LEFT('Base Encuesta'!Z89,1)))</f>
        <v/>
      </c>
      <c r="T115" t="str">
        <f>IF(OR('Base Encuesta'!AA89="",IFERROR(VALUE(LEFT('Base Encuesta'!K89,1)),"")&gt;=3),"",VALUE(LEFT('Base Encuesta'!AA89,1)))</f>
        <v/>
      </c>
      <c r="U115" t="str">
        <f>IF(OR('Base Encuesta'!AB89="",IFERROR(VALUE(LEFT('Base Encuesta'!K89,1)),"")&gt;=3),"",VALUE(LEFT('Base Encuesta'!AB89,1)))</f>
        <v/>
      </c>
      <c r="V115" t="str">
        <f>IF(OR('Base Encuesta'!AC89="",IFERROR(VALUE(LEFT('Base Encuesta'!K89,1)),"")&gt;=3),"",VALUE(LEFT('Base Encuesta'!AC89,1)))</f>
        <v/>
      </c>
      <c r="W115" t="str">
        <f>IF(OR('Base Encuesta'!AE89="",IFERROR(VALUE(LEFT('Base Encuesta'!K89,1)),"")&gt;=3),"",VALUE(LEFT('Base Encuesta'!AE89,1)))</f>
        <v/>
      </c>
      <c r="X115" t="str">
        <f>IF(OR('Base Encuesta'!AF89="",IFERROR(VALUE(LEFT('Base Encuesta'!K89,1)),"")&gt;=3),"",IF(W115=1,VALUE(LEFT('Base Encuesta'!AF89,1)),""))</f>
        <v/>
      </c>
      <c r="Y115" t="str">
        <f>IF(OR('Base Encuesta'!AG89="",IFERROR(VALUE(LEFT('Base Encuesta'!K89,1)),"")&gt;=3),"",IF(W115=1,VALUE(LEFT('Base Encuesta'!AG89,1)),""))</f>
        <v/>
      </c>
      <c r="Z115" t="str">
        <f>IF(OR('Base Encuesta'!AH89="",IFERROR(VALUE(LEFT('Base Encuesta'!K89,1)),"")&gt;=3),"",IF(W115=1,VALUE(LEFT('Base Encuesta'!AH89,1)),""))</f>
        <v/>
      </c>
      <c r="AA115" t="str">
        <f>IF(OR('Base Encuesta'!AI89="",IFERROR(VALUE(LEFT('Base Encuesta'!K89,1)),"")&gt;=3),"",IF(W115=1,VALUE(LEFT('Base Encuesta'!AI89,1)),""))</f>
        <v/>
      </c>
      <c r="AB115" t="str">
        <f>IF(OR('Base Encuesta'!AJ89="",IFERROR(VALUE(LEFT('Base Encuesta'!K89,1)),"")&gt;=3),"",IF(W115=1,VALUE(LEFT('Base Encuesta'!AJ89,1)),""))</f>
        <v/>
      </c>
      <c r="AC115" t="str">
        <f>IF(OR('Base Encuesta'!AL89="",IFERROR(VALUE(LEFT('Base Encuesta'!K89,1)),"")&gt;=3),"",VALUE(LEFT('Base Encuesta'!AL89,1)))</f>
        <v/>
      </c>
      <c r="AD115" t="str">
        <f>IF(OR('Base Encuesta'!AM89="",IFERROR(VALUE(LEFT('Base Encuesta'!K89,1)),"")&gt;=3),"",VALUE(LEFT('Base Encuesta'!AM89,1)))</f>
        <v/>
      </c>
      <c r="AE115" t="str">
        <f>IF(OR('Base Encuesta'!AN89="",IFERROR(VALUE(LEFT('Base Encuesta'!K89,1)),"")&gt;=3),"",VALUE(LEFT('Base Encuesta'!AN89,1)))</f>
        <v/>
      </c>
      <c r="AF115" t="str">
        <f>IF(OR('Base Encuesta'!AO89="",IFERROR(VALUE(LEFT('Base Encuesta'!K89,1)),"")&gt;=3),"",VALUE(LEFT('Base Encuesta'!AO89,1)))</f>
        <v/>
      </c>
      <c r="AG115" t="str">
        <f>IF(OR('Base Encuesta'!AQ89="",IFERROR(VALUE(LEFT('Base Encuesta'!K89,1)),"")&gt;=3),"",VALUE(LEFT('Base Encuesta'!AQ89,1)))</f>
        <v/>
      </c>
      <c r="AH115" t="str">
        <f>IF(OR('Base Encuesta'!AR89="",IFERROR(VALUE(LEFT('Base Encuesta'!K89,1)),"")&gt;=3),"",VALUE(LEFT('Base Encuesta'!AR89,1)))</f>
        <v/>
      </c>
    </row>
    <row r="116" spans="1:34">
      <c r="A116" t="str">
        <f>IF('Base Encuesta'!C90="","",'Base Encuesta'!C90)</f>
        <v/>
      </c>
      <c r="B116" t="str">
        <f>IF('Base Encuesta'!D90="","",'Base Encuesta'!D90)</f>
        <v/>
      </c>
      <c r="C116" t="str">
        <f>IF('Base Encuesta'!E90="","",'Base Encuesta'!E90)</f>
        <v/>
      </c>
      <c r="D116" t="str">
        <f>IF('Base Encuesta'!F90="","",'Base Encuesta'!F90)</f>
        <v/>
      </c>
      <c r="E116" t="str">
        <f>IF('Base Encuesta'!G90="","",'Base Encuesta'!G90)</f>
        <v/>
      </c>
      <c r="F116" t="str">
        <f>IF('Base Encuesta'!H90="","",'Base Encuesta'!H90)</f>
        <v/>
      </c>
      <c r="G116" t="str">
        <f>IF('Base Encuesta'!I90="","",'Base Encuesta'!I90)</f>
        <v/>
      </c>
      <c r="H116" t="str">
        <f>IF('Base Encuesta'!J90="","",'Base Encuesta'!J90)</f>
        <v/>
      </c>
      <c r="I116" t="str">
        <f>IF('Base Encuesta'!K90="","",'Base Encuesta'!K90)</f>
        <v/>
      </c>
      <c r="J116" t="str">
        <f>IF(OR('Base Encuesta'!P90="",IFERROR(VALUE(LEFT('Base Encuesta'!K90,1)),"")&gt;=3),"",PROPER(TRIM('Base Encuesta'!P90)))</f>
        <v/>
      </c>
      <c r="K116" t="str">
        <f>IF(OR('Base Encuesta'!Q90="",IFERROR(VALUE(LEFT('Base Encuesta'!K90,1)),"")&gt;=3),"",'Base Encuesta'!Q90)</f>
        <v/>
      </c>
      <c r="L116" t="str">
        <f>IF(OR('Base Encuesta'!R90="",IFERROR(VALUE(LEFT('Base Encuesta'!K90,1)),"")&gt;=3),"",VALUE(LEFT('Base Encuesta'!R90,1)))</f>
        <v/>
      </c>
      <c r="M116" t="str">
        <f>IF(OR('Base Encuesta'!S90="",IFERROR(VALUE(LEFT('Base Encuesta'!K90,1)),"")&gt;=3),"",VALUE(LEFT('Base Encuesta'!S90,1)))</f>
        <v/>
      </c>
      <c r="N116" t="str">
        <f>IF(OR('Base Encuesta'!T90="",IFERROR(VALUE(LEFT('Base Encuesta'!K90,1)),"")&gt;=3),"",VALUE(LEFT('Base Encuesta'!T90,1)))</f>
        <v/>
      </c>
      <c r="O116" t="str">
        <f>IF(OR('Base Encuesta'!V90="",IFERROR(VALUE(LEFT('Base Encuesta'!K90,1)),"")&gt;=3),"",VALUE(LEFT('Base Encuesta'!V90,1)))</f>
        <v/>
      </c>
      <c r="P116" t="str">
        <f>IF(OR('Base Encuesta'!W90="",IFERROR(VALUE(LEFT('Base Encuesta'!K90,1)),"")&gt;=3),"",VALUE(LEFT('Base Encuesta'!W90,1)))</f>
        <v/>
      </c>
      <c r="Q116" t="str">
        <f>IF(OR('Base Encuesta'!X90="",IFERROR(VALUE(LEFT('Base Encuesta'!K90,1)),"")&gt;=3),"",VALUE(LEFT('Base Encuesta'!X90,1)))</f>
        <v/>
      </c>
      <c r="R116" t="str">
        <f>IF(OR('Base Encuesta'!Y90="",IFERROR(VALUE(LEFT('Base Encuesta'!K90,1)),"")&gt;=3),"",VALUE(LEFT('Base Encuesta'!Y90,1)))</f>
        <v/>
      </c>
      <c r="S116" t="str">
        <f>IF(OR('Base Encuesta'!Z90="",IFERROR(VALUE(LEFT('Base Encuesta'!K90,1)),"")&gt;=3),"",VALUE(LEFT('Base Encuesta'!Z90,1)))</f>
        <v/>
      </c>
      <c r="T116" t="str">
        <f>IF(OR('Base Encuesta'!AA90="",IFERROR(VALUE(LEFT('Base Encuesta'!K90,1)),"")&gt;=3),"",VALUE(LEFT('Base Encuesta'!AA90,1)))</f>
        <v/>
      </c>
      <c r="U116" t="str">
        <f>IF(OR('Base Encuesta'!AB90="",IFERROR(VALUE(LEFT('Base Encuesta'!K90,1)),"")&gt;=3),"",VALUE(LEFT('Base Encuesta'!AB90,1)))</f>
        <v/>
      </c>
      <c r="V116" t="str">
        <f>IF(OR('Base Encuesta'!AC90="",IFERROR(VALUE(LEFT('Base Encuesta'!K90,1)),"")&gt;=3),"",VALUE(LEFT('Base Encuesta'!AC90,1)))</f>
        <v/>
      </c>
      <c r="W116" t="str">
        <f>IF(OR('Base Encuesta'!AE90="",IFERROR(VALUE(LEFT('Base Encuesta'!K90,1)),"")&gt;=3),"",VALUE(LEFT('Base Encuesta'!AE90,1)))</f>
        <v/>
      </c>
      <c r="X116" t="str">
        <f>IF(OR('Base Encuesta'!AF90="",IFERROR(VALUE(LEFT('Base Encuesta'!K90,1)),"")&gt;=3),"",IF(W116=1,VALUE(LEFT('Base Encuesta'!AF90,1)),""))</f>
        <v/>
      </c>
      <c r="Y116" t="str">
        <f>IF(OR('Base Encuesta'!AG90="",IFERROR(VALUE(LEFT('Base Encuesta'!K90,1)),"")&gt;=3),"",IF(W116=1,VALUE(LEFT('Base Encuesta'!AG90,1)),""))</f>
        <v/>
      </c>
      <c r="Z116" t="str">
        <f>IF(OR('Base Encuesta'!AH90="",IFERROR(VALUE(LEFT('Base Encuesta'!K90,1)),"")&gt;=3),"",IF(W116=1,VALUE(LEFT('Base Encuesta'!AH90,1)),""))</f>
        <v/>
      </c>
      <c r="AA116" t="str">
        <f>IF(OR('Base Encuesta'!AI90="",IFERROR(VALUE(LEFT('Base Encuesta'!K90,1)),"")&gt;=3),"",IF(W116=1,VALUE(LEFT('Base Encuesta'!AI90,1)),""))</f>
        <v/>
      </c>
      <c r="AB116" t="str">
        <f>IF(OR('Base Encuesta'!AJ90="",IFERROR(VALUE(LEFT('Base Encuesta'!K90,1)),"")&gt;=3),"",IF(W116=1,VALUE(LEFT('Base Encuesta'!AJ90,1)),""))</f>
        <v/>
      </c>
      <c r="AC116" t="str">
        <f>IF(OR('Base Encuesta'!AL90="",IFERROR(VALUE(LEFT('Base Encuesta'!K90,1)),"")&gt;=3),"",VALUE(LEFT('Base Encuesta'!AL90,1)))</f>
        <v/>
      </c>
      <c r="AD116" t="str">
        <f>IF(OR('Base Encuesta'!AM90="",IFERROR(VALUE(LEFT('Base Encuesta'!K90,1)),"")&gt;=3),"",VALUE(LEFT('Base Encuesta'!AM90,1)))</f>
        <v/>
      </c>
      <c r="AE116" t="str">
        <f>IF(OR('Base Encuesta'!AN90="",IFERROR(VALUE(LEFT('Base Encuesta'!K90,1)),"")&gt;=3),"",VALUE(LEFT('Base Encuesta'!AN90,1)))</f>
        <v/>
      </c>
      <c r="AF116" t="str">
        <f>IF(OR('Base Encuesta'!AO90="",IFERROR(VALUE(LEFT('Base Encuesta'!K90,1)),"")&gt;=3),"",VALUE(LEFT('Base Encuesta'!AO90,1)))</f>
        <v/>
      </c>
      <c r="AG116" t="str">
        <f>IF(OR('Base Encuesta'!AQ90="",IFERROR(VALUE(LEFT('Base Encuesta'!K90,1)),"")&gt;=3),"",VALUE(LEFT('Base Encuesta'!AQ90,1)))</f>
        <v/>
      </c>
      <c r="AH116" t="str">
        <f>IF(OR('Base Encuesta'!AR90="",IFERROR(VALUE(LEFT('Base Encuesta'!K90,1)),"")&gt;=3),"",VALUE(LEFT('Base Encuesta'!AR90,1)))</f>
        <v/>
      </c>
    </row>
    <row r="117" spans="1:34">
      <c r="A117" t="str">
        <f>IF('Base Encuesta'!C91="","",'Base Encuesta'!C91)</f>
        <v/>
      </c>
      <c r="B117" t="str">
        <f>IF('Base Encuesta'!D91="","",'Base Encuesta'!D91)</f>
        <v/>
      </c>
      <c r="C117" t="str">
        <f>IF('Base Encuesta'!E91="","",'Base Encuesta'!E91)</f>
        <v/>
      </c>
      <c r="D117" t="str">
        <f>IF('Base Encuesta'!F91="","",'Base Encuesta'!F91)</f>
        <v/>
      </c>
      <c r="E117" t="str">
        <f>IF('Base Encuesta'!G91="","",'Base Encuesta'!G91)</f>
        <v/>
      </c>
      <c r="F117" t="str">
        <f>IF('Base Encuesta'!H91="","",'Base Encuesta'!H91)</f>
        <v/>
      </c>
      <c r="G117" t="str">
        <f>IF('Base Encuesta'!I91="","",'Base Encuesta'!I91)</f>
        <v/>
      </c>
      <c r="H117" t="str">
        <f>IF('Base Encuesta'!J91="","",'Base Encuesta'!J91)</f>
        <v/>
      </c>
      <c r="I117" t="str">
        <f>IF('Base Encuesta'!K91="","",'Base Encuesta'!K91)</f>
        <v/>
      </c>
      <c r="J117" t="str">
        <f>IF(OR('Base Encuesta'!P91="",IFERROR(VALUE(LEFT('Base Encuesta'!K91,1)),"")&gt;=3),"",PROPER(TRIM('Base Encuesta'!P91)))</f>
        <v/>
      </c>
      <c r="K117" t="str">
        <f>IF(OR('Base Encuesta'!Q91="",IFERROR(VALUE(LEFT('Base Encuesta'!K91,1)),"")&gt;=3),"",'Base Encuesta'!Q91)</f>
        <v/>
      </c>
      <c r="L117" t="str">
        <f>IF(OR('Base Encuesta'!R91="",IFERROR(VALUE(LEFT('Base Encuesta'!K91,1)),"")&gt;=3),"",VALUE(LEFT('Base Encuesta'!R91,1)))</f>
        <v/>
      </c>
      <c r="M117" t="str">
        <f>IF(OR('Base Encuesta'!S91="",IFERROR(VALUE(LEFT('Base Encuesta'!K91,1)),"")&gt;=3),"",VALUE(LEFT('Base Encuesta'!S91,1)))</f>
        <v/>
      </c>
      <c r="N117" t="str">
        <f>IF(OR('Base Encuesta'!T91="",IFERROR(VALUE(LEFT('Base Encuesta'!K91,1)),"")&gt;=3),"",VALUE(LEFT('Base Encuesta'!T91,1)))</f>
        <v/>
      </c>
      <c r="O117" t="str">
        <f>IF(OR('Base Encuesta'!V91="",IFERROR(VALUE(LEFT('Base Encuesta'!K91,1)),"")&gt;=3),"",VALUE(LEFT('Base Encuesta'!V91,1)))</f>
        <v/>
      </c>
      <c r="P117" t="str">
        <f>IF(OR('Base Encuesta'!W91="",IFERROR(VALUE(LEFT('Base Encuesta'!K91,1)),"")&gt;=3),"",VALUE(LEFT('Base Encuesta'!W91,1)))</f>
        <v/>
      </c>
      <c r="Q117" t="str">
        <f>IF(OR('Base Encuesta'!X91="",IFERROR(VALUE(LEFT('Base Encuesta'!K91,1)),"")&gt;=3),"",VALUE(LEFT('Base Encuesta'!X91,1)))</f>
        <v/>
      </c>
      <c r="R117" t="str">
        <f>IF(OR('Base Encuesta'!Y91="",IFERROR(VALUE(LEFT('Base Encuesta'!K91,1)),"")&gt;=3),"",VALUE(LEFT('Base Encuesta'!Y91,1)))</f>
        <v/>
      </c>
      <c r="S117" t="str">
        <f>IF(OR('Base Encuesta'!Z91="",IFERROR(VALUE(LEFT('Base Encuesta'!K91,1)),"")&gt;=3),"",VALUE(LEFT('Base Encuesta'!Z91,1)))</f>
        <v/>
      </c>
      <c r="T117" t="str">
        <f>IF(OR('Base Encuesta'!AA91="",IFERROR(VALUE(LEFT('Base Encuesta'!K91,1)),"")&gt;=3),"",VALUE(LEFT('Base Encuesta'!AA91,1)))</f>
        <v/>
      </c>
      <c r="U117" t="str">
        <f>IF(OR('Base Encuesta'!AB91="",IFERROR(VALUE(LEFT('Base Encuesta'!K91,1)),"")&gt;=3),"",VALUE(LEFT('Base Encuesta'!AB91,1)))</f>
        <v/>
      </c>
      <c r="V117" t="str">
        <f>IF(OR('Base Encuesta'!AC91="",IFERROR(VALUE(LEFT('Base Encuesta'!K91,1)),"")&gt;=3),"",VALUE(LEFT('Base Encuesta'!AC91,1)))</f>
        <v/>
      </c>
      <c r="W117" t="str">
        <f>IF(OR('Base Encuesta'!AE91="",IFERROR(VALUE(LEFT('Base Encuesta'!K91,1)),"")&gt;=3),"",VALUE(LEFT('Base Encuesta'!AE91,1)))</f>
        <v/>
      </c>
      <c r="X117" t="str">
        <f>IF(OR('Base Encuesta'!AF91="",IFERROR(VALUE(LEFT('Base Encuesta'!K91,1)),"")&gt;=3),"",IF(W117=1,VALUE(LEFT('Base Encuesta'!AF91,1)),""))</f>
        <v/>
      </c>
      <c r="Y117" t="str">
        <f>IF(OR('Base Encuesta'!AG91="",IFERROR(VALUE(LEFT('Base Encuesta'!K91,1)),"")&gt;=3),"",IF(W117=1,VALUE(LEFT('Base Encuesta'!AG91,1)),""))</f>
        <v/>
      </c>
      <c r="Z117" t="str">
        <f>IF(OR('Base Encuesta'!AH91="",IFERROR(VALUE(LEFT('Base Encuesta'!K91,1)),"")&gt;=3),"",IF(W117=1,VALUE(LEFT('Base Encuesta'!AH91,1)),""))</f>
        <v/>
      </c>
      <c r="AA117" t="str">
        <f>IF(OR('Base Encuesta'!AI91="",IFERROR(VALUE(LEFT('Base Encuesta'!K91,1)),"")&gt;=3),"",IF(W117=1,VALUE(LEFT('Base Encuesta'!AI91,1)),""))</f>
        <v/>
      </c>
      <c r="AB117" t="str">
        <f>IF(OR('Base Encuesta'!AJ91="",IFERROR(VALUE(LEFT('Base Encuesta'!K91,1)),"")&gt;=3),"",IF(W117=1,VALUE(LEFT('Base Encuesta'!AJ91,1)),""))</f>
        <v/>
      </c>
      <c r="AC117" t="str">
        <f>IF(OR('Base Encuesta'!AL91="",IFERROR(VALUE(LEFT('Base Encuesta'!K91,1)),"")&gt;=3),"",VALUE(LEFT('Base Encuesta'!AL91,1)))</f>
        <v/>
      </c>
      <c r="AD117" t="str">
        <f>IF(OR('Base Encuesta'!AM91="",IFERROR(VALUE(LEFT('Base Encuesta'!K91,1)),"")&gt;=3),"",VALUE(LEFT('Base Encuesta'!AM91,1)))</f>
        <v/>
      </c>
      <c r="AE117" t="str">
        <f>IF(OR('Base Encuesta'!AN91="",IFERROR(VALUE(LEFT('Base Encuesta'!K91,1)),"")&gt;=3),"",VALUE(LEFT('Base Encuesta'!AN91,1)))</f>
        <v/>
      </c>
      <c r="AF117" t="str">
        <f>IF(OR('Base Encuesta'!AO91="",IFERROR(VALUE(LEFT('Base Encuesta'!K91,1)),"")&gt;=3),"",VALUE(LEFT('Base Encuesta'!AO91,1)))</f>
        <v/>
      </c>
      <c r="AG117" t="str">
        <f>IF(OR('Base Encuesta'!AQ91="",IFERROR(VALUE(LEFT('Base Encuesta'!K91,1)),"")&gt;=3),"",VALUE(LEFT('Base Encuesta'!AQ91,1)))</f>
        <v/>
      </c>
      <c r="AH117" t="str">
        <f>IF(OR('Base Encuesta'!AR91="",IFERROR(VALUE(LEFT('Base Encuesta'!K91,1)),"")&gt;=3),"",VALUE(LEFT('Base Encuesta'!AR91,1)))</f>
        <v/>
      </c>
    </row>
    <row r="118" spans="1:34">
      <c r="A118" t="str">
        <f>IF('Base Encuesta'!C92="","",'Base Encuesta'!C92)</f>
        <v/>
      </c>
      <c r="B118" t="str">
        <f>IF('Base Encuesta'!D92="","",'Base Encuesta'!D92)</f>
        <v/>
      </c>
      <c r="C118" t="str">
        <f>IF('Base Encuesta'!E92="","",'Base Encuesta'!E92)</f>
        <v/>
      </c>
      <c r="D118" t="str">
        <f>IF('Base Encuesta'!F92="","",'Base Encuesta'!F92)</f>
        <v/>
      </c>
      <c r="E118" t="str">
        <f>IF('Base Encuesta'!G92="","",'Base Encuesta'!G92)</f>
        <v/>
      </c>
      <c r="F118" t="str">
        <f>IF('Base Encuesta'!H92="","",'Base Encuesta'!H92)</f>
        <v/>
      </c>
      <c r="G118" t="str">
        <f>IF('Base Encuesta'!I92="","",'Base Encuesta'!I92)</f>
        <v/>
      </c>
      <c r="H118" t="str">
        <f>IF('Base Encuesta'!J92="","",'Base Encuesta'!J92)</f>
        <v/>
      </c>
      <c r="I118" t="str">
        <f>IF('Base Encuesta'!K92="","",'Base Encuesta'!K92)</f>
        <v/>
      </c>
      <c r="J118" t="str">
        <f>IF(OR('Base Encuesta'!P92="",IFERROR(VALUE(LEFT('Base Encuesta'!K92,1)),"")&gt;=3),"",PROPER(TRIM('Base Encuesta'!P92)))</f>
        <v/>
      </c>
      <c r="K118" t="str">
        <f>IF(OR('Base Encuesta'!Q92="",IFERROR(VALUE(LEFT('Base Encuesta'!K92,1)),"")&gt;=3),"",'Base Encuesta'!Q92)</f>
        <v/>
      </c>
      <c r="L118" t="str">
        <f>IF(OR('Base Encuesta'!R92="",IFERROR(VALUE(LEFT('Base Encuesta'!K92,1)),"")&gt;=3),"",VALUE(LEFT('Base Encuesta'!R92,1)))</f>
        <v/>
      </c>
      <c r="M118" t="str">
        <f>IF(OR('Base Encuesta'!S92="",IFERROR(VALUE(LEFT('Base Encuesta'!K92,1)),"")&gt;=3),"",VALUE(LEFT('Base Encuesta'!S92,1)))</f>
        <v/>
      </c>
      <c r="N118" t="str">
        <f>IF(OR('Base Encuesta'!T92="",IFERROR(VALUE(LEFT('Base Encuesta'!K92,1)),"")&gt;=3),"",VALUE(LEFT('Base Encuesta'!T92,1)))</f>
        <v/>
      </c>
      <c r="O118" t="str">
        <f>IF(OR('Base Encuesta'!V92="",IFERROR(VALUE(LEFT('Base Encuesta'!K92,1)),"")&gt;=3),"",VALUE(LEFT('Base Encuesta'!V92,1)))</f>
        <v/>
      </c>
      <c r="P118" t="str">
        <f>IF(OR('Base Encuesta'!W92="",IFERROR(VALUE(LEFT('Base Encuesta'!K92,1)),"")&gt;=3),"",VALUE(LEFT('Base Encuesta'!W92,1)))</f>
        <v/>
      </c>
      <c r="Q118" t="str">
        <f>IF(OR('Base Encuesta'!X92="",IFERROR(VALUE(LEFT('Base Encuesta'!K92,1)),"")&gt;=3),"",VALUE(LEFT('Base Encuesta'!X92,1)))</f>
        <v/>
      </c>
      <c r="R118" t="str">
        <f>IF(OR('Base Encuesta'!Y92="",IFERROR(VALUE(LEFT('Base Encuesta'!K92,1)),"")&gt;=3),"",VALUE(LEFT('Base Encuesta'!Y92,1)))</f>
        <v/>
      </c>
      <c r="S118" t="str">
        <f>IF(OR('Base Encuesta'!Z92="",IFERROR(VALUE(LEFT('Base Encuesta'!K92,1)),"")&gt;=3),"",VALUE(LEFT('Base Encuesta'!Z92,1)))</f>
        <v/>
      </c>
      <c r="T118" t="str">
        <f>IF(OR('Base Encuesta'!AA92="",IFERROR(VALUE(LEFT('Base Encuesta'!K92,1)),"")&gt;=3),"",VALUE(LEFT('Base Encuesta'!AA92,1)))</f>
        <v/>
      </c>
      <c r="U118" t="str">
        <f>IF(OR('Base Encuesta'!AB92="",IFERROR(VALUE(LEFT('Base Encuesta'!K92,1)),"")&gt;=3),"",VALUE(LEFT('Base Encuesta'!AB92,1)))</f>
        <v/>
      </c>
      <c r="V118" t="str">
        <f>IF(OR('Base Encuesta'!AC92="",IFERROR(VALUE(LEFT('Base Encuesta'!K92,1)),"")&gt;=3),"",VALUE(LEFT('Base Encuesta'!AC92,1)))</f>
        <v/>
      </c>
      <c r="W118" t="str">
        <f>IF(OR('Base Encuesta'!AE92="",IFERROR(VALUE(LEFT('Base Encuesta'!K92,1)),"")&gt;=3),"",VALUE(LEFT('Base Encuesta'!AE92,1)))</f>
        <v/>
      </c>
      <c r="X118" t="str">
        <f>IF(OR('Base Encuesta'!AF92="",IFERROR(VALUE(LEFT('Base Encuesta'!K92,1)),"")&gt;=3),"",IF(W118=1,VALUE(LEFT('Base Encuesta'!AF92,1)),""))</f>
        <v/>
      </c>
      <c r="Y118" t="str">
        <f>IF(OR('Base Encuesta'!AG92="",IFERROR(VALUE(LEFT('Base Encuesta'!K92,1)),"")&gt;=3),"",IF(W118=1,VALUE(LEFT('Base Encuesta'!AG92,1)),""))</f>
        <v/>
      </c>
      <c r="Z118" t="str">
        <f>IF(OR('Base Encuesta'!AH92="",IFERROR(VALUE(LEFT('Base Encuesta'!K92,1)),"")&gt;=3),"",IF(W118=1,VALUE(LEFT('Base Encuesta'!AH92,1)),""))</f>
        <v/>
      </c>
      <c r="AA118" t="str">
        <f>IF(OR('Base Encuesta'!AI92="",IFERROR(VALUE(LEFT('Base Encuesta'!K92,1)),"")&gt;=3),"",IF(W118=1,VALUE(LEFT('Base Encuesta'!AI92,1)),""))</f>
        <v/>
      </c>
      <c r="AB118" t="str">
        <f>IF(OR('Base Encuesta'!AJ92="",IFERROR(VALUE(LEFT('Base Encuesta'!K92,1)),"")&gt;=3),"",IF(W118=1,VALUE(LEFT('Base Encuesta'!AJ92,1)),""))</f>
        <v/>
      </c>
      <c r="AC118" t="str">
        <f>IF(OR('Base Encuesta'!AL92="",IFERROR(VALUE(LEFT('Base Encuesta'!K92,1)),"")&gt;=3),"",VALUE(LEFT('Base Encuesta'!AL92,1)))</f>
        <v/>
      </c>
      <c r="AD118" t="str">
        <f>IF(OR('Base Encuesta'!AM92="",IFERROR(VALUE(LEFT('Base Encuesta'!K92,1)),"")&gt;=3),"",VALUE(LEFT('Base Encuesta'!AM92,1)))</f>
        <v/>
      </c>
      <c r="AE118" t="str">
        <f>IF(OR('Base Encuesta'!AN92="",IFERROR(VALUE(LEFT('Base Encuesta'!K92,1)),"")&gt;=3),"",VALUE(LEFT('Base Encuesta'!AN92,1)))</f>
        <v/>
      </c>
      <c r="AF118" t="str">
        <f>IF(OR('Base Encuesta'!AO92="",IFERROR(VALUE(LEFT('Base Encuesta'!K92,1)),"")&gt;=3),"",VALUE(LEFT('Base Encuesta'!AO92,1)))</f>
        <v/>
      </c>
      <c r="AG118" t="str">
        <f>IF(OR('Base Encuesta'!AQ92="",IFERROR(VALUE(LEFT('Base Encuesta'!K92,1)),"")&gt;=3),"",VALUE(LEFT('Base Encuesta'!AQ92,1)))</f>
        <v/>
      </c>
      <c r="AH118" t="str">
        <f>IF(OR('Base Encuesta'!AR92="",IFERROR(VALUE(LEFT('Base Encuesta'!K92,1)),"")&gt;=3),"",VALUE(LEFT('Base Encuesta'!AR92,1)))</f>
        <v/>
      </c>
    </row>
    <row r="119" spans="1:34">
      <c r="A119" t="str">
        <f>IF('Base Encuesta'!C93="","",'Base Encuesta'!C93)</f>
        <v/>
      </c>
      <c r="B119" t="str">
        <f>IF('Base Encuesta'!D93="","",'Base Encuesta'!D93)</f>
        <v/>
      </c>
      <c r="C119" t="str">
        <f>IF('Base Encuesta'!E93="","",'Base Encuesta'!E93)</f>
        <v/>
      </c>
      <c r="D119" t="str">
        <f>IF('Base Encuesta'!F93="","",'Base Encuesta'!F93)</f>
        <v/>
      </c>
      <c r="E119" t="str">
        <f>IF('Base Encuesta'!G93="","",'Base Encuesta'!G93)</f>
        <v/>
      </c>
      <c r="F119" t="str">
        <f>IF('Base Encuesta'!H93="","",'Base Encuesta'!H93)</f>
        <v/>
      </c>
      <c r="G119" t="str">
        <f>IF('Base Encuesta'!I93="","",'Base Encuesta'!I93)</f>
        <v/>
      </c>
      <c r="H119" t="str">
        <f>IF('Base Encuesta'!J93="","",'Base Encuesta'!J93)</f>
        <v/>
      </c>
      <c r="I119" t="str">
        <f>IF('Base Encuesta'!K93="","",'Base Encuesta'!K93)</f>
        <v/>
      </c>
      <c r="J119" t="str">
        <f>IF(OR('Base Encuesta'!P93="",IFERROR(VALUE(LEFT('Base Encuesta'!K93,1)),"")&gt;=3),"",PROPER(TRIM('Base Encuesta'!P93)))</f>
        <v/>
      </c>
      <c r="K119" t="str">
        <f>IF(OR('Base Encuesta'!Q93="",IFERROR(VALUE(LEFT('Base Encuesta'!K93,1)),"")&gt;=3),"",'Base Encuesta'!Q93)</f>
        <v/>
      </c>
      <c r="L119" t="str">
        <f>IF(OR('Base Encuesta'!R93="",IFERROR(VALUE(LEFT('Base Encuesta'!K93,1)),"")&gt;=3),"",VALUE(LEFT('Base Encuesta'!R93,1)))</f>
        <v/>
      </c>
      <c r="M119" t="str">
        <f>IF(OR('Base Encuesta'!S93="",IFERROR(VALUE(LEFT('Base Encuesta'!K93,1)),"")&gt;=3),"",VALUE(LEFT('Base Encuesta'!S93,1)))</f>
        <v/>
      </c>
      <c r="N119" t="str">
        <f>IF(OR('Base Encuesta'!T93="",IFERROR(VALUE(LEFT('Base Encuesta'!K93,1)),"")&gt;=3),"",VALUE(LEFT('Base Encuesta'!T93,1)))</f>
        <v/>
      </c>
      <c r="O119" t="str">
        <f>IF(OR('Base Encuesta'!V93="",IFERROR(VALUE(LEFT('Base Encuesta'!K93,1)),"")&gt;=3),"",VALUE(LEFT('Base Encuesta'!V93,1)))</f>
        <v/>
      </c>
      <c r="P119" t="str">
        <f>IF(OR('Base Encuesta'!W93="",IFERROR(VALUE(LEFT('Base Encuesta'!K93,1)),"")&gt;=3),"",VALUE(LEFT('Base Encuesta'!W93,1)))</f>
        <v/>
      </c>
      <c r="Q119" t="str">
        <f>IF(OR('Base Encuesta'!X93="",IFERROR(VALUE(LEFT('Base Encuesta'!K93,1)),"")&gt;=3),"",VALUE(LEFT('Base Encuesta'!X93,1)))</f>
        <v/>
      </c>
      <c r="R119" t="str">
        <f>IF(OR('Base Encuesta'!Y93="",IFERROR(VALUE(LEFT('Base Encuesta'!K93,1)),"")&gt;=3),"",VALUE(LEFT('Base Encuesta'!Y93,1)))</f>
        <v/>
      </c>
      <c r="S119" t="str">
        <f>IF(OR('Base Encuesta'!Z93="",IFERROR(VALUE(LEFT('Base Encuesta'!K93,1)),"")&gt;=3),"",VALUE(LEFT('Base Encuesta'!Z93,1)))</f>
        <v/>
      </c>
      <c r="T119" t="str">
        <f>IF(OR('Base Encuesta'!AA93="",IFERROR(VALUE(LEFT('Base Encuesta'!K93,1)),"")&gt;=3),"",VALUE(LEFT('Base Encuesta'!AA93,1)))</f>
        <v/>
      </c>
      <c r="U119" t="str">
        <f>IF(OR('Base Encuesta'!AB93="",IFERROR(VALUE(LEFT('Base Encuesta'!K93,1)),"")&gt;=3),"",VALUE(LEFT('Base Encuesta'!AB93,1)))</f>
        <v/>
      </c>
      <c r="V119" t="str">
        <f>IF(OR('Base Encuesta'!AC93="",IFERROR(VALUE(LEFT('Base Encuesta'!K93,1)),"")&gt;=3),"",VALUE(LEFT('Base Encuesta'!AC93,1)))</f>
        <v/>
      </c>
      <c r="W119" t="str">
        <f>IF(OR('Base Encuesta'!AE93="",IFERROR(VALUE(LEFT('Base Encuesta'!K93,1)),"")&gt;=3),"",VALUE(LEFT('Base Encuesta'!AE93,1)))</f>
        <v/>
      </c>
      <c r="X119" t="str">
        <f>IF(OR('Base Encuesta'!AF93="",IFERROR(VALUE(LEFT('Base Encuesta'!K93,1)),"")&gt;=3),"",IF(W119=1,VALUE(LEFT('Base Encuesta'!AF93,1)),""))</f>
        <v/>
      </c>
      <c r="Y119" t="str">
        <f>IF(OR('Base Encuesta'!AG93="",IFERROR(VALUE(LEFT('Base Encuesta'!K93,1)),"")&gt;=3),"",IF(W119=1,VALUE(LEFT('Base Encuesta'!AG93,1)),""))</f>
        <v/>
      </c>
      <c r="Z119" t="str">
        <f>IF(OR('Base Encuesta'!AH93="",IFERROR(VALUE(LEFT('Base Encuesta'!K93,1)),"")&gt;=3),"",IF(W119=1,VALUE(LEFT('Base Encuesta'!AH93,1)),""))</f>
        <v/>
      </c>
      <c r="AA119" t="str">
        <f>IF(OR('Base Encuesta'!AI93="",IFERROR(VALUE(LEFT('Base Encuesta'!K93,1)),"")&gt;=3),"",IF(W119=1,VALUE(LEFT('Base Encuesta'!AI93,1)),""))</f>
        <v/>
      </c>
      <c r="AB119" t="str">
        <f>IF(OR('Base Encuesta'!AJ93="",IFERROR(VALUE(LEFT('Base Encuesta'!K93,1)),"")&gt;=3),"",IF(W119=1,VALUE(LEFT('Base Encuesta'!AJ93,1)),""))</f>
        <v/>
      </c>
      <c r="AC119" t="str">
        <f>IF(OR('Base Encuesta'!AL93="",IFERROR(VALUE(LEFT('Base Encuesta'!K93,1)),"")&gt;=3),"",VALUE(LEFT('Base Encuesta'!AL93,1)))</f>
        <v/>
      </c>
      <c r="AD119" t="str">
        <f>IF(OR('Base Encuesta'!AM93="",IFERROR(VALUE(LEFT('Base Encuesta'!K93,1)),"")&gt;=3),"",VALUE(LEFT('Base Encuesta'!AM93,1)))</f>
        <v/>
      </c>
      <c r="AE119" t="str">
        <f>IF(OR('Base Encuesta'!AN93="",IFERROR(VALUE(LEFT('Base Encuesta'!K93,1)),"")&gt;=3),"",VALUE(LEFT('Base Encuesta'!AN93,1)))</f>
        <v/>
      </c>
      <c r="AF119" t="str">
        <f>IF(OR('Base Encuesta'!AO93="",IFERROR(VALUE(LEFT('Base Encuesta'!K93,1)),"")&gt;=3),"",VALUE(LEFT('Base Encuesta'!AO93,1)))</f>
        <v/>
      </c>
      <c r="AG119" t="str">
        <f>IF(OR('Base Encuesta'!AQ93="",IFERROR(VALUE(LEFT('Base Encuesta'!K93,1)),"")&gt;=3),"",VALUE(LEFT('Base Encuesta'!AQ93,1)))</f>
        <v/>
      </c>
      <c r="AH119" t="str">
        <f>IF(OR('Base Encuesta'!AR93="",IFERROR(VALUE(LEFT('Base Encuesta'!K93,1)),"")&gt;=3),"",VALUE(LEFT('Base Encuesta'!AR93,1)))</f>
        <v/>
      </c>
    </row>
    <row r="120" spans="1:34">
      <c r="A120" t="str">
        <f>IF('Base Encuesta'!C94="","",'Base Encuesta'!C94)</f>
        <v/>
      </c>
      <c r="B120" t="str">
        <f>IF('Base Encuesta'!D94="","",'Base Encuesta'!D94)</f>
        <v/>
      </c>
      <c r="C120" t="str">
        <f>IF('Base Encuesta'!E94="","",'Base Encuesta'!E94)</f>
        <v/>
      </c>
      <c r="D120" t="str">
        <f>IF('Base Encuesta'!F94="","",'Base Encuesta'!F94)</f>
        <v/>
      </c>
      <c r="E120" t="str">
        <f>IF('Base Encuesta'!G94="","",'Base Encuesta'!G94)</f>
        <v/>
      </c>
      <c r="F120" t="str">
        <f>IF('Base Encuesta'!H94="","",'Base Encuesta'!H94)</f>
        <v/>
      </c>
      <c r="G120" t="str">
        <f>IF('Base Encuesta'!I94="","",'Base Encuesta'!I94)</f>
        <v/>
      </c>
      <c r="H120" t="str">
        <f>IF('Base Encuesta'!J94="","",'Base Encuesta'!J94)</f>
        <v/>
      </c>
      <c r="I120" t="str">
        <f>IF('Base Encuesta'!K94="","",'Base Encuesta'!K94)</f>
        <v/>
      </c>
      <c r="J120" t="str">
        <f>IF(OR('Base Encuesta'!P94="",IFERROR(VALUE(LEFT('Base Encuesta'!K94,1)),"")&gt;=3),"",PROPER(TRIM('Base Encuesta'!P94)))</f>
        <v/>
      </c>
      <c r="K120" t="str">
        <f>IF(OR('Base Encuesta'!Q94="",IFERROR(VALUE(LEFT('Base Encuesta'!K94,1)),"")&gt;=3),"",'Base Encuesta'!Q94)</f>
        <v/>
      </c>
      <c r="L120" t="str">
        <f>IF(OR('Base Encuesta'!R94="",IFERROR(VALUE(LEFT('Base Encuesta'!K94,1)),"")&gt;=3),"",VALUE(LEFT('Base Encuesta'!R94,1)))</f>
        <v/>
      </c>
      <c r="M120" t="str">
        <f>IF(OR('Base Encuesta'!S94="",IFERROR(VALUE(LEFT('Base Encuesta'!K94,1)),"")&gt;=3),"",VALUE(LEFT('Base Encuesta'!S94,1)))</f>
        <v/>
      </c>
      <c r="N120" t="str">
        <f>IF(OR('Base Encuesta'!T94="",IFERROR(VALUE(LEFT('Base Encuesta'!K94,1)),"")&gt;=3),"",VALUE(LEFT('Base Encuesta'!T94,1)))</f>
        <v/>
      </c>
      <c r="O120" t="str">
        <f>IF(OR('Base Encuesta'!V94="",IFERROR(VALUE(LEFT('Base Encuesta'!K94,1)),"")&gt;=3),"",VALUE(LEFT('Base Encuesta'!V94,1)))</f>
        <v/>
      </c>
      <c r="P120" t="str">
        <f>IF(OR('Base Encuesta'!W94="",IFERROR(VALUE(LEFT('Base Encuesta'!K94,1)),"")&gt;=3),"",VALUE(LEFT('Base Encuesta'!W94,1)))</f>
        <v/>
      </c>
      <c r="Q120" t="str">
        <f>IF(OR('Base Encuesta'!X94="",IFERROR(VALUE(LEFT('Base Encuesta'!K94,1)),"")&gt;=3),"",VALUE(LEFT('Base Encuesta'!X94,1)))</f>
        <v/>
      </c>
      <c r="R120" t="str">
        <f>IF(OR('Base Encuesta'!Y94="",IFERROR(VALUE(LEFT('Base Encuesta'!K94,1)),"")&gt;=3),"",VALUE(LEFT('Base Encuesta'!Y94,1)))</f>
        <v/>
      </c>
      <c r="S120" t="str">
        <f>IF(OR('Base Encuesta'!Z94="",IFERROR(VALUE(LEFT('Base Encuesta'!K94,1)),"")&gt;=3),"",VALUE(LEFT('Base Encuesta'!Z94,1)))</f>
        <v/>
      </c>
      <c r="T120" t="str">
        <f>IF(OR('Base Encuesta'!AA94="",IFERROR(VALUE(LEFT('Base Encuesta'!K94,1)),"")&gt;=3),"",VALUE(LEFT('Base Encuesta'!AA94,1)))</f>
        <v/>
      </c>
      <c r="U120" t="str">
        <f>IF(OR('Base Encuesta'!AB94="",IFERROR(VALUE(LEFT('Base Encuesta'!K94,1)),"")&gt;=3),"",VALUE(LEFT('Base Encuesta'!AB94,1)))</f>
        <v/>
      </c>
      <c r="V120" t="str">
        <f>IF(OR('Base Encuesta'!AC94="",IFERROR(VALUE(LEFT('Base Encuesta'!K94,1)),"")&gt;=3),"",VALUE(LEFT('Base Encuesta'!AC94,1)))</f>
        <v/>
      </c>
      <c r="W120" t="str">
        <f>IF(OR('Base Encuesta'!AE94="",IFERROR(VALUE(LEFT('Base Encuesta'!K94,1)),"")&gt;=3),"",VALUE(LEFT('Base Encuesta'!AE94,1)))</f>
        <v/>
      </c>
      <c r="X120" t="str">
        <f>IF(OR('Base Encuesta'!AF94="",IFERROR(VALUE(LEFT('Base Encuesta'!K94,1)),"")&gt;=3),"",IF(W120=1,VALUE(LEFT('Base Encuesta'!AF94,1)),""))</f>
        <v/>
      </c>
      <c r="Y120" t="str">
        <f>IF(OR('Base Encuesta'!AG94="",IFERROR(VALUE(LEFT('Base Encuesta'!K94,1)),"")&gt;=3),"",IF(W120=1,VALUE(LEFT('Base Encuesta'!AG94,1)),""))</f>
        <v/>
      </c>
      <c r="Z120" t="str">
        <f>IF(OR('Base Encuesta'!AH94="",IFERROR(VALUE(LEFT('Base Encuesta'!K94,1)),"")&gt;=3),"",IF(W120=1,VALUE(LEFT('Base Encuesta'!AH94,1)),""))</f>
        <v/>
      </c>
      <c r="AA120" t="str">
        <f>IF(OR('Base Encuesta'!AI94="",IFERROR(VALUE(LEFT('Base Encuesta'!K94,1)),"")&gt;=3),"",IF(W120=1,VALUE(LEFT('Base Encuesta'!AI94,1)),""))</f>
        <v/>
      </c>
      <c r="AB120" t="str">
        <f>IF(OR('Base Encuesta'!AJ94="",IFERROR(VALUE(LEFT('Base Encuesta'!K94,1)),"")&gt;=3),"",IF(W120=1,VALUE(LEFT('Base Encuesta'!AJ94,1)),""))</f>
        <v/>
      </c>
      <c r="AC120" t="str">
        <f>IF(OR('Base Encuesta'!AL94="",IFERROR(VALUE(LEFT('Base Encuesta'!K94,1)),"")&gt;=3),"",VALUE(LEFT('Base Encuesta'!AL94,1)))</f>
        <v/>
      </c>
      <c r="AD120" t="str">
        <f>IF(OR('Base Encuesta'!AM94="",IFERROR(VALUE(LEFT('Base Encuesta'!K94,1)),"")&gt;=3),"",VALUE(LEFT('Base Encuesta'!AM94,1)))</f>
        <v/>
      </c>
      <c r="AE120" t="str">
        <f>IF(OR('Base Encuesta'!AN94="",IFERROR(VALUE(LEFT('Base Encuesta'!K94,1)),"")&gt;=3),"",VALUE(LEFT('Base Encuesta'!AN94,1)))</f>
        <v/>
      </c>
      <c r="AF120" t="str">
        <f>IF(OR('Base Encuesta'!AO94="",IFERROR(VALUE(LEFT('Base Encuesta'!K94,1)),"")&gt;=3),"",VALUE(LEFT('Base Encuesta'!AO94,1)))</f>
        <v/>
      </c>
      <c r="AG120" t="str">
        <f>IF(OR('Base Encuesta'!AQ94="",IFERROR(VALUE(LEFT('Base Encuesta'!K94,1)),"")&gt;=3),"",VALUE(LEFT('Base Encuesta'!AQ94,1)))</f>
        <v/>
      </c>
      <c r="AH120" t="str">
        <f>IF(OR('Base Encuesta'!AR94="",IFERROR(VALUE(LEFT('Base Encuesta'!K94,1)),"")&gt;=3),"",VALUE(LEFT('Base Encuesta'!AR94,1)))</f>
        <v/>
      </c>
    </row>
    <row r="121" spans="1:34">
      <c r="A121" t="str">
        <f>IF('Base Encuesta'!C95="","",'Base Encuesta'!C95)</f>
        <v/>
      </c>
      <c r="B121" t="str">
        <f>IF('Base Encuesta'!D95="","",'Base Encuesta'!D95)</f>
        <v/>
      </c>
      <c r="C121" t="str">
        <f>IF('Base Encuesta'!E95="","",'Base Encuesta'!E95)</f>
        <v/>
      </c>
      <c r="D121" t="str">
        <f>IF('Base Encuesta'!F95="","",'Base Encuesta'!F95)</f>
        <v/>
      </c>
      <c r="E121" t="str">
        <f>IF('Base Encuesta'!G95="","",'Base Encuesta'!G95)</f>
        <v/>
      </c>
      <c r="F121" t="str">
        <f>IF('Base Encuesta'!H95="","",'Base Encuesta'!H95)</f>
        <v/>
      </c>
      <c r="G121" t="str">
        <f>IF('Base Encuesta'!I95="","",'Base Encuesta'!I95)</f>
        <v/>
      </c>
      <c r="H121" t="str">
        <f>IF('Base Encuesta'!J95="","",'Base Encuesta'!J95)</f>
        <v/>
      </c>
      <c r="I121" t="str">
        <f>IF('Base Encuesta'!K95="","",'Base Encuesta'!K95)</f>
        <v/>
      </c>
      <c r="J121" t="str">
        <f>IF(OR('Base Encuesta'!P95="",IFERROR(VALUE(LEFT('Base Encuesta'!K95,1)),"")&gt;=3),"",PROPER(TRIM('Base Encuesta'!P95)))</f>
        <v/>
      </c>
      <c r="K121" t="str">
        <f>IF(OR('Base Encuesta'!Q95="",IFERROR(VALUE(LEFT('Base Encuesta'!K95,1)),"")&gt;=3),"",'Base Encuesta'!Q95)</f>
        <v/>
      </c>
      <c r="L121" t="str">
        <f>IF(OR('Base Encuesta'!R95="",IFERROR(VALUE(LEFT('Base Encuesta'!K95,1)),"")&gt;=3),"",VALUE(LEFT('Base Encuesta'!R95,1)))</f>
        <v/>
      </c>
      <c r="M121" t="str">
        <f>IF(OR('Base Encuesta'!S95="",IFERROR(VALUE(LEFT('Base Encuesta'!K95,1)),"")&gt;=3),"",VALUE(LEFT('Base Encuesta'!S95,1)))</f>
        <v/>
      </c>
      <c r="N121" t="str">
        <f>IF(OR('Base Encuesta'!T95="",IFERROR(VALUE(LEFT('Base Encuesta'!K95,1)),"")&gt;=3),"",VALUE(LEFT('Base Encuesta'!T95,1)))</f>
        <v/>
      </c>
      <c r="O121" t="str">
        <f>IF(OR('Base Encuesta'!V95="",IFERROR(VALUE(LEFT('Base Encuesta'!K95,1)),"")&gt;=3),"",VALUE(LEFT('Base Encuesta'!V95,1)))</f>
        <v/>
      </c>
      <c r="P121" t="str">
        <f>IF(OR('Base Encuesta'!W95="",IFERROR(VALUE(LEFT('Base Encuesta'!K95,1)),"")&gt;=3),"",VALUE(LEFT('Base Encuesta'!W95,1)))</f>
        <v/>
      </c>
      <c r="Q121" t="str">
        <f>IF(OR('Base Encuesta'!X95="",IFERROR(VALUE(LEFT('Base Encuesta'!K95,1)),"")&gt;=3),"",VALUE(LEFT('Base Encuesta'!X95,1)))</f>
        <v/>
      </c>
      <c r="R121" t="str">
        <f>IF(OR('Base Encuesta'!Y95="",IFERROR(VALUE(LEFT('Base Encuesta'!K95,1)),"")&gt;=3),"",VALUE(LEFT('Base Encuesta'!Y95,1)))</f>
        <v/>
      </c>
      <c r="S121" t="str">
        <f>IF(OR('Base Encuesta'!Z95="",IFERROR(VALUE(LEFT('Base Encuesta'!K95,1)),"")&gt;=3),"",VALUE(LEFT('Base Encuesta'!Z95,1)))</f>
        <v/>
      </c>
      <c r="T121" t="str">
        <f>IF(OR('Base Encuesta'!AA95="",IFERROR(VALUE(LEFT('Base Encuesta'!K95,1)),"")&gt;=3),"",VALUE(LEFT('Base Encuesta'!AA95,1)))</f>
        <v/>
      </c>
      <c r="U121" t="str">
        <f>IF(OR('Base Encuesta'!AB95="",IFERROR(VALUE(LEFT('Base Encuesta'!K95,1)),"")&gt;=3),"",VALUE(LEFT('Base Encuesta'!AB95,1)))</f>
        <v/>
      </c>
      <c r="V121" t="str">
        <f>IF(OR('Base Encuesta'!AC95="",IFERROR(VALUE(LEFT('Base Encuesta'!K95,1)),"")&gt;=3),"",VALUE(LEFT('Base Encuesta'!AC95,1)))</f>
        <v/>
      </c>
      <c r="W121" t="str">
        <f>IF(OR('Base Encuesta'!AE95="",IFERROR(VALUE(LEFT('Base Encuesta'!K95,1)),"")&gt;=3),"",VALUE(LEFT('Base Encuesta'!AE95,1)))</f>
        <v/>
      </c>
      <c r="X121" t="str">
        <f>IF(OR('Base Encuesta'!AF95="",IFERROR(VALUE(LEFT('Base Encuesta'!K95,1)),"")&gt;=3),"",IF(W121=1,VALUE(LEFT('Base Encuesta'!AF95,1)),""))</f>
        <v/>
      </c>
      <c r="Y121" t="str">
        <f>IF(OR('Base Encuesta'!AG95="",IFERROR(VALUE(LEFT('Base Encuesta'!K95,1)),"")&gt;=3),"",IF(W121=1,VALUE(LEFT('Base Encuesta'!AG95,1)),""))</f>
        <v/>
      </c>
      <c r="Z121" t="str">
        <f>IF(OR('Base Encuesta'!AH95="",IFERROR(VALUE(LEFT('Base Encuesta'!K95,1)),"")&gt;=3),"",IF(W121=1,VALUE(LEFT('Base Encuesta'!AH95,1)),""))</f>
        <v/>
      </c>
      <c r="AA121" t="str">
        <f>IF(OR('Base Encuesta'!AI95="",IFERROR(VALUE(LEFT('Base Encuesta'!K95,1)),"")&gt;=3),"",IF(W121=1,VALUE(LEFT('Base Encuesta'!AI95,1)),""))</f>
        <v/>
      </c>
      <c r="AB121" t="str">
        <f>IF(OR('Base Encuesta'!AJ95="",IFERROR(VALUE(LEFT('Base Encuesta'!K95,1)),"")&gt;=3),"",IF(W121=1,VALUE(LEFT('Base Encuesta'!AJ95,1)),""))</f>
        <v/>
      </c>
      <c r="AC121" t="str">
        <f>IF(OR('Base Encuesta'!AL95="",IFERROR(VALUE(LEFT('Base Encuesta'!K95,1)),"")&gt;=3),"",VALUE(LEFT('Base Encuesta'!AL95,1)))</f>
        <v/>
      </c>
      <c r="AD121" t="str">
        <f>IF(OR('Base Encuesta'!AM95="",IFERROR(VALUE(LEFT('Base Encuesta'!K95,1)),"")&gt;=3),"",VALUE(LEFT('Base Encuesta'!AM95,1)))</f>
        <v/>
      </c>
      <c r="AE121" t="str">
        <f>IF(OR('Base Encuesta'!AN95="",IFERROR(VALUE(LEFT('Base Encuesta'!K95,1)),"")&gt;=3),"",VALUE(LEFT('Base Encuesta'!AN95,1)))</f>
        <v/>
      </c>
      <c r="AF121" t="str">
        <f>IF(OR('Base Encuesta'!AO95="",IFERROR(VALUE(LEFT('Base Encuesta'!K95,1)),"")&gt;=3),"",VALUE(LEFT('Base Encuesta'!AO95,1)))</f>
        <v/>
      </c>
      <c r="AG121" t="str">
        <f>IF(OR('Base Encuesta'!AQ95="",IFERROR(VALUE(LEFT('Base Encuesta'!K95,1)),"")&gt;=3),"",VALUE(LEFT('Base Encuesta'!AQ95,1)))</f>
        <v/>
      </c>
      <c r="AH121" t="str">
        <f>IF(OR('Base Encuesta'!AR95="",IFERROR(VALUE(LEFT('Base Encuesta'!K95,1)),"")&gt;=3),"",VALUE(LEFT('Base Encuesta'!AR95,1)))</f>
        <v/>
      </c>
    </row>
    <row r="122" spans="1:34">
      <c r="A122" t="str">
        <f>IF('Base Encuesta'!C96="","",'Base Encuesta'!C96)</f>
        <v/>
      </c>
      <c r="B122" t="str">
        <f>IF('Base Encuesta'!D96="","",'Base Encuesta'!D96)</f>
        <v/>
      </c>
      <c r="C122" t="str">
        <f>IF('Base Encuesta'!E96="","",'Base Encuesta'!E96)</f>
        <v/>
      </c>
      <c r="D122" t="str">
        <f>IF('Base Encuesta'!F96="","",'Base Encuesta'!F96)</f>
        <v/>
      </c>
      <c r="E122" t="str">
        <f>IF('Base Encuesta'!G96="","",'Base Encuesta'!G96)</f>
        <v/>
      </c>
      <c r="F122" t="str">
        <f>IF('Base Encuesta'!H96="","",'Base Encuesta'!H96)</f>
        <v/>
      </c>
      <c r="G122" t="str">
        <f>IF('Base Encuesta'!I96="","",'Base Encuesta'!I96)</f>
        <v/>
      </c>
      <c r="H122" t="str">
        <f>IF('Base Encuesta'!J96="","",'Base Encuesta'!J96)</f>
        <v/>
      </c>
      <c r="I122" t="str">
        <f>IF('Base Encuesta'!K96="","",'Base Encuesta'!K96)</f>
        <v/>
      </c>
      <c r="J122" t="str">
        <f>IF(OR('Base Encuesta'!P96="",IFERROR(VALUE(LEFT('Base Encuesta'!K96,1)),"")&gt;=3),"",PROPER(TRIM('Base Encuesta'!P96)))</f>
        <v/>
      </c>
      <c r="K122" t="str">
        <f>IF(OR('Base Encuesta'!Q96="",IFERROR(VALUE(LEFT('Base Encuesta'!K96,1)),"")&gt;=3),"",'Base Encuesta'!Q96)</f>
        <v/>
      </c>
      <c r="L122" t="str">
        <f>IF(OR('Base Encuesta'!R96="",IFERROR(VALUE(LEFT('Base Encuesta'!K96,1)),"")&gt;=3),"",VALUE(LEFT('Base Encuesta'!R96,1)))</f>
        <v/>
      </c>
      <c r="M122" t="str">
        <f>IF(OR('Base Encuesta'!S96="",IFERROR(VALUE(LEFT('Base Encuesta'!K96,1)),"")&gt;=3),"",VALUE(LEFT('Base Encuesta'!S96,1)))</f>
        <v/>
      </c>
      <c r="N122" t="str">
        <f>IF(OR('Base Encuesta'!T96="",IFERROR(VALUE(LEFT('Base Encuesta'!K96,1)),"")&gt;=3),"",VALUE(LEFT('Base Encuesta'!T96,1)))</f>
        <v/>
      </c>
      <c r="O122" t="str">
        <f>IF(OR('Base Encuesta'!V96="",IFERROR(VALUE(LEFT('Base Encuesta'!K96,1)),"")&gt;=3),"",VALUE(LEFT('Base Encuesta'!V96,1)))</f>
        <v/>
      </c>
      <c r="P122" t="str">
        <f>IF(OR('Base Encuesta'!W96="",IFERROR(VALUE(LEFT('Base Encuesta'!K96,1)),"")&gt;=3),"",VALUE(LEFT('Base Encuesta'!W96,1)))</f>
        <v/>
      </c>
      <c r="Q122" t="str">
        <f>IF(OR('Base Encuesta'!X96="",IFERROR(VALUE(LEFT('Base Encuesta'!K96,1)),"")&gt;=3),"",VALUE(LEFT('Base Encuesta'!X96,1)))</f>
        <v/>
      </c>
      <c r="R122" t="str">
        <f>IF(OR('Base Encuesta'!Y96="",IFERROR(VALUE(LEFT('Base Encuesta'!K96,1)),"")&gt;=3),"",VALUE(LEFT('Base Encuesta'!Y96,1)))</f>
        <v/>
      </c>
      <c r="S122" t="str">
        <f>IF(OR('Base Encuesta'!Z96="",IFERROR(VALUE(LEFT('Base Encuesta'!K96,1)),"")&gt;=3),"",VALUE(LEFT('Base Encuesta'!Z96,1)))</f>
        <v/>
      </c>
      <c r="T122" t="str">
        <f>IF(OR('Base Encuesta'!AA96="",IFERROR(VALUE(LEFT('Base Encuesta'!K96,1)),"")&gt;=3),"",VALUE(LEFT('Base Encuesta'!AA96,1)))</f>
        <v/>
      </c>
      <c r="U122" t="str">
        <f>IF(OR('Base Encuesta'!AB96="",IFERROR(VALUE(LEFT('Base Encuesta'!K96,1)),"")&gt;=3),"",VALUE(LEFT('Base Encuesta'!AB96,1)))</f>
        <v/>
      </c>
      <c r="V122" t="str">
        <f>IF(OR('Base Encuesta'!AC96="",IFERROR(VALUE(LEFT('Base Encuesta'!K96,1)),"")&gt;=3),"",VALUE(LEFT('Base Encuesta'!AC96,1)))</f>
        <v/>
      </c>
      <c r="W122" t="str">
        <f>IF(OR('Base Encuesta'!AE96="",IFERROR(VALUE(LEFT('Base Encuesta'!K96,1)),"")&gt;=3),"",VALUE(LEFT('Base Encuesta'!AE96,1)))</f>
        <v/>
      </c>
      <c r="X122" t="str">
        <f>IF(OR('Base Encuesta'!AF96="",IFERROR(VALUE(LEFT('Base Encuesta'!K96,1)),"")&gt;=3),"",IF(W122=1,VALUE(LEFT('Base Encuesta'!AF96,1)),""))</f>
        <v/>
      </c>
      <c r="Y122" t="str">
        <f>IF(OR('Base Encuesta'!AG96="",IFERROR(VALUE(LEFT('Base Encuesta'!K96,1)),"")&gt;=3),"",IF(W122=1,VALUE(LEFT('Base Encuesta'!AG96,1)),""))</f>
        <v/>
      </c>
      <c r="Z122" t="str">
        <f>IF(OR('Base Encuesta'!AH96="",IFERROR(VALUE(LEFT('Base Encuesta'!K96,1)),"")&gt;=3),"",IF(W122=1,VALUE(LEFT('Base Encuesta'!AH96,1)),""))</f>
        <v/>
      </c>
      <c r="AA122" t="str">
        <f>IF(OR('Base Encuesta'!AI96="",IFERROR(VALUE(LEFT('Base Encuesta'!K96,1)),"")&gt;=3),"",IF(W122=1,VALUE(LEFT('Base Encuesta'!AI96,1)),""))</f>
        <v/>
      </c>
      <c r="AB122" t="str">
        <f>IF(OR('Base Encuesta'!AJ96="",IFERROR(VALUE(LEFT('Base Encuesta'!K96,1)),"")&gt;=3),"",IF(W122=1,VALUE(LEFT('Base Encuesta'!AJ96,1)),""))</f>
        <v/>
      </c>
      <c r="AC122" t="str">
        <f>IF(OR('Base Encuesta'!AL96="",IFERROR(VALUE(LEFT('Base Encuesta'!K96,1)),"")&gt;=3),"",VALUE(LEFT('Base Encuesta'!AL96,1)))</f>
        <v/>
      </c>
      <c r="AD122" t="str">
        <f>IF(OR('Base Encuesta'!AM96="",IFERROR(VALUE(LEFT('Base Encuesta'!K96,1)),"")&gt;=3),"",VALUE(LEFT('Base Encuesta'!AM96,1)))</f>
        <v/>
      </c>
      <c r="AE122" t="str">
        <f>IF(OR('Base Encuesta'!AN96="",IFERROR(VALUE(LEFT('Base Encuesta'!K96,1)),"")&gt;=3),"",VALUE(LEFT('Base Encuesta'!AN96,1)))</f>
        <v/>
      </c>
      <c r="AF122" t="str">
        <f>IF(OR('Base Encuesta'!AO96="",IFERROR(VALUE(LEFT('Base Encuesta'!K96,1)),"")&gt;=3),"",VALUE(LEFT('Base Encuesta'!AO96,1)))</f>
        <v/>
      </c>
      <c r="AG122" t="str">
        <f>IF(OR('Base Encuesta'!AQ96="",IFERROR(VALUE(LEFT('Base Encuesta'!K96,1)),"")&gt;=3),"",VALUE(LEFT('Base Encuesta'!AQ96,1)))</f>
        <v/>
      </c>
      <c r="AH122" t="str">
        <f>IF(OR('Base Encuesta'!AR96="",IFERROR(VALUE(LEFT('Base Encuesta'!K96,1)),"")&gt;=3),"",VALUE(LEFT('Base Encuesta'!AR96,1)))</f>
        <v/>
      </c>
    </row>
    <row r="123" spans="1:34">
      <c r="A123" t="str">
        <f>IF('Base Encuesta'!C97="","",'Base Encuesta'!C97)</f>
        <v/>
      </c>
      <c r="B123" t="str">
        <f>IF('Base Encuesta'!D97="","",'Base Encuesta'!D97)</f>
        <v/>
      </c>
      <c r="C123" t="str">
        <f>IF('Base Encuesta'!E97="","",'Base Encuesta'!E97)</f>
        <v/>
      </c>
      <c r="D123" t="str">
        <f>IF('Base Encuesta'!F97="","",'Base Encuesta'!F97)</f>
        <v/>
      </c>
      <c r="E123" t="str">
        <f>IF('Base Encuesta'!G97="","",'Base Encuesta'!G97)</f>
        <v/>
      </c>
      <c r="F123" t="str">
        <f>IF('Base Encuesta'!H97="","",'Base Encuesta'!H97)</f>
        <v/>
      </c>
      <c r="G123" t="str">
        <f>IF('Base Encuesta'!I97="","",'Base Encuesta'!I97)</f>
        <v/>
      </c>
      <c r="H123" t="str">
        <f>IF('Base Encuesta'!J97="","",'Base Encuesta'!J97)</f>
        <v/>
      </c>
      <c r="I123" t="str">
        <f>IF('Base Encuesta'!K97="","",'Base Encuesta'!K97)</f>
        <v/>
      </c>
      <c r="J123" t="str">
        <f>IF(OR('Base Encuesta'!P97="",IFERROR(VALUE(LEFT('Base Encuesta'!K97,1)),"")&gt;=3),"",PROPER(TRIM('Base Encuesta'!P97)))</f>
        <v/>
      </c>
      <c r="K123" t="str">
        <f>IF(OR('Base Encuesta'!Q97="",IFERROR(VALUE(LEFT('Base Encuesta'!K97,1)),"")&gt;=3),"",'Base Encuesta'!Q97)</f>
        <v/>
      </c>
      <c r="L123" t="str">
        <f>IF(OR('Base Encuesta'!R97="",IFERROR(VALUE(LEFT('Base Encuesta'!K97,1)),"")&gt;=3),"",VALUE(LEFT('Base Encuesta'!R97,1)))</f>
        <v/>
      </c>
      <c r="M123" t="str">
        <f>IF(OR('Base Encuesta'!S97="",IFERROR(VALUE(LEFT('Base Encuesta'!K97,1)),"")&gt;=3),"",VALUE(LEFT('Base Encuesta'!S97,1)))</f>
        <v/>
      </c>
      <c r="N123" t="str">
        <f>IF(OR('Base Encuesta'!T97="",IFERROR(VALUE(LEFT('Base Encuesta'!K97,1)),"")&gt;=3),"",VALUE(LEFT('Base Encuesta'!T97,1)))</f>
        <v/>
      </c>
      <c r="O123" t="str">
        <f>IF(OR('Base Encuesta'!V97="",IFERROR(VALUE(LEFT('Base Encuesta'!K97,1)),"")&gt;=3),"",VALUE(LEFT('Base Encuesta'!V97,1)))</f>
        <v/>
      </c>
      <c r="P123" t="str">
        <f>IF(OR('Base Encuesta'!W97="",IFERROR(VALUE(LEFT('Base Encuesta'!K97,1)),"")&gt;=3),"",VALUE(LEFT('Base Encuesta'!W97,1)))</f>
        <v/>
      </c>
      <c r="Q123" t="str">
        <f>IF(OR('Base Encuesta'!X97="",IFERROR(VALUE(LEFT('Base Encuesta'!K97,1)),"")&gt;=3),"",VALUE(LEFT('Base Encuesta'!X97,1)))</f>
        <v/>
      </c>
      <c r="R123" t="str">
        <f>IF(OR('Base Encuesta'!Y97="",IFERROR(VALUE(LEFT('Base Encuesta'!K97,1)),"")&gt;=3),"",VALUE(LEFT('Base Encuesta'!Y97,1)))</f>
        <v/>
      </c>
      <c r="S123" t="str">
        <f>IF(OR('Base Encuesta'!Z97="",IFERROR(VALUE(LEFT('Base Encuesta'!K97,1)),"")&gt;=3),"",VALUE(LEFT('Base Encuesta'!Z97,1)))</f>
        <v/>
      </c>
      <c r="T123" t="str">
        <f>IF(OR('Base Encuesta'!AA97="",IFERROR(VALUE(LEFT('Base Encuesta'!K97,1)),"")&gt;=3),"",VALUE(LEFT('Base Encuesta'!AA97,1)))</f>
        <v/>
      </c>
      <c r="U123" t="str">
        <f>IF(OR('Base Encuesta'!AB97="",IFERROR(VALUE(LEFT('Base Encuesta'!K97,1)),"")&gt;=3),"",VALUE(LEFT('Base Encuesta'!AB97,1)))</f>
        <v/>
      </c>
      <c r="V123" t="str">
        <f>IF(OR('Base Encuesta'!AC97="",IFERROR(VALUE(LEFT('Base Encuesta'!K97,1)),"")&gt;=3),"",VALUE(LEFT('Base Encuesta'!AC97,1)))</f>
        <v/>
      </c>
      <c r="W123" t="str">
        <f>IF(OR('Base Encuesta'!AE97="",IFERROR(VALUE(LEFT('Base Encuesta'!K97,1)),"")&gt;=3),"",VALUE(LEFT('Base Encuesta'!AE97,1)))</f>
        <v/>
      </c>
      <c r="X123" t="str">
        <f>IF(OR('Base Encuesta'!AF97="",IFERROR(VALUE(LEFT('Base Encuesta'!K97,1)),"")&gt;=3),"",IF(W123=1,VALUE(LEFT('Base Encuesta'!AF97,1)),""))</f>
        <v/>
      </c>
      <c r="Y123" t="str">
        <f>IF(OR('Base Encuesta'!AG97="",IFERROR(VALUE(LEFT('Base Encuesta'!K97,1)),"")&gt;=3),"",IF(W123=1,VALUE(LEFT('Base Encuesta'!AG97,1)),""))</f>
        <v/>
      </c>
      <c r="Z123" t="str">
        <f>IF(OR('Base Encuesta'!AH97="",IFERROR(VALUE(LEFT('Base Encuesta'!K97,1)),"")&gt;=3),"",IF(W123=1,VALUE(LEFT('Base Encuesta'!AH97,1)),""))</f>
        <v/>
      </c>
      <c r="AA123" t="str">
        <f>IF(OR('Base Encuesta'!AI97="",IFERROR(VALUE(LEFT('Base Encuesta'!K97,1)),"")&gt;=3),"",IF(W123=1,VALUE(LEFT('Base Encuesta'!AI97,1)),""))</f>
        <v/>
      </c>
      <c r="AB123" t="str">
        <f>IF(OR('Base Encuesta'!AJ97="",IFERROR(VALUE(LEFT('Base Encuesta'!K97,1)),"")&gt;=3),"",IF(W123=1,VALUE(LEFT('Base Encuesta'!AJ97,1)),""))</f>
        <v/>
      </c>
      <c r="AC123" t="str">
        <f>IF(OR('Base Encuesta'!AL97="",IFERROR(VALUE(LEFT('Base Encuesta'!K97,1)),"")&gt;=3),"",VALUE(LEFT('Base Encuesta'!AL97,1)))</f>
        <v/>
      </c>
      <c r="AD123" t="str">
        <f>IF(OR('Base Encuesta'!AM97="",IFERROR(VALUE(LEFT('Base Encuesta'!K97,1)),"")&gt;=3),"",VALUE(LEFT('Base Encuesta'!AM97,1)))</f>
        <v/>
      </c>
      <c r="AE123" t="str">
        <f>IF(OR('Base Encuesta'!AN97="",IFERROR(VALUE(LEFT('Base Encuesta'!K97,1)),"")&gt;=3),"",VALUE(LEFT('Base Encuesta'!AN97,1)))</f>
        <v/>
      </c>
      <c r="AF123" t="str">
        <f>IF(OR('Base Encuesta'!AO97="",IFERROR(VALUE(LEFT('Base Encuesta'!K97,1)),"")&gt;=3),"",VALUE(LEFT('Base Encuesta'!AO97,1)))</f>
        <v/>
      </c>
      <c r="AG123" t="str">
        <f>IF(OR('Base Encuesta'!AQ97="",IFERROR(VALUE(LEFT('Base Encuesta'!K97,1)),"")&gt;=3),"",VALUE(LEFT('Base Encuesta'!AQ97,1)))</f>
        <v/>
      </c>
      <c r="AH123" t="str">
        <f>IF(OR('Base Encuesta'!AR97="",IFERROR(VALUE(LEFT('Base Encuesta'!K97,1)),"")&gt;=3),"",VALUE(LEFT('Base Encuesta'!AR97,1)))</f>
        <v/>
      </c>
    </row>
    <row r="124" spans="1:34">
      <c r="A124" t="str">
        <f>IF('Base Encuesta'!C98="","",'Base Encuesta'!C98)</f>
        <v/>
      </c>
      <c r="B124" t="str">
        <f>IF('Base Encuesta'!D98="","",'Base Encuesta'!D98)</f>
        <v/>
      </c>
      <c r="C124" t="str">
        <f>IF('Base Encuesta'!E98="","",'Base Encuesta'!E98)</f>
        <v/>
      </c>
      <c r="D124" t="str">
        <f>IF('Base Encuesta'!F98="","",'Base Encuesta'!F98)</f>
        <v/>
      </c>
      <c r="E124" t="str">
        <f>IF('Base Encuesta'!G98="","",'Base Encuesta'!G98)</f>
        <v/>
      </c>
      <c r="F124" t="str">
        <f>IF('Base Encuesta'!H98="","",'Base Encuesta'!H98)</f>
        <v/>
      </c>
      <c r="G124" t="str">
        <f>IF('Base Encuesta'!I98="","",'Base Encuesta'!I98)</f>
        <v/>
      </c>
      <c r="H124" t="str">
        <f>IF('Base Encuesta'!J98="","",'Base Encuesta'!J98)</f>
        <v/>
      </c>
      <c r="I124" t="str">
        <f>IF('Base Encuesta'!K98="","",'Base Encuesta'!K98)</f>
        <v/>
      </c>
      <c r="J124" t="str">
        <f>IF(OR('Base Encuesta'!P98="",IFERROR(VALUE(LEFT('Base Encuesta'!K98,1)),"")&gt;=3),"",PROPER(TRIM('Base Encuesta'!P98)))</f>
        <v/>
      </c>
      <c r="K124" t="str">
        <f>IF(OR('Base Encuesta'!Q98="",IFERROR(VALUE(LEFT('Base Encuesta'!K98,1)),"")&gt;=3),"",'Base Encuesta'!Q98)</f>
        <v/>
      </c>
      <c r="L124" t="str">
        <f>IF(OR('Base Encuesta'!R98="",IFERROR(VALUE(LEFT('Base Encuesta'!K98,1)),"")&gt;=3),"",VALUE(LEFT('Base Encuesta'!R98,1)))</f>
        <v/>
      </c>
      <c r="M124" t="str">
        <f>IF(OR('Base Encuesta'!S98="",IFERROR(VALUE(LEFT('Base Encuesta'!K98,1)),"")&gt;=3),"",VALUE(LEFT('Base Encuesta'!S98,1)))</f>
        <v/>
      </c>
      <c r="N124" t="str">
        <f>IF(OR('Base Encuesta'!T98="",IFERROR(VALUE(LEFT('Base Encuesta'!K98,1)),"")&gt;=3),"",VALUE(LEFT('Base Encuesta'!T98,1)))</f>
        <v/>
      </c>
      <c r="O124" t="str">
        <f>IF(OR('Base Encuesta'!V98="",IFERROR(VALUE(LEFT('Base Encuesta'!K98,1)),"")&gt;=3),"",VALUE(LEFT('Base Encuesta'!V98,1)))</f>
        <v/>
      </c>
      <c r="P124" t="str">
        <f>IF(OR('Base Encuesta'!W98="",IFERROR(VALUE(LEFT('Base Encuesta'!K98,1)),"")&gt;=3),"",VALUE(LEFT('Base Encuesta'!W98,1)))</f>
        <v/>
      </c>
      <c r="Q124" t="str">
        <f>IF(OR('Base Encuesta'!X98="",IFERROR(VALUE(LEFT('Base Encuesta'!K98,1)),"")&gt;=3),"",VALUE(LEFT('Base Encuesta'!X98,1)))</f>
        <v/>
      </c>
      <c r="R124" t="str">
        <f>IF(OR('Base Encuesta'!Y98="",IFERROR(VALUE(LEFT('Base Encuesta'!K98,1)),"")&gt;=3),"",VALUE(LEFT('Base Encuesta'!Y98,1)))</f>
        <v/>
      </c>
      <c r="S124" t="str">
        <f>IF(OR('Base Encuesta'!Z98="",IFERROR(VALUE(LEFT('Base Encuesta'!K98,1)),"")&gt;=3),"",VALUE(LEFT('Base Encuesta'!Z98,1)))</f>
        <v/>
      </c>
      <c r="T124" t="str">
        <f>IF(OR('Base Encuesta'!AA98="",IFERROR(VALUE(LEFT('Base Encuesta'!K98,1)),"")&gt;=3),"",VALUE(LEFT('Base Encuesta'!AA98,1)))</f>
        <v/>
      </c>
      <c r="U124" t="str">
        <f>IF(OR('Base Encuesta'!AB98="",IFERROR(VALUE(LEFT('Base Encuesta'!K98,1)),"")&gt;=3),"",VALUE(LEFT('Base Encuesta'!AB98,1)))</f>
        <v/>
      </c>
      <c r="V124" t="str">
        <f>IF(OR('Base Encuesta'!AC98="",IFERROR(VALUE(LEFT('Base Encuesta'!K98,1)),"")&gt;=3),"",VALUE(LEFT('Base Encuesta'!AC98,1)))</f>
        <v/>
      </c>
      <c r="W124" t="str">
        <f>IF(OR('Base Encuesta'!AE98="",IFERROR(VALUE(LEFT('Base Encuesta'!K98,1)),"")&gt;=3),"",VALUE(LEFT('Base Encuesta'!AE98,1)))</f>
        <v/>
      </c>
      <c r="X124" t="str">
        <f>IF(OR('Base Encuesta'!AF98="",IFERROR(VALUE(LEFT('Base Encuesta'!K98,1)),"")&gt;=3),"",IF(W124=1,VALUE(LEFT('Base Encuesta'!AF98,1)),""))</f>
        <v/>
      </c>
      <c r="Y124" t="str">
        <f>IF(OR('Base Encuesta'!AG98="",IFERROR(VALUE(LEFT('Base Encuesta'!K98,1)),"")&gt;=3),"",IF(W124=1,VALUE(LEFT('Base Encuesta'!AG98,1)),""))</f>
        <v/>
      </c>
      <c r="Z124" t="str">
        <f>IF(OR('Base Encuesta'!AH98="",IFERROR(VALUE(LEFT('Base Encuesta'!K98,1)),"")&gt;=3),"",IF(W124=1,VALUE(LEFT('Base Encuesta'!AH98,1)),""))</f>
        <v/>
      </c>
      <c r="AA124" t="str">
        <f>IF(OR('Base Encuesta'!AI98="",IFERROR(VALUE(LEFT('Base Encuesta'!K98,1)),"")&gt;=3),"",IF(W124=1,VALUE(LEFT('Base Encuesta'!AI98,1)),""))</f>
        <v/>
      </c>
      <c r="AB124" t="str">
        <f>IF(OR('Base Encuesta'!AJ98="",IFERROR(VALUE(LEFT('Base Encuesta'!K98,1)),"")&gt;=3),"",IF(W124=1,VALUE(LEFT('Base Encuesta'!AJ98,1)),""))</f>
        <v/>
      </c>
      <c r="AC124" t="str">
        <f>IF(OR('Base Encuesta'!AL98="",IFERROR(VALUE(LEFT('Base Encuesta'!K98,1)),"")&gt;=3),"",VALUE(LEFT('Base Encuesta'!AL98,1)))</f>
        <v/>
      </c>
      <c r="AD124" t="str">
        <f>IF(OR('Base Encuesta'!AM98="",IFERROR(VALUE(LEFT('Base Encuesta'!K98,1)),"")&gt;=3),"",VALUE(LEFT('Base Encuesta'!AM98,1)))</f>
        <v/>
      </c>
      <c r="AE124" t="str">
        <f>IF(OR('Base Encuesta'!AN98="",IFERROR(VALUE(LEFT('Base Encuesta'!K98,1)),"")&gt;=3),"",VALUE(LEFT('Base Encuesta'!AN98,1)))</f>
        <v/>
      </c>
      <c r="AF124" t="str">
        <f>IF(OR('Base Encuesta'!AO98="",IFERROR(VALUE(LEFT('Base Encuesta'!K98,1)),"")&gt;=3),"",VALUE(LEFT('Base Encuesta'!AO98,1)))</f>
        <v/>
      </c>
      <c r="AG124" t="str">
        <f>IF(OR('Base Encuesta'!AQ98="",IFERROR(VALUE(LEFT('Base Encuesta'!K98,1)),"")&gt;=3),"",VALUE(LEFT('Base Encuesta'!AQ98,1)))</f>
        <v/>
      </c>
      <c r="AH124" t="str">
        <f>IF(OR('Base Encuesta'!AR98="",IFERROR(VALUE(LEFT('Base Encuesta'!K98,1)),"")&gt;=3),"",VALUE(LEFT('Base Encuesta'!AR98,1)))</f>
        <v/>
      </c>
    </row>
    <row r="125" spans="1:34">
      <c r="A125" t="str">
        <f>IF('Base Encuesta'!C99="","",'Base Encuesta'!C99)</f>
        <v/>
      </c>
      <c r="B125" t="str">
        <f>IF('Base Encuesta'!D99="","",'Base Encuesta'!D99)</f>
        <v/>
      </c>
      <c r="C125" t="str">
        <f>IF('Base Encuesta'!E99="","",'Base Encuesta'!E99)</f>
        <v/>
      </c>
      <c r="D125" t="str">
        <f>IF('Base Encuesta'!F99="","",'Base Encuesta'!F99)</f>
        <v/>
      </c>
      <c r="E125" t="str">
        <f>IF('Base Encuesta'!G99="","",'Base Encuesta'!G99)</f>
        <v/>
      </c>
      <c r="F125" t="str">
        <f>IF('Base Encuesta'!H99="","",'Base Encuesta'!H99)</f>
        <v/>
      </c>
      <c r="G125" t="str">
        <f>IF('Base Encuesta'!I99="","",'Base Encuesta'!I99)</f>
        <v/>
      </c>
      <c r="H125" t="str">
        <f>IF('Base Encuesta'!J99="","",'Base Encuesta'!J99)</f>
        <v/>
      </c>
      <c r="I125" t="str">
        <f>IF('Base Encuesta'!K99="","",'Base Encuesta'!K99)</f>
        <v/>
      </c>
      <c r="J125" t="str">
        <f>IF(OR('Base Encuesta'!P99="",IFERROR(VALUE(LEFT('Base Encuesta'!K99,1)),"")&gt;=3),"",PROPER(TRIM('Base Encuesta'!P99)))</f>
        <v/>
      </c>
      <c r="K125" t="str">
        <f>IF(OR('Base Encuesta'!Q99="",IFERROR(VALUE(LEFT('Base Encuesta'!K99,1)),"")&gt;=3),"",'Base Encuesta'!Q99)</f>
        <v/>
      </c>
      <c r="L125" t="str">
        <f>IF(OR('Base Encuesta'!R99="",IFERROR(VALUE(LEFT('Base Encuesta'!K99,1)),"")&gt;=3),"",VALUE(LEFT('Base Encuesta'!R99,1)))</f>
        <v/>
      </c>
      <c r="M125" t="str">
        <f>IF(OR('Base Encuesta'!S99="",IFERROR(VALUE(LEFT('Base Encuesta'!K99,1)),"")&gt;=3),"",VALUE(LEFT('Base Encuesta'!S99,1)))</f>
        <v/>
      </c>
      <c r="N125" t="str">
        <f>IF(OR('Base Encuesta'!T99="",IFERROR(VALUE(LEFT('Base Encuesta'!K99,1)),"")&gt;=3),"",VALUE(LEFT('Base Encuesta'!T99,1)))</f>
        <v/>
      </c>
      <c r="O125" t="str">
        <f>IF(OR('Base Encuesta'!V99="",IFERROR(VALUE(LEFT('Base Encuesta'!K99,1)),"")&gt;=3),"",VALUE(LEFT('Base Encuesta'!V99,1)))</f>
        <v/>
      </c>
      <c r="P125" t="str">
        <f>IF(OR('Base Encuesta'!W99="",IFERROR(VALUE(LEFT('Base Encuesta'!K99,1)),"")&gt;=3),"",VALUE(LEFT('Base Encuesta'!W99,1)))</f>
        <v/>
      </c>
      <c r="Q125" t="str">
        <f>IF(OR('Base Encuesta'!X99="",IFERROR(VALUE(LEFT('Base Encuesta'!K99,1)),"")&gt;=3),"",VALUE(LEFT('Base Encuesta'!X99,1)))</f>
        <v/>
      </c>
      <c r="R125" t="str">
        <f>IF(OR('Base Encuesta'!Y99="",IFERROR(VALUE(LEFT('Base Encuesta'!K99,1)),"")&gt;=3),"",VALUE(LEFT('Base Encuesta'!Y99,1)))</f>
        <v/>
      </c>
      <c r="S125" t="str">
        <f>IF(OR('Base Encuesta'!Z99="",IFERROR(VALUE(LEFT('Base Encuesta'!K99,1)),"")&gt;=3),"",VALUE(LEFT('Base Encuesta'!Z99,1)))</f>
        <v/>
      </c>
      <c r="T125" t="str">
        <f>IF(OR('Base Encuesta'!AA99="",IFERROR(VALUE(LEFT('Base Encuesta'!K99,1)),"")&gt;=3),"",VALUE(LEFT('Base Encuesta'!AA99,1)))</f>
        <v/>
      </c>
      <c r="U125" t="str">
        <f>IF(OR('Base Encuesta'!AB99="",IFERROR(VALUE(LEFT('Base Encuesta'!K99,1)),"")&gt;=3),"",VALUE(LEFT('Base Encuesta'!AB99,1)))</f>
        <v/>
      </c>
      <c r="V125" t="str">
        <f>IF(OR('Base Encuesta'!AC99="",IFERROR(VALUE(LEFT('Base Encuesta'!K99,1)),"")&gt;=3),"",VALUE(LEFT('Base Encuesta'!AC99,1)))</f>
        <v/>
      </c>
      <c r="W125" t="str">
        <f>IF(OR('Base Encuesta'!AE99="",IFERROR(VALUE(LEFT('Base Encuesta'!K99,1)),"")&gt;=3),"",VALUE(LEFT('Base Encuesta'!AE99,1)))</f>
        <v/>
      </c>
      <c r="X125" t="str">
        <f>IF(OR('Base Encuesta'!AF99="",IFERROR(VALUE(LEFT('Base Encuesta'!K99,1)),"")&gt;=3),"",IF(W125=1,VALUE(LEFT('Base Encuesta'!AF99,1)),""))</f>
        <v/>
      </c>
      <c r="Y125" t="str">
        <f>IF(OR('Base Encuesta'!AG99="",IFERROR(VALUE(LEFT('Base Encuesta'!K99,1)),"")&gt;=3),"",IF(W125=1,VALUE(LEFT('Base Encuesta'!AG99,1)),""))</f>
        <v/>
      </c>
      <c r="Z125" t="str">
        <f>IF(OR('Base Encuesta'!AH99="",IFERROR(VALUE(LEFT('Base Encuesta'!K99,1)),"")&gt;=3),"",IF(W125=1,VALUE(LEFT('Base Encuesta'!AH99,1)),""))</f>
        <v/>
      </c>
      <c r="AA125" t="str">
        <f>IF(OR('Base Encuesta'!AI99="",IFERROR(VALUE(LEFT('Base Encuesta'!K99,1)),"")&gt;=3),"",IF(W125=1,VALUE(LEFT('Base Encuesta'!AI99,1)),""))</f>
        <v/>
      </c>
      <c r="AB125" t="str">
        <f>IF(OR('Base Encuesta'!AJ99="",IFERROR(VALUE(LEFT('Base Encuesta'!K99,1)),"")&gt;=3),"",IF(W125=1,VALUE(LEFT('Base Encuesta'!AJ99,1)),""))</f>
        <v/>
      </c>
      <c r="AC125" t="str">
        <f>IF(OR('Base Encuesta'!AL99="",IFERROR(VALUE(LEFT('Base Encuesta'!K99,1)),"")&gt;=3),"",VALUE(LEFT('Base Encuesta'!AL99,1)))</f>
        <v/>
      </c>
      <c r="AD125" t="str">
        <f>IF(OR('Base Encuesta'!AM99="",IFERROR(VALUE(LEFT('Base Encuesta'!K99,1)),"")&gt;=3),"",VALUE(LEFT('Base Encuesta'!AM99,1)))</f>
        <v/>
      </c>
      <c r="AE125" t="str">
        <f>IF(OR('Base Encuesta'!AN99="",IFERROR(VALUE(LEFT('Base Encuesta'!K99,1)),"")&gt;=3),"",VALUE(LEFT('Base Encuesta'!AN99,1)))</f>
        <v/>
      </c>
      <c r="AF125" t="str">
        <f>IF(OR('Base Encuesta'!AO99="",IFERROR(VALUE(LEFT('Base Encuesta'!K99,1)),"")&gt;=3),"",VALUE(LEFT('Base Encuesta'!AO99,1)))</f>
        <v/>
      </c>
      <c r="AG125" t="str">
        <f>IF(OR('Base Encuesta'!AQ99="",IFERROR(VALUE(LEFT('Base Encuesta'!K99,1)),"")&gt;=3),"",VALUE(LEFT('Base Encuesta'!AQ99,1)))</f>
        <v/>
      </c>
      <c r="AH125" t="str">
        <f>IF(OR('Base Encuesta'!AR99="",IFERROR(VALUE(LEFT('Base Encuesta'!K99,1)),"")&gt;=3),"",VALUE(LEFT('Base Encuesta'!AR99,1)))</f>
        <v/>
      </c>
    </row>
    <row r="126" spans="1:34">
      <c r="A126" t="str">
        <f>IF('Base Encuesta'!C100="","",'Base Encuesta'!C100)</f>
        <v/>
      </c>
      <c r="B126" t="str">
        <f>IF('Base Encuesta'!D100="","",'Base Encuesta'!D100)</f>
        <v/>
      </c>
      <c r="C126" t="str">
        <f>IF('Base Encuesta'!E100="","",'Base Encuesta'!E100)</f>
        <v/>
      </c>
      <c r="D126" t="str">
        <f>IF('Base Encuesta'!F100="","",'Base Encuesta'!F100)</f>
        <v/>
      </c>
      <c r="E126" t="str">
        <f>IF('Base Encuesta'!G100="","",'Base Encuesta'!G100)</f>
        <v/>
      </c>
      <c r="F126" t="str">
        <f>IF('Base Encuesta'!H100="","",'Base Encuesta'!H100)</f>
        <v/>
      </c>
      <c r="G126" t="str">
        <f>IF('Base Encuesta'!I100="","",'Base Encuesta'!I100)</f>
        <v/>
      </c>
      <c r="H126" t="str">
        <f>IF('Base Encuesta'!J100="","",'Base Encuesta'!J100)</f>
        <v/>
      </c>
      <c r="I126" t="str">
        <f>IF('Base Encuesta'!K100="","",'Base Encuesta'!K100)</f>
        <v/>
      </c>
      <c r="J126" t="str">
        <f>IF(OR('Base Encuesta'!P100="",IFERROR(VALUE(LEFT('Base Encuesta'!K100,1)),"")&gt;=3),"",PROPER(TRIM('Base Encuesta'!P100)))</f>
        <v/>
      </c>
      <c r="K126" t="str">
        <f>IF(OR('Base Encuesta'!Q100="",IFERROR(VALUE(LEFT('Base Encuesta'!K100,1)),"")&gt;=3),"",'Base Encuesta'!Q100)</f>
        <v/>
      </c>
      <c r="L126" t="str">
        <f>IF(OR('Base Encuesta'!R100="",IFERROR(VALUE(LEFT('Base Encuesta'!K100,1)),"")&gt;=3),"",VALUE(LEFT('Base Encuesta'!R100,1)))</f>
        <v/>
      </c>
      <c r="M126" t="str">
        <f>IF(OR('Base Encuesta'!S100="",IFERROR(VALUE(LEFT('Base Encuesta'!K100,1)),"")&gt;=3),"",VALUE(LEFT('Base Encuesta'!S100,1)))</f>
        <v/>
      </c>
      <c r="N126" t="str">
        <f>IF(OR('Base Encuesta'!T100="",IFERROR(VALUE(LEFT('Base Encuesta'!K100,1)),"")&gt;=3),"",VALUE(LEFT('Base Encuesta'!T100,1)))</f>
        <v/>
      </c>
      <c r="O126" t="str">
        <f>IF(OR('Base Encuesta'!V100="",IFERROR(VALUE(LEFT('Base Encuesta'!K100,1)),"")&gt;=3),"",VALUE(LEFT('Base Encuesta'!V100,1)))</f>
        <v/>
      </c>
      <c r="P126" t="str">
        <f>IF(OR('Base Encuesta'!W100="",IFERROR(VALUE(LEFT('Base Encuesta'!K100,1)),"")&gt;=3),"",VALUE(LEFT('Base Encuesta'!W100,1)))</f>
        <v/>
      </c>
      <c r="Q126" t="str">
        <f>IF(OR('Base Encuesta'!X100="",IFERROR(VALUE(LEFT('Base Encuesta'!K100,1)),"")&gt;=3),"",VALUE(LEFT('Base Encuesta'!X100,1)))</f>
        <v/>
      </c>
      <c r="R126" t="str">
        <f>IF(OR('Base Encuesta'!Y100="",IFERROR(VALUE(LEFT('Base Encuesta'!K100,1)),"")&gt;=3),"",VALUE(LEFT('Base Encuesta'!Y100,1)))</f>
        <v/>
      </c>
      <c r="S126" t="str">
        <f>IF(OR('Base Encuesta'!Z100="",IFERROR(VALUE(LEFT('Base Encuesta'!K100,1)),"")&gt;=3),"",VALUE(LEFT('Base Encuesta'!Z100,1)))</f>
        <v/>
      </c>
      <c r="T126" t="str">
        <f>IF(OR('Base Encuesta'!AA100="",IFERROR(VALUE(LEFT('Base Encuesta'!K100,1)),"")&gt;=3),"",VALUE(LEFT('Base Encuesta'!AA100,1)))</f>
        <v/>
      </c>
      <c r="U126" t="str">
        <f>IF(OR('Base Encuesta'!AB100="",IFERROR(VALUE(LEFT('Base Encuesta'!K100,1)),"")&gt;=3),"",VALUE(LEFT('Base Encuesta'!AB100,1)))</f>
        <v/>
      </c>
      <c r="V126" t="str">
        <f>IF(OR('Base Encuesta'!AC100="",IFERROR(VALUE(LEFT('Base Encuesta'!K100,1)),"")&gt;=3),"",VALUE(LEFT('Base Encuesta'!AC100,1)))</f>
        <v/>
      </c>
      <c r="W126" t="str">
        <f>IF(OR('Base Encuesta'!AE100="",IFERROR(VALUE(LEFT('Base Encuesta'!K100,1)),"")&gt;=3),"",VALUE(LEFT('Base Encuesta'!AE100,1)))</f>
        <v/>
      </c>
      <c r="X126" t="str">
        <f>IF(OR('Base Encuesta'!AF100="",IFERROR(VALUE(LEFT('Base Encuesta'!K100,1)),"")&gt;=3),"",IF(W126=1,VALUE(LEFT('Base Encuesta'!AF100,1)),""))</f>
        <v/>
      </c>
      <c r="Y126" t="str">
        <f>IF(OR('Base Encuesta'!AG100="",IFERROR(VALUE(LEFT('Base Encuesta'!K100,1)),"")&gt;=3),"",IF(W126=1,VALUE(LEFT('Base Encuesta'!AG100,1)),""))</f>
        <v/>
      </c>
      <c r="Z126" t="str">
        <f>IF(OR('Base Encuesta'!AH100="",IFERROR(VALUE(LEFT('Base Encuesta'!K100,1)),"")&gt;=3),"",IF(W126=1,VALUE(LEFT('Base Encuesta'!AH100,1)),""))</f>
        <v/>
      </c>
      <c r="AA126" t="str">
        <f>IF(OR('Base Encuesta'!AI100="",IFERROR(VALUE(LEFT('Base Encuesta'!K100,1)),"")&gt;=3),"",IF(W126=1,VALUE(LEFT('Base Encuesta'!AI100,1)),""))</f>
        <v/>
      </c>
      <c r="AB126" t="str">
        <f>IF(OR('Base Encuesta'!AJ100="",IFERROR(VALUE(LEFT('Base Encuesta'!K100,1)),"")&gt;=3),"",IF(W126=1,VALUE(LEFT('Base Encuesta'!AJ100,1)),""))</f>
        <v/>
      </c>
      <c r="AC126" t="str">
        <f>IF(OR('Base Encuesta'!AL100="",IFERROR(VALUE(LEFT('Base Encuesta'!K100,1)),"")&gt;=3),"",VALUE(LEFT('Base Encuesta'!AL100,1)))</f>
        <v/>
      </c>
      <c r="AD126" t="str">
        <f>IF(OR('Base Encuesta'!AM100="",IFERROR(VALUE(LEFT('Base Encuesta'!K100,1)),"")&gt;=3),"",VALUE(LEFT('Base Encuesta'!AM100,1)))</f>
        <v/>
      </c>
      <c r="AE126" t="str">
        <f>IF(OR('Base Encuesta'!AN100="",IFERROR(VALUE(LEFT('Base Encuesta'!K100,1)),"")&gt;=3),"",VALUE(LEFT('Base Encuesta'!AN100,1)))</f>
        <v/>
      </c>
      <c r="AF126" t="str">
        <f>IF(OR('Base Encuesta'!AO100="",IFERROR(VALUE(LEFT('Base Encuesta'!K100,1)),"")&gt;=3),"",VALUE(LEFT('Base Encuesta'!AO100,1)))</f>
        <v/>
      </c>
      <c r="AG126" t="str">
        <f>IF(OR('Base Encuesta'!AQ100="",IFERROR(VALUE(LEFT('Base Encuesta'!K100,1)),"")&gt;=3),"",VALUE(LEFT('Base Encuesta'!AQ100,1)))</f>
        <v/>
      </c>
      <c r="AH126" t="str">
        <f>IF(OR('Base Encuesta'!AR100="",IFERROR(VALUE(LEFT('Base Encuesta'!K100,1)),"")&gt;=3),"",VALUE(LEFT('Base Encuesta'!AR100,1)))</f>
        <v/>
      </c>
    </row>
    <row r="127" spans="1:34">
      <c r="A127" t="str">
        <f>IF('Base Encuesta'!C101="","",'Base Encuesta'!C101)</f>
        <v/>
      </c>
      <c r="B127" t="str">
        <f>IF('Base Encuesta'!D101="","",'Base Encuesta'!D101)</f>
        <v/>
      </c>
      <c r="C127" t="str">
        <f>IF('Base Encuesta'!E101="","",'Base Encuesta'!E101)</f>
        <v/>
      </c>
      <c r="D127" t="str">
        <f>IF('Base Encuesta'!F101="","",'Base Encuesta'!F101)</f>
        <v/>
      </c>
      <c r="E127" t="str">
        <f>IF('Base Encuesta'!G101="","",'Base Encuesta'!G101)</f>
        <v/>
      </c>
      <c r="F127" t="str">
        <f>IF('Base Encuesta'!H101="","",'Base Encuesta'!H101)</f>
        <v/>
      </c>
      <c r="G127" t="str">
        <f>IF('Base Encuesta'!I101="","",'Base Encuesta'!I101)</f>
        <v/>
      </c>
      <c r="H127" t="str">
        <f>IF('Base Encuesta'!J101="","",'Base Encuesta'!J101)</f>
        <v/>
      </c>
      <c r="I127" t="str">
        <f>IF('Base Encuesta'!K101="","",'Base Encuesta'!K101)</f>
        <v/>
      </c>
      <c r="J127" t="str">
        <f>IF(OR('Base Encuesta'!P101="",IFERROR(VALUE(LEFT('Base Encuesta'!K101,1)),"")&gt;=3),"",PROPER(TRIM('Base Encuesta'!P101)))</f>
        <v/>
      </c>
      <c r="K127" t="str">
        <f>IF(OR('Base Encuesta'!Q101="",IFERROR(VALUE(LEFT('Base Encuesta'!K101,1)),"")&gt;=3),"",'Base Encuesta'!Q101)</f>
        <v/>
      </c>
      <c r="L127" t="str">
        <f>IF(OR('Base Encuesta'!R101="",IFERROR(VALUE(LEFT('Base Encuesta'!K101,1)),"")&gt;=3),"",VALUE(LEFT('Base Encuesta'!R101,1)))</f>
        <v/>
      </c>
      <c r="M127" t="str">
        <f>IF(OR('Base Encuesta'!S101="",IFERROR(VALUE(LEFT('Base Encuesta'!K101,1)),"")&gt;=3),"",VALUE(LEFT('Base Encuesta'!S101,1)))</f>
        <v/>
      </c>
      <c r="N127" t="str">
        <f>IF(OR('Base Encuesta'!T101="",IFERROR(VALUE(LEFT('Base Encuesta'!K101,1)),"")&gt;=3),"",VALUE(LEFT('Base Encuesta'!T101,1)))</f>
        <v/>
      </c>
      <c r="O127" t="str">
        <f>IF(OR('Base Encuesta'!V101="",IFERROR(VALUE(LEFT('Base Encuesta'!K101,1)),"")&gt;=3),"",VALUE(LEFT('Base Encuesta'!V101,1)))</f>
        <v/>
      </c>
      <c r="P127" t="str">
        <f>IF(OR('Base Encuesta'!W101="",IFERROR(VALUE(LEFT('Base Encuesta'!K101,1)),"")&gt;=3),"",VALUE(LEFT('Base Encuesta'!W101,1)))</f>
        <v/>
      </c>
      <c r="Q127" t="str">
        <f>IF(OR('Base Encuesta'!X101="",IFERROR(VALUE(LEFT('Base Encuesta'!K101,1)),"")&gt;=3),"",VALUE(LEFT('Base Encuesta'!X101,1)))</f>
        <v/>
      </c>
      <c r="R127" t="str">
        <f>IF(OR('Base Encuesta'!Y101="",IFERROR(VALUE(LEFT('Base Encuesta'!K101,1)),"")&gt;=3),"",VALUE(LEFT('Base Encuesta'!Y101,1)))</f>
        <v/>
      </c>
      <c r="S127" t="str">
        <f>IF(OR('Base Encuesta'!Z101="",IFERROR(VALUE(LEFT('Base Encuesta'!K101,1)),"")&gt;=3),"",VALUE(LEFT('Base Encuesta'!Z101,1)))</f>
        <v/>
      </c>
      <c r="T127" t="str">
        <f>IF(OR('Base Encuesta'!AA101="",IFERROR(VALUE(LEFT('Base Encuesta'!K101,1)),"")&gt;=3),"",VALUE(LEFT('Base Encuesta'!AA101,1)))</f>
        <v/>
      </c>
      <c r="U127" t="str">
        <f>IF(OR('Base Encuesta'!AB101="",IFERROR(VALUE(LEFT('Base Encuesta'!K101,1)),"")&gt;=3),"",VALUE(LEFT('Base Encuesta'!AB101,1)))</f>
        <v/>
      </c>
      <c r="V127" t="str">
        <f>IF(OR('Base Encuesta'!AC101="",IFERROR(VALUE(LEFT('Base Encuesta'!K101,1)),"")&gt;=3),"",VALUE(LEFT('Base Encuesta'!AC101,1)))</f>
        <v/>
      </c>
      <c r="W127" t="str">
        <f>IF(OR('Base Encuesta'!AE101="",IFERROR(VALUE(LEFT('Base Encuesta'!K101,1)),"")&gt;=3),"",VALUE(LEFT('Base Encuesta'!AE101,1)))</f>
        <v/>
      </c>
      <c r="X127" t="str">
        <f>IF(OR('Base Encuesta'!AF101="",IFERROR(VALUE(LEFT('Base Encuesta'!K101,1)),"")&gt;=3),"",IF(W127=1,VALUE(LEFT('Base Encuesta'!AF101,1)),""))</f>
        <v/>
      </c>
      <c r="Y127" t="str">
        <f>IF(OR('Base Encuesta'!AG101="",IFERROR(VALUE(LEFT('Base Encuesta'!K101,1)),"")&gt;=3),"",IF(W127=1,VALUE(LEFT('Base Encuesta'!AG101,1)),""))</f>
        <v/>
      </c>
      <c r="Z127" t="str">
        <f>IF(OR('Base Encuesta'!AH101="",IFERROR(VALUE(LEFT('Base Encuesta'!K101,1)),"")&gt;=3),"",IF(W127=1,VALUE(LEFT('Base Encuesta'!AH101,1)),""))</f>
        <v/>
      </c>
      <c r="AA127" t="str">
        <f>IF(OR('Base Encuesta'!AI101="",IFERROR(VALUE(LEFT('Base Encuesta'!K101,1)),"")&gt;=3),"",IF(W127=1,VALUE(LEFT('Base Encuesta'!AI101,1)),""))</f>
        <v/>
      </c>
      <c r="AB127" t="str">
        <f>IF(OR('Base Encuesta'!AJ101="",IFERROR(VALUE(LEFT('Base Encuesta'!K101,1)),"")&gt;=3),"",IF(W127=1,VALUE(LEFT('Base Encuesta'!AJ101,1)),""))</f>
        <v/>
      </c>
      <c r="AC127" t="str">
        <f>IF(OR('Base Encuesta'!AL101="",IFERROR(VALUE(LEFT('Base Encuesta'!K101,1)),"")&gt;=3),"",VALUE(LEFT('Base Encuesta'!AL101,1)))</f>
        <v/>
      </c>
      <c r="AD127" t="str">
        <f>IF(OR('Base Encuesta'!AM101="",IFERROR(VALUE(LEFT('Base Encuesta'!K101,1)),"")&gt;=3),"",VALUE(LEFT('Base Encuesta'!AM101,1)))</f>
        <v/>
      </c>
      <c r="AE127" t="str">
        <f>IF(OR('Base Encuesta'!AN101="",IFERROR(VALUE(LEFT('Base Encuesta'!K101,1)),"")&gt;=3),"",VALUE(LEFT('Base Encuesta'!AN101,1)))</f>
        <v/>
      </c>
      <c r="AF127" t="str">
        <f>IF(OR('Base Encuesta'!AO101="",IFERROR(VALUE(LEFT('Base Encuesta'!K101,1)),"")&gt;=3),"",VALUE(LEFT('Base Encuesta'!AO101,1)))</f>
        <v/>
      </c>
      <c r="AG127" t="str">
        <f>IF(OR('Base Encuesta'!AQ101="",IFERROR(VALUE(LEFT('Base Encuesta'!K101,1)),"")&gt;=3),"",VALUE(LEFT('Base Encuesta'!AQ101,1)))</f>
        <v/>
      </c>
      <c r="AH127" t="str">
        <f>IF(OR('Base Encuesta'!AR101="",IFERROR(VALUE(LEFT('Base Encuesta'!K101,1)),"")&gt;=3),"",VALUE(LEFT('Base Encuesta'!AR101,1)))</f>
        <v/>
      </c>
    </row>
    <row r="128" spans="1:34">
      <c r="A128" t="str">
        <f>IF('Base Encuesta'!C102="","",'Base Encuesta'!C102)</f>
        <v/>
      </c>
      <c r="B128" t="str">
        <f>IF('Base Encuesta'!D102="","",'Base Encuesta'!D102)</f>
        <v/>
      </c>
      <c r="C128" t="str">
        <f>IF('Base Encuesta'!E102="","",'Base Encuesta'!E102)</f>
        <v/>
      </c>
      <c r="D128" t="str">
        <f>IF('Base Encuesta'!F102="","",'Base Encuesta'!F102)</f>
        <v/>
      </c>
      <c r="E128" t="str">
        <f>IF('Base Encuesta'!G102="","",'Base Encuesta'!G102)</f>
        <v/>
      </c>
      <c r="F128" t="str">
        <f>IF('Base Encuesta'!H102="","",'Base Encuesta'!H102)</f>
        <v/>
      </c>
      <c r="G128" t="str">
        <f>IF('Base Encuesta'!I102="","",'Base Encuesta'!I102)</f>
        <v/>
      </c>
      <c r="H128" t="str">
        <f>IF('Base Encuesta'!J102="","",'Base Encuesta'!J102)</f>
        <v/>
      </c>
      <c r="I128" t="str">
        <f>IF('Base Encuesta'!K102="","",'Base Encuesta'!K102)</f>
        <v/>
      </c>
      <c r="J128" t="str">
        <f>IF(OR('Base Encuesta'!P102="",IFERROR(VALUE(LEFT('Base Encuesta'!K102,1)),"")&gt;=3),"",PROPER(TRIM('Base Encuesta'!P102)))</f>
        <v/>
      </c>
      <c r="K128" t="str">
        <f>IF(OR('Base Encuesta'!Q102="",IFERROR(VALUE(LEFT('Base Encuesta'!K102,1)),"")&gt;=3),"",'Base Encuesta'!Q102)</f>
        <v/>
      </c>
      <c r="L128" t="str">
        <f>IF(OR('Base Encuesta'!R102="",IFERROR(VALUE(LEFT('Base Encuesta'!K102,1)),"")&gt;=3),"",VALUE(LEFT('Base Encuesta'!R102,1)))</f>
        <v/>
      </c>
      <c r="M128" t="str">
        <f>IF(OR('Base Encuesta'!S102="",IFERROR(VALUE(LEFT('Base Encuesta'!K102,1)),"")&gt;=3),"",VALUE(LEFT('Base Encuesta'!S102,1)))</f>
        <v/>
      </c>
      <c r="N128" t="str">
        <f>IF(OR('Base Encuesta'!T102="",IFERROR(VALUE(LEFT('Base Encuesta'!K102,1)),"")&gt;=3),"",VALUE(LEFT('Base Encuesta'!T102,1)))</f>
        <v/>
      </c>
      <c r="O128" t="str">
        <f>IF(OR('Base Encuesta'!V102="",IFERROR(VALUE(LEFT('Base Encuesta'!K102,1)),"")&gt;=3),"",VALUE(LEFT('Base Encuesta'!V102,1)))</f>
        <v/>
      </c>
      <c r="P128" t="str">
        <f>IF(OR('Base Encuesta'!W102="",IFERROR(VALUE(LEFT('Base Encuesta'!K102,1)),"")&gt;=3),"",VALUE(LEFT('Base Encuesta'!W102,1)))</f>
        <v/>
      </c>
      <c r="Q128" t="str">
        <f>IF(OR('Base Encuesta'!X102="",IFERROR(VALUE(LEFT('Base Encuesta'!K102,1)),"")&gt;=3),"",VALUE(LEFT('Base Encuesta'!X102,1)))</f>
        <v/>
      </c>
      <c r="R128" t="str">
        <f>IF(OR('Base Encuesta'!Y102="",IFERROR(VALUE(LEFT('Base Encuesta'!K102,1)),"")&gt;=3),"",VALUE(LEFT('Base Encuesta'!Y102,1)))</f>
        <v/>
      </c>
      <c r="S128" t="str">
        <f>IF(OR('Base Encuesta'!Z102="",IFERROR(VALUE(LEFT('Base Encuesta'!K102,1)),"")&gt;=3),"",VALUE(LEFT('Base Encuesta'!Z102,1)))</f>
        <v/>
      </c>
      <c r="T128" t="str">
        <f>IF(OR('Base Encuesta'!AA102="",IFERROR(VALUE(LEFT('Base Encuesta'!K102,1)),"")&gt;=3),"",VALUE(LEFT('Base Encuesta'!AA102,1)))</f>
        <v/>
      </c>
      <c r="U128" t="str">
        <f>IF(OR('Base Encuesta'!AB102="",IFERROR(VALUE(LEFT('Base Encuesta'!K102,1)),"")&gt;=3),"",VALUE(LEFT('Base Encuesta'!AB102,1)))</f>
        <v/>
      </c>
      <c r="V128" t="str">
        <f>IF(OR('Base Encuesta'!AC102="",IFERROR(VALUE(LEFT('Base Encuesta'!K102,1)),"")&gt;=3),"",VALUE(LEFT('Base Encuesta'!AC102,1)))</f>
        <v/>
      </c>
      <c r="W128" t="str">
        <f>IF(OR('Base Encuesta'!AE102="",IFERROR(VALUE(LEFT('Base Encuesta'!K102,1)),"")&gt;=3),"",VALUE(LEFT('Base Encuesta'!AE102,1)))</f>
        <v/>
      </c>
      <c r="X128" t="str">
        <f>IF(OR('Base Encuesta'!AF102="",IFERROR(VALUE(LEFT('Base Encuesta'!K102,1)),"")&gt;=3),"",IF(W128=1,VALUE(LEFT('Base Encuesta'!AF102,1)),""))</f>
        <v/>
      </c>
      <c r="Y128" t="str">
        <f>IF(OR('Base Encuesta'!AG102="",IFERROR(VALUE(LEFT('Base Encuesta'!K102,1)),"")&gt;=3),"",IF(W128=1,VALUE(LEFT('Base Encuesta'!AG102,1)),""))</f>
        <v/>
      </c>
      <c r="Z128" t="str">
        <f>IF(OR('Base Encuesta'!AH102="",IFERROR(VALUE(LEFT('Base Encuesta'!K102,1)),"")&gt;=3),"",IF(W128=1,VALUE(LEFT('Base Encuesta'!AH102,1)),""))</f>
        <v/>
      </c>
      <c r="AA128" t="str">
        <f>IF(OR('Base Encuesta'!AI102="",IFERROR(VALUE(LEFT('Base Encuesta'!K102,1)),"")&gt;=3),"",IF(W128=1,VALUE(LEFT('Base Encuesta'!AI102,1)),""))</f>
        <v/>
      </c>
      <c r="AB128" t="str">
        <f>IF(OR('Base Encuesta'!AJ102="",IFERROR(VALUE(LEFT('Base Encuesta'!K102,1)),"")&gt;=3),"",IF(W128=1,VALUE(LEFT('Base Encuesta'!AJ102,1)),""))</f>
        <v/>
      </c>
      <c r="AC128" t="str">
        <f>IF(OR('Base Encuesta'!AL102="",IFERROR(VALUE(LEFT('Base Encuesta'!K102,1)),"")&gt;=3),"",VALUE(LEFT('Base Encuesta'!AL102,1)))</f>
        <v/>
      </c>
      <c r="AD128" t="str">
        <f>IF(OR('Base Encuesta'!AM102="",IFERROR(VALUE(LEFT('Base Encuesta'!K102,1)),"")&gt;=3),"",VALUE(LEFT('Base Encuesta'!AM102,1)))</f>
        <v/>
      </c>
      <c r="AE128" t="str">
        <f>IF(OR('Base Encuesta'!AN102="",IFERROR(VALUE(LEFT('Base Encuesta'!K102,1)),"")&gt;=3),"",VALUE(LEFT('Base Encuesta'!AN102,1)))</f>
        <v/>
      </c>
      <c r="AF128" t="str">
        <f>IF(OR('Base Encuesta'!AO102="",IFERROR(VALUE(LEFT('Base Encuesta'!K102,1)),"")&gt;=3),"",VALUE(LEFT('Base Encuesta'!AO102,1)))</f>
        <v/>
      </c>
      <c r="AG128" t="str">
        <f>IF(OR('Base Encuesta'!AQ102="",IFERROR(VALUE(LEFT('Base Encuesta'!K102,1)),"")&gt;=3),"",VALUE(LEFT('Base Encuesta'!AQ102,1)))</f>
        <v/>
      </c>
      <c r="AH128" t="str">
        <f>IF(OR('Base Encuesta'!AR102="",IFERROR(VALUE(LEFT('Base Encuesta'!K102,1)),"")&gt;=3),"",VALUE(LEFT('Base Encuesta'!AR102,1)))</f>
        <v/>
      </c>
    </row>
    <row r="129" spans="1:34">
      <c r="A129" t="str">
        <f>IF('Base Encuesta'!C103="","",'Base Encuesta'!C103)</f>
        <v/>
      </c>
      <c r="B129" t="str">
        <f>IF('Base Encuesta'!D103="","",'Base Encuesta'!D103)</f>
        <v/>
      </c>
      <c r="C129" t="str">
        <f>IF('Base Encuesta'!E103="","",'Base Encuesta'!E103)</f>
        <v/>
      </c>
      <c r="D129" t="str">
        <f>IF('Base Encuesta'!F103="","",'Base Encuesta'!F103)</f>
        <v/>
      </c>
      <c r="E129" t="str">
        <f>IF('Base Encuesta'!G103="","",'Base Encuesta'!G103)</f>
        <v/>
      </c>
      <c r="F129" t="str">
        <f>IF('Base Encuesta'!H103="","",'Base Encuesta'!H103)</f>
        <v/>
      </c>
      <c r="G129" t="str">
        <f>IF('Base Encuesta'!I103="","",'Base Encuesta'!I103)</f>
        <v/>
      </c>
      <c r="H129" t="str">
        <f>IF('Base Encuesta'!J103="","",'Base Encuesta'!J103)</f>
        <v/>
      </c>
      <c r="I129" t="str">
        <f>IF('Base Encuesta'!K103="","",'Base Encuesta'!K103)</f>
        <v/>
      </c>
      <c r="J129" t="str">
        <f>IF(OR('Base Encuesta'!P103="",IFERROR(VALUE(LEFT('Base Encuesta'!K103,1)),"")&gt;=3),"",PROPER(TRIM('Base Encuesta'!P103)))</f>
        <v/>
      </c>
      <c r="K129" t="str">
        <f>IF(OR('Base Encuesta'!Q103="",IFERROR(VALUE(LEFT('Base Encuesta'!K103,1)),"")&gt;=3),"",'Base Encuesta'!Q103)</f>
        <v/>
      </c>
      <c r="L129" t="str">
        <f>IF(OR('Base Encuesta'!R103="",IFERROR(VALUE(LEFT('Base Encuesta'!K103,1)),"")&gt;=3),"",VALUE(LEFT('Base Encuesta'!R103,1)))</f>
        <v/>
      </c>
      <c r="M129" t="str">
        <f>IF(OR('Base Encuesta'!S103="",IFERROR(VALUE(LEFT('Base Encuesta'!K103,1)),"")&gt;=3),"",VALUE(LEFT('Base Encuesta'!S103,1)))</f>
        <v/>
      </c>
      <c r="N129" t="str">
        <f>IF(OR('Base Encuesta'!T103="",IFERROR(VALUE(LEFT('Base Encuesta'!K103,1)),"")&gt;=3),"",VALUE(LEFT('Base Encuesta'!T103,1)))</f>
        <v/>
      </c>
      <c r="O129" t="str">
        <f>IF(OR('Base Encuesta'!V103="",IFERROR(VALUE(LEFT('Base Encuesta'!K103,1)),"")&gt;=3),"",VALUE(LEFT('Base Encuesta'!V103,1)))</f>
        <v/>
      </c>
      <c r="P129" t="str">
        <f>IF(OR('Base Encuesta'!W103="",IFERROR(VALUE(LEFT('Base Encuesta'!K103,1)),"")&gt;=3),"",VALUE(LEFT('Base Encuesta'!W103,1)))</f>
        <v/>
      </c>
      <c r="Q129" t="str">
        <f>IF(OR('Base Encuesta'!X103="",IFERROR(VALUE(LEFT('Base Encuesta'!K103,1)),"")&gt;=3),"",VALUE(LEFT('Base Encuesta'!X103,1)))</f>
        <v/>
      </c>
      <c r="R129" t="str">
        <f>IF(OR('Base Encuesta'!Y103="",IFERROR(VALUE(LEFT('Base Encuesta'!K103,1)),"")&gt;=3),"",VALUE(LEFT('Base Encuesta'!Y103,1)))</f>
        <v/>
      </c>
      <c r="S129" t="str">
        <f>IF(OR('Base Encuesta'!Z103="",IFERROR(VALUE(LEFT('Base Encuesta'!K103,1)),"")&gt;=3),"",VALUE(LEFT('Base Encuesta'!Z103,1)))</f>
        <v/>
      </c>
      <c r="T129" t="str">
        <f>IF(OR('Base Encuesta'!AA103="",IFERROR(VALUE(LEFT('Base Encuesta'!K103,1)),"")&gt;=3),"",VALUE(LEFT('Base Encuesta'!AA103,1)))</f>
        <v/>
      </c>
      <c r="U129" t="str">
        <f>IF(OR('Base Encuesta'!AB103="",IFERROR(VALUE(LEFT('Base Encuesta'!K103,1)),"")&gt;=3),"",VALUE(LEFT('Base Encuesta'!AB103,1)))</f>
        <v/>
      </c>
      <c r="V129" t="str">
        <f>IF(OR('Base Encuesta'!AC103="",IFERROR(VALUE(LEFT('Base Encuesta'!K103,1)),"")&gt;=3),"",VALUE(LEFT('Base Encuesta'!AC103,1)))</f>
        <v/>
      </c>
      <c r="W129" t="str">
        <f>IF(OR('Base Encuesta'!AE103="",IFERROR(VALUE(LEFT('Base Encuesta'!K103,1)),"")&gt;=3),"",VALUE(LEFT('Base Encuesta'!AE103,1)))</f>
        <v/>
      </c>
      <c r="X129" t="str">
        <f>IF(OR('Base Encuesta'!AF103="",IFERROR(VALUE(LEFT('Base Encuesta'!K103,1)),"")&gt;=3),"",IF(W129=1,VALUE(LEFT('Base Encuesta'!AF103,1)),""))</f>
        <v/>
      </c>
      <c r="Y129" t="str">
        <f>IF(OR('Base Encuesta'!AG103="",IFERROR(VALUE(LEFT('Base Encuesta'!K103,1)),"")&gt;=3),"",IF(W129=1,VALUE(LEFT('Base Encuesta'!AG103,1)),""))</f>
        <v/>
      </c>
      <c r="Z129" t="str">
        <f>IF(OR('Base Encuesta'!AH103="",IFERROR(VALUE(LEFT('Base Encuesta'!K103,1)),"")&gt;=3),"",IF(W129=1,VALUE(LEFT('Base Encuesta'!AH103,1)),""))</f>
        <v/>
      </c>
      <c r="AA129" t="str">
        <f>IF(OR('Base Encuesta'!AI103="",IFERROR(VALUE(LEFT('Base Encuesta'!K103,1)),"")&gt;=3),"",IF(W129=1,VALUE(LEFT('Base Encuesta'!AI103,1)),""))</f>
        <v/>
      </c>
      <c r="AB129" t="str">
        <f>IF(OR('Base Encuesta'!AJ103="",IFERROR(VALUE(LEFT('Base Encuesta'!K103,1)),"")&gt;=3),"",IF(W129=1,VALUE(LEFT('Base Encuesta'!AJ103,1)),""))</f>
        <v/>
      </c>
      <c r="AC129" t="str">
        <f>IF(OR('Base Encuesta'!AL103="",IFERROR(VALUE(LEFT('Base Encuesta'!K103,1)),"")&gt;=3),"",VALUE(LEFT('Base Encuesta'!AL103,1)))</f>
        <v/>
      </c>
      <c r="AD129" t="str">
        <f>IF(OR('Base Encuesta'!AM103="",IFERROR(VALUE(LEFT('Base Encuesta'!K103,1)),"")&gt;=3),"",VALUE(LEFT('Base Encuesta'!AM103,1)))</f>
        <v/>
      </c>
      <c r="AE129" t="str">
        <f>IF(OR('Base Encuesta'!AN103="",IFERROR(VALUE(LEFT('Base Encuesta'!K103,1)),"")&gt;=3),"",VALUE(LEFT('Base Encuesta'!AN103,1)))</f>
        <v/>
      </c>
      <c r="AF129" t="str">
        <f>IF(OR('Base Encuesta'!AO103="",IFERROR(VALUE(LEFT('Base Encuesta'!K103,1)),"")&gt;=3),"",VALUE(LEFT('Base Encuesta'!AO103,1)))</f>
        <v/>
      </c>
      <c r="AG129" t="str">
        <f>IF(OR('Base Encuesta'!AQ103="",IFERROR(VALUE(LEFT('Base Encuesta'!K103,1)),"")&gt;=3),"",VALUE(LEFT('Base Encuesta'!AQ103,1)))</f>
        <v/>
      </c>
      <c r="AH129" t="str">
        <f>IF(OR('Base Encuesta'!AR103="",IFERROR(VALUE(LEFT('Base Encuesta'!K103,1)),"")&gt;=3),"",VALUE(LEFT('Base Encuesta'!AR103,1)))</f>
        <v/>
      </c>
    </row>
    <row r="130" spans="1:34">
      <c r="A130" t="str">
        <f>IF('Base Encuesta'!C104="","",'Base Encuesta'!C104)</f>
        <v/>
      </c>
      <c r="B130" t="str">
        <f>IF('Base Encuesta'!D104="","",'Base Encuesta'!D104)</f>
        <v/>
      </c>
      <c r="C130" t="str">
        <f>IF('Base Encuesta'!E104="","",'Base Encuesta'!E104)</f>
        <v/>
      </c>
      <c r="D130" t="str">
        <f>IF('Base Encuesta'!F104="","",'Base Encuesta'!F104)</f>
        <v/>
      </c>
      <c r="E130" t="str">
        <f>IF('Base Encuesta'!G104="","",'Base Encuesta'!G104)</f>
        <v/>
      </c>
      <c r="F130" t="str">
        <f>IF('Base Encuesta'!H104="","",'Base Encuesta'!H104)</f>
        <v/>
      </c>
      <c r="G130" t="str">
        <f>IF('Base Encuesta'!I104="","",'Base Encuesta'!I104)</f>
        <v/>
      </c>
      <c r="H130" t="str">
        <f>IF('Base Encuesta'!J104="","",'Base Encuesta'!J104)</f>
        <v/>
      </c>
      <c r="I130" t="str">
        <f>IF('Base Encuesta'!K104="","",'Base Encuesta'!K104)</f>
        <v/>
      </c>
      <c r="J130" t="str">
        <f>IF(OR('Base Encuesta'!P104="",IFERROR(VALUE(LEFT('Base Encuesta'!K104,1)),"")&gt;=3),"",PROPER(TRIM('Base Encuesta'!P104)))</f>
        <v/>
      </c>
      <c r="K130" t="str">
        <f>IF(OR('Base Encuesta'!Q104="",IFERROR(VALUE(LEFT('Base Encuesta'!K104,1)),"")&gt;=3),"",'Base Encuesta'!Q104)</f>
        <v/>
      </c>
      <c r="L130" t="str">
        <f>IF(OR('Base Encuesta'!R104="",IFERROR(VALUE(LEFT('Base Encuesta'!K104,1)),"")&gt;=3),"",VALUE(LEFT('Base Encuesta'!R104,1)))</f>
        <v/>
      </c>
      <c r="M130" t="str">
        <f>IF(OR('Base Encuesta'!S104="",IFERROR(VALUE(LEFT('Base Encuesta'!K104,1)),"")&gt;=3),"",VALUE(LEFT('Base Encuesta'!S104,1)))</f>
        <v/>
      </c>
      <c r="N130" t="str">
        <f>IF(OR('Base Encuesta'!T104="",IFERROR(VALUE(LEFT('Base Encuesta'!K104,1)),"")&gt;=3),"",VALUE(LEFT('Base Encuesta'!T104,1)))</f>
        <v/>
      </c>
      <c r="O130" t="str">
        <f>IF(OR('Base Encuesta'!V104="",IFERROR(VALUE(LEFT('Base Encuesta'!K104,1)),"")&gt;=3),"",VALUE(LEFT('Base Encuesta'!V104,1)))</f>
        <v/>
      </c>
      <c r="P130" t="str">
        <f>IF(OR('Base Encuesta'!W104="",IFERROR(VALUE(LEFT('Base Encuesta'!K104,1)),"")&gt;=3),"",VALUE(LEFT('Base Encuesta'!W104,1)))</f>
        <v/>
      </c>
      <c r="Q130" t="str">
        <f>IF(OR('Base Encuesta'!X104="",IFERROR(VALUE(LEFT('Base Encuesta'!K104,1)),"")&gt;=3),"",VALUE(LEFT('Base Encuesta'!X104,1)))</f>
        <v/>
      </c>
      <c r="R130" t="str">
        <f>IF(OR('Base Encuesta'!Y104="",IFERROR(VALUE(LEFT('Base Encuesta'!K104,1)),"")&gt;=3),"",VALUE(LEFT('Base Encuesta'!Y104,1)))</f>
        <v/>
      </c>
      <c r="S130" t="str">
        <f>IF(OR('Base Encuesta'!Z104="",IFERROR(VALUE(LEFT('Base Encuesta'!K104,1)),"")&gt;=3),"",VALUE(LEFT('Base Encuesta'!Z104,1)))</f>
        <v/>
      </c>
      <c r="T130" t="str">
        <f>IF(OR('Base Encuesta'!AA104="",IFERROR(VALUE(LEFT('Base Encuesta'!K104,1)),"")&gt;=3),"",VALUE(LEFT('Base Encuesta'!AA104,1)))</f>
        <v/>
      </c>
      <c r="U130" t="str">
        <f>IF(OR('Base Encuesta'!AB104="",IFERROR(VALUE(LEFT('Base Encuesta'!K104,1)),"")&gt;=3),"",VALUE(LEFT('Base Encuesta'!AB104,1)))</f>
        <v/>
      </c>
      <c r="V130" t="str">
        <f>IF(OR('Base Encuesta'!AC104="",IFERROR(VALUE(LEFT('Base Encuesta'!K104,1)),"")&gt;=3),"",VALUE(LEFT('Base Encuesta'!AC104,1)))</f>
        <v/>
      </c>
      <c r="W130" t="str">
        <f>IF(OR('Base Encuesta'!AE104="",IFERROR(VALUE(LEFT('Base Encuesta'!K104,1)),"")&gt;=3),"",VALUE(LEFT('Base Encuesta'!AE104,1)))</f>
        <v/>
      </c>
      <c r="X130" t="str">
        <f>IF(OR('Base Encuesta'!AF104="",IFERROR(VALUE(LEFT('Base Encuesta'!K104,1)),"")&gt;=3),"",IF(W130=1,VALUE(LEFT('Base Encuesta'!AF104,1)),""))</f>
        <v/>
      </c>
      <c r="Y130" t="str">
        <f>IF(OR('Base Encuesta'!AG104="",IFERROR(VALUE(LEFT('Base Encuesta'!K104,1)),"")&gt;=3),"",IF(W130=1,VALUE(LEFT('Base Encuesta'!AG104,1)),""))</f>
        <v/>
      </c>
      <c r="Z130" t="str">
        <f>IF(OR('Base Encuesta'!AH104="",IFERROR(VALUE(LEFT('Base Encuesta'!K104,1)),"")&gt;=3),"",IF(W130=1,VALUE(LEFT('Base Encuesta'!AH104,1)),""))</f>
        <v/>
      </c>
      <c r="AA130" t="str">
        <f>IF(OR('Base Encuesta'!AI104="",IFERROR(VALUE(LEFT('Base Encuesta'!K104,1)),"")&gt;=3),"",IF(W130=1,VALUE(LEFT('Base Encuesta'!AI104,1)),""))</f>
        <v/>
      </c>
      <c r="AB130" t="str">
        <f>IF(OR('Base Encuesta'!AJ104="",IFERROR(VALUE(LEFT('Base Encuesta'!K104,1)),"")&gt;=3),"",IF(W130=1,VALUE(LEFT('Base Encuesta'!AJ104,1)),""))</f>
        <v/>
      </c>
      <c r="AC130" t="str">
        <f>IF(OR('Base Encuesta'!AL104="",IFERROR(VALUE(LEFT('Base Encuesta'!K104,1)),"")&gt;=3),"",VALUE(LEFT('Base Encuesta'!AL104,1)))</f>
        <v/>
      </c>
      <c r="AD130" t="str">
        <f>IF(OR('Base Encuesta'!AM104="",IFERROR(VALUE(LEFT('Base Encuesta'!K104,1)),"")&gt;=3),"",VALUE(LEFT('Base Encuesta'!AM104,1)))</f>
        <v/>
      </c>
      <c r="AE130" t="str">
        <f>IF(OR('Base Encuesta'!AN104="",IFERROR(VALUE(LEFT('Base Encuesta'!K104,1)),"")&gt;=3),"",VALUE(LEFT('Base Encuesta'!AN104,1)))</f>
        <v/>
      </c>
      <c r="AF130" t="str">
        <f>IF(OR('Base Encuesta'!AO104="",IFERROR(VALUE(LEFT('Base Encuesta'!K104,1)),"")&gt;=3),"",VALUE(LEFT('Base Encuesta'!AO104,1)))</f>
        <v/>
      </c>
      <c r="AG130" t="str">
        <f>IF(OR('Base Encuesta'!AQ104="",IFERROR(VALUE(LEFT('Base Encuesta'!K104,1)),"")&gt;=3),"",VALUE(LEFT('Base Encuesta'!AQ104,1)))</f>
        <v/>
      </c>
      <c r="AH130" t="str">
        <f>IF(OR('Base Encuesta'!AR104="",IFERROR(VALUE(LEFT('Base Encuesta'!K104,1)),"")&gt;=3),"",VALUE(LEFT('Base Encuesta'!AR104,1)))</f>
        <v/>
      </c>
    </row>
    <row r="131" spans="1:34">
      <c r="A131" t="str">
        <f>IF('Base Encuesta'!C105="","",'Base Encuesta'!C105)</f>
        <v/>
      </c>
      <c r="B131" t="str">
        <f>IF('Base Encuesta'!D105="","",'Base Encuesta'!D105)</f>
        <v/>
      </c>
      <c r="C131" t="str">
        <f>IF('Base Encuesta'!E105="","",'Base Encuesta'!E105)</f>
        <v/>
      </c>
      <c r="D131" t="str">
        <f>IF('Base Encuesta'!F105="","",'Base Encuesta'!F105)</f>
        <v/>
      </c>
      <c r="E131" t="str">
        <f>IF('Base Encuesta'!G105="","",'Base Encuesta'!G105)</f>
        <v/>
      </c>
      <c r="F131" t="str">
        <f>IF('Base Encuesta'!H105="","",'Base Encuesta'!H105)</f>
        <v/>
      </c>
      <c r="G131" t="str">
        <f>IF('Base Encuesta'!I105="","",'Base Encuesta'!I105)</f>
        <v/>
      </c>
      <c r="H131" t="str">
        <f>IF('Base Encuesta'!J105="","",'Base Encuesta'!J105)</f>
        <v/>
      </c>
      <c r="I131" t="str">
        <f>IF('Base Encuesta'!K105="","",'Base Encuesta'!K105)</f>
        <v/>
      </c>
      <c r="J131" t="str">
        <f>IF(OR('Base Encuesta'!P105="",IFERROR(VALUE(LEFT('Base Encuesta'!K105,1)),"")&gt;=3),"",PROPER(TRIM('Base Encuesta'!P105)))</f>
        <v/>
      </c>
      <c r="K131" t="str">
        <f>IF(OR('Base Encuesta'!Q105="",IFERROR(VALUE(LEFT('Base Encuesta'!K105,1)),"")&gt;=3),"",'Base Encuesta'!Q105)</f>
        <v/>
      </c>
      <c r="L131" t="str">
        <f>IF(OR('Base Encuesta'!R105="",IFERROR(VALUE(LEFT('Base Encuesta'!K105,1)),"")&gt;=3),"",VALUE(LEFT('Base Encuesta'!R105,1)))</f>
        <v/>
      </c>
      <c r="M131" t="str">
        <f>IF(OR('Base Encuesta'!S105="",IFERROR(VALUE(LEFT('Base Encuesta'!K105,1)),"")&gt;=3),"",VALUE(LEFT('Base Encuesta'!S105,1)))</f>
        <v/>
      </c>
      <c r="N131" t="str">
        <f>IF(OR('Base Encuesta'!T105="",IFERROR(VALUE(LEFT('Base Encuesta'!K105,1)),"")&gt;=3),"",VALUE(LEFT('Base Encuesta'!T105,1)))</f>
        <v/>
      </c>
      <c r="O131" t="str">
        <f>IF(OR('Base Encuesta'!V105="",IFERROR(VALUE(LEFT('Base Encuesta'!K105,1)),"")&gt;=3),"",VALUE(LEFT('Base Encuesta'!V105,1)))</f>
        <v/>
      </c>
      <c r="P131" t="str">
        <f>IF(OR('Base Encuesta'!W105="",IFERROR(VALUE(LEFT('Base Encuesta'!K105,1)),"")&gt;=3),"",VALUE(LEFT('Base Encuesta'!W105,1)))</f>
        <v/>
      </c>
      <c r="Q131" t="str">
        <f>IF(OR('Base Encuesta'!X105="",IFERROR(VALUE(LEFT('Base Encuesta'!K105,1)),"")&gt;=3),"",VALUE(LEFT('Base Encuesta'!X105,1)))</f>
        <v/>
      </c>
      <c r="R131" t="str">
        <f>IF(OR('Base Encuesta'!Y105="",IFERROR(VALUE(LEFT('Base Encuesta'!K105,1)),"")&gt;=3),"",VALUE(LEFT('Base Encuesta'!Y105,1)))</f>
        <v/>
      </c>
      <c r="S131" t="str">
        <f>IF(OR('Base Encuesta'!Z105="",IFERROR(VALUE(LEFT('Base Encuesta'!K105,1)),"")&gt;=3),"",VALUE(LEFT('Base Encuesta'!Z105,1)))</f>
        <v/>
      </c>
      <c r="T131" t="str">
        <f>IF(OR('Base Encuesta'!AA105="",IFERROR(VALUE(LEFT('Base Encuesta'!K105,1)),"")&gt;=3),"",VALUE(LEFT('Base Encuesta'!AA105,1)))</f>
        <v/>
      </c>
      <c r="U131" t="str">
        <f>IF(OR('Base Encuesta'!AB105="",IFERROR(VALUE(LEFT('Base Encuesta'!K105,1)),"")&gt;=3),"",VALUE(LEFT('Base Encuesta'!AB105,1)))</f>
        <v/>
      </c>
      <c r="V131" t="str">
        <f>IF(OR('Base Encuesta'!AC105="",IFERROR(VALUE(LEFT('Base Encuesta'!K105,1)),"")&gt;=3),"",VALUE(LEFT('Base Encuesta'!AC105,1)))</f>
        <v/>
      </c>
      <c r="W131" t="str">
        <f>IF(OR('Base Encuesta'!AE105="",IFERROR(VALUE(LEFT('Base Encuesta'!K105,1)),"")&gt;=3),"",VALUE(LEFT('Base Encuesta'!AE105,1)))</f>
        <v/>
      </c>
      <c r="X131" t="str">
        <f>IF(OR('Base Encuesta'!AF105="",IFERROR(VALUE(LEFT('Base Encuesta'!K105,1)),"")&gt;=3),"",IF(W131=1,VALUE(LEFT('Base Encuesta'!AF105,1)),""))</f>
        <v/>
      </c>
      <c r="Y131" t="str">
        <f>IF(OR('Base Encuesta'!AG105="",IFERROR(VALUE(LEFT('Base Encuesta'!K105,1)),"")&gt;=3),"",IF(W131=1,VALUE(LEFT('Base Encuesta'!AG105,1)),""))</f>
        <v/>
      </c>
      <c r="Z131" t="str">
        <f>IF(OR('Base Encuesta'!AH105="",IFERROR(VALUE(LEFT('Base Encuesta'!K105,1)),"")&gt;=3),"",IF(W131=1,VALUE(LEFT('Base Encuesta'!AH105,1)),""))</f>
        <v/>
      </c>
      <c r="AA131" t="str">
        <f>IF(OR('Base Encuesta'!AI105="",IFERROR(VALUE(LEFT('Base Encuesta'!K105,1)),"")&gt;=3),"",IF(W131=1,VALUE(LEFT('Base Encuesta'!AI105,1)),""))</f>
        <v/>
      </c>
      <c r="AB131" t="str">
        <f>IF(OR('Base Encuesta'!AJ105="",IFERROR(VALUE(LEFT('Base Encuesta'!K105,1)),"")&gt;=3),"",IF(W131=1,VALUE(LEFT('Base Encuesta'!AJ105,1)),""))</f>
        <v/>
      </c>
      <c r="AC131" t="str">
        <f>IF(OR('Base Encuesta'!AL105="",IFERROR(VALUE(LEFT('Base Encuesta'!K105,1)),"")&gt;=3),"",VALUE(LEFT('Base Encuesta'!AL105,1)))</f>
        <v/>
      </c>
      <c r="AD131" t="str">
        <f>IF(OR('Base Encuesta'!AM105="",IFERROR(VALUE(LEFT('Base Encuesta'!K105,1)),"")&gt;=3),"",VALUE(LEFT('Base Encuesta'!AM105,1)))</f>
        <v/>
      </c>
      <c r="AE131" t="str">
        <f>IF(OR('Base Encuesta'!AN105="",IFERROR(VALUE(LEFT('Base Encuesta'!K105,1)),"")&gt;=3),"",VALUE(LEFT('Base Encuesta'!AN105,1)))</f>
        <v/>
      </c>
      <c r="AF131" t="str">
        <f>IF(OR('Base Encuesta'!AO105="",IFERROR(VALUE(LEFT('Base Encuesta'!K105,1)),"")&gt;=3),"",VALUE(LEFT('Base Encuesta'!AO105,1)))</f>
        <v/>
      </c>
      <c r="AG131" t="str">
        <f>IF(OR('Base Encuesta'!AQ105="",IFERROR(VALUE(LEFT('Base Encuesta'!K105,1)),"")&gt;=3),"",VALUE(LEFT('Base Encuesta'!AQ105,1)))</f>
        <v/>
      </c>
      <c r="AH131" t="str">
        <f>IF(OR('Base Encuesta'!AR105="",IFERROR(VALUE(LEFT('Base Encuesta'!K105,1)),"")&gt;=3),"",VALUE(LEFT('Base Encuesta'!AR105,1)))</f>
        <v/>
      </c>
    </row>
    <row r="132" spans="1:34">
      <c r="A132" t="str">
        <f>IF('Base Encuesta'!C106="","",'Base Encuesta'!C106)</f>
        <v/>
      </c>
      <c r="B132" t="str">
        <f>IF('Base Encuesta'!D106="","",'Base Encuesta'!D106)</f>
        <v/>
      </c>
      <c r="C132" t="str">
        <f>IF('Base Encuesta'!E106="","",'Base Encuesta'!E106)</f>
        <v/>
      </c>
      <c r="D132" t="str">
        <f>IF('Base Encuesta'!F106="","",'Base Encuesta'!F106)</f>
        <v/>
      </c>
      <c r="E132" t="str">
        <f>IF('Base Encuesta'!G106="","",'Base Encuesta'!G106)</f>
        <v/>
      </c>
      <c r="F132" t="str">
        <f>IF('Base Encuesta'!H106="","",'Base Encuesta'!H106)</f>
        <v/>
      </c>
      <c r="G132" t="str">
        <f>IF('Base Encuesta'!I106="","",'Base Encuesta'!I106)</f>
        <v/>
      </c>
      <c r="H132" t="str">
        <f>IF('Base Encuesta'!J106="","",'Base Encuesta'!J106)</f>
        <v/>
      </c>
      <c r="I132" t="str">
        <f>IF('Base Encuesta'!K106="","",'Base Encuesta'!K106)</f>
        <v/>
      </c>
      <c r="J132" t="str">
        <f>IF(OR('Base Encuesta'!P106="",IFERROR(VALUE(LEFT('Base Encuesta'!K106,1)),"")&gt;=3),"",PROPER(TRIM('Base Encuesta'!P106)))</f>
        <v/>
      </c>
      <c r="K132" t="str">
        <f>IF(OR('Base Encuesta'!Q106="",IFERROR(VALUE(LEFT('Base Encuesta'!K106,1)),"")&gt;=3),"",'Base Encuesta'!Q106)</f>
        <v/>
      </c>
      <c r="L132" t="str">
        <f>IF(OR('Base Encuesta'!R106="",IFERROR(VALUE(LEFT('Base Encuesta'!K106,1)),"")&gt;=3),"",VALUE(LEFT('Base Encuesta'!R106,1)))</f>
        <v/>
      </c>
      <c r="M132" t="str">
        <f>IF(OR('Base Encuesta'!S106="",IFERROR(VALUE(LEFT('Base Encuesta'!K106,1)),"")&gt;=3),"",VALUE(LEFT('Base Encuesta'!S106,1)))</f>
        <v/>
      </c>
      <c r="N132" t="str">
        <f>IF(OR('Base Encuesta'!T106="",IFERROR(VALUE(LEFT('Base Encuesta'!K106,1)),"")&gt;=3),"",VALUE(LEFT('Base Encuesta'!T106,1)))</f>
        <v/>
      </c>
      <c r="O132" t="str">
        <f>IF(OR('Base Encuesta'!V106="",IFERROR(VALUE(LEFT('Base Encuesta'!K106,1)),"")&gt;=3),"",VALUE(LEFT('Base Encuesta'!V106,1)))</f>
        <v/>
      </c>
      <c r="P132" t="str">
        <f>IF(OR('Base Encuesta'!W106="",IFERROR(VALUE(LEFT('Base Encuesta'!K106,1)),"")&gt;=3),"",VALUE(LEFT('Base Encuesta'!W106,1)))</f>
        <v/>
      </c>
      <c r="Q132" t="str">
        <f>IF(OR('Base Encuesta'!X106="",IFERROR(VALUE(LEFT('Base Encuesta'!K106,1)),"")&gt;=3),"",VALUE(LEFT('Base Encuesta'!X106,1)))</f>
        <v/>
      </c>
      <c r="R132" t="str">
        <f>IF(OR('Base Encuesta'!Y106="",IFERROR(VALUE(LEFT('Base Encuesta'!K106,1)),"")&gt;=3),"",VALUE(LEFT('Base Encuesta'!Y106,1)))</f>
        <v/>
      </c>
      <c r="S132" t="str">
        <f>IF(OR('Base Encuesta'!Z106="",IFERROR(VALUE(LEFT('Base Encuesta'!K106,1)),"")&gt;=3),"",VALUE(LEFT('Base Encuesta'!Z106,1)))</f>
        <v/>
      </c>
      <c r="T132" t="str">
        <f>IF(OR('Base Encuesta'!AA106="",IFERROR(VALUE(LEFT('Base Encuesta'!K106,1)),"")&gt;=3),"",VALUE(LEFT('Base Encuesta'!AA106,1)))</f>
        <v/>
      </c>
      <c r="U132" t="str">
        <f>IF(OR('Base Encuesta'!AB106="",IFERROR(VALUE(LEFT('Base Encuesta'!K106,1)),"")&gt;=3),"",VALUE(LEFT('Base Encuesta'!AB106,1)))</f>
        <v/>
      </c>
      <c r="V132" t="str">
        <f>IF(OR('Base Encuesta'!AC106="",IFERROR(VALUE(LEFT('Base Encuesta'!K106,1)),"")&gt;=3),"",VALUE(LEFT('Base Encuesta'!AC106,1)))</f>
        <v/>
      </c>
      <c r="W132" t="str">
        <f>IF(OR('Base Encuesta'!AE106="",IFERROR(VALUE(LEFT('Base Encuesta'!K106,1)),"")&gt;=3),"",VALUE(LEFT('Base Encuesta'!AE106,1)))</f>
        <v/>
      </c>
      <c r="X132" t="str">
        <f>IF(OR('Base Encuesta'!AF106="",IFERROR(VALUE(LEFT('Base Encuesta'!K106,1)),"")&gt;=3),"",IF(W132=1,VALUE(LEFT('Base Encuesta'!AF106,1)),""))</f>
        <v/>
      </c>
      <c r="Y132" t="str">
        <f>IF(OR('Base Encuesta'!AG106="",IFERROR(VALUE(LEFT('Base Encuesta'!K106,1)),"")&gt;=3),"",IF(W132=1,VALUE(LEFT('Base Encuesta'!AG106,1)),""))</f>
        <v/>
      </c>
      <c r="Z132" t="str">
        <f>IF(OR('Base Encuesta'!AH106="",IFERROR(VALUE(LEFT('Base Encuesta'!K106,1)),"")&gt;=3),"",IF(W132=1,VALUE(LEFT('Base Encuesta'!AH106,1)),""))</f>
        <v/>
      </c>
      <c r="AA132" t="str">
        <f>IF(OR('Base Encuesta'!AI106="",IFERROR(VALUE(LEFT('Base Encuesta'!K106,1)),"")&gt;=3),"",IF(W132=1,VALUE(LEFT('Base Encuesta'!AI106,1)),""))</f>
        <v/>
      </c>
      <c r="AB132" t="str">
        <f>IF(OR('Base Encuesta'!AJ106="",IFERROR(VALUE(LEFT('Base Encuesta'!K106,1)),"")&gt;=3),"",IF(W132=1,VALUE(LEFT('Base Encuesta'!AJ106,1)),""))</f>
        <v/>
      </c>
      <c r="AC132" t="str">
        <f>IF(OR('Base Encuesta'!AL106="",IFERROR(VALUE(LEFT('Base Encuesta'!K106,1)),"")&gt;=3),"",VALUE(LEFT('Base Encuesta'!AL106,1)))</f>
        <v/>
      </c>
      <c r="AD132" t="str">
        <f>IF(OR('Base Encuesta'!AM106="",IFERROR(VALUE(LEFT('Base Encuesta'!K106,1)),"")&gt;=3),"",VALUE(LEFT('Base Encuesta'!AM106,1)))</f>
        <v/>
      </c>
      <c r="AE132" t="str">
        <f>IF(OR('Base Encuesta'!AN106="",IFERROR(VALUE(LEFT('Base Encuesta'!K106,1)),"")&gt;=3),"",VALUE(LEFT('Base Encuesta'!AN106,1)))</f>
        <v/>
      </c>
      <c r="AF132" t="str">
        <f>IF(OR('Base Encuesta'!AO106="",IFERROR(VALUE(LEFT('Base Encuesta'!K106,1)),"")&gt;=3),"",VALUE(LEFT('Base Encuesta'!AO106,1)))</f>
        <v/>
      </c>
      <c r="AG132" t="str">
        <f>IF(OR('Base Encuesta'!AQ106="",IFERROR(VALUE(LEFT('Base Encuesta'!K106,1)),"")&gt;=3),"",VALUE(LEFT('Base Encuesta'!AQ106,1)))</f>
        <v/>
      </c>
      <c r="AH132" t="str">
        <f>IF(OR('Base Encuesta'!AR106="",IFERROR(VALUE(LEFT('Base Encuesta'!K106,1)),"")&gt;=3),"",VALUE(LEFT('Base Encuesta'!AR106,1)))</f>
        <v/>
      </c>
    </row>
    <row r="133" spans="1:34">
      <c r="A133" t="str">
        <f>IF('Base Encuesta'!C107="","",'Base Encuesta'!C107)</f>
        <v/>
      </c>
      <c r="B133" t="str">
        <f>IF('Base Encuesta'!D107="","",'Base Encuesta'!D107)</f>
        <v/>
      </c>
      <c r="C133" t="str">
        <f>IF('Base Encuesta'!E107="","",'Base Encuesta'!E107)</f>
        <v/>
      </c>
      <c r="D133" t="str">
        <f>IF('Base Encuesta'!F107="","",'Base Encuesta'!F107)</f>
        <v/>
      </c>
      <c r="E133" t="str">
        <f>IF('Base Encuesta'!G107="","",'Base Encuesta'!G107)</f>
        <v/>
      </c>
      <c r="F133" t="str">
        <f>IF('Base Encuesta'!H107="","",'Base Encuesta'!H107)</f>
        <v/>
      </c>
      <c r="G133" t="str">
        <f>IF('Base Encuesta'!I107="","",'Base Encuesta'!I107)</f>
        <v/>
      </c>
      <c r="H133" t="str">
        <f>IF('Base Encuesta'!J107="","",'Base Encuesta'!J107)</f>
        <v/>
      </c>
      <c r="I133" t="str">
        <f>IF('Base Encuesta'!K107="","",'Base Encuesta'!K107)</f>
        <v/>
      </c>
      <c r="J133" t="str">
        <f>IF(OR('Base Encuesta'!P107="",IFERROR(VALUE(LEFT('Base Encuesta'!K107,1)),"")&gt;=3),"",PROPER(TRIM('Base Encuesta'!P107)))</f>
        <v/>
      </c>
      <c r="K133" t="str">
        <f>IF(OR('Base Encuesta'!Q107="",IFERROR(VALUE(LEFT('Base Encuesta'!K107,1)),"")&gt;=3),"",'Base Encuesta'!Q107)</f>
        <v/>
      </c>
      <c r="L133" t="str">
        <f>IF(OR('Base Encuesta'!R107="",IFERROR(VALUE(LEFT('Base Encuesta'!K107,1)),"")&gt;=3),"",VALUE(LEFT('Base Encuesta'!R107,1)))</f>
        <v/>
      </c>
      <c r="M133" t="str">
        <f>IF(OR('Base Encuesta'!S107="",IFERROR(VALUE(LEFT('Base Encuesta'!K107,1)),"")&gt;=3),"",VALUE(LEFT('Base Encuesta'!S107,1)))</f>
        <v/>
      </c>
      <c r="N133" t="str">
        <f>IF(OR('Base Encuesta'!T107="",IFERROR(VALUE(LEFT('Base Encuesta'!K107,1)),"")&gt;=3),"",VALUE(LEFT('Base Encuesta'!T107,1)))</f>
        <v/>
      </c>
      <c r="O133" t="str">
        <f>IF(OR('Base Encuesta'!V107="",IFERROR(VALUE(LEFT('Base Encuesta'!K107,1)),"")&gt;=3),"",VALUE(LEFT('Base Encuesta'!V107,1)))</f>
        <v/>
      </c>
      <c r="P133" t="str">
        <f>IF(OR('Base Encuesta'!W107="",IFERROR(VALUE(LEFT('Base Encuesta'!K107,1)),"")&gt;=3),"",VALUE(LEFT('Base Encuesta'!W107,1)))</f>
        <v/>
      </c>
      <c r="Q133" t="str">
        <f>IF(OR('Base Encuesta'!X107="",IFERROR(VALUE(LEFT('Base Encuesta'!K107,1)),"")&gt;=3),"",VALUE(LEFT('Base Encuesta'!X107,1)))</f>
        <v/>
      </c>
      <c r="R133" t="str">
        <f>IF(OR('Base Encuesta'!Y107="",IFERROR(VALUE(LEFT('Base Encuesta'!K107,1)),"")&gt;=3),"",VALUE(LEFT('Base Encuesta'!Y107,1)))</f>
        <v/>
      </c>
      <c r="S133" t="str">
        <f>IF(OR('Base Encuesta'!Z107="",IFERROR(VALUE(LEFT('Base Encuesta'!K107,1)),"")&gt;=3),"",VALUE(LEFT('Base Encuesta'!Z107,1)))</f>
        <v/>
      </c>
      <c r="T133" t="str">
        <f>IF(OR('Base Encuesta'!AA107="",IFERROR(VALUE(LEFT('Base Encuesta'!K107,1)),"")&gt;=3),"",VALUE(LEFT('Base Encuesta'!AA107,1)))</f>
        <v/>
      </c>
      <c r="U133" t="str">
        <f>IF(OR('Base Encuesta'!AB107="",IFERROR(VALUE(LEFT('Base Encuesta'!K107,1)),"")&gt;=3),"",VALUE(LEFT('Base Encuesta'!AB107,1)))</f>
        <v/>
      </c>
      <c r="V133" t="str">
        <f>IF(OR('Base Encuesta'!AC107="",IFERROR(VALUE(LEFT('Base Encuesta'!K107,1)),"")&gt;=3),"",VALUE(LEFT('Base Encuesta'!AC107,1)))</f>
        <v/>
      </c>
      <c r="W133" t="str">
        <f>IF(OR('Base Encuesta'!AE107="",IFERROR(VALUE(LEFT('Base Encuesta'!K107,1)),"")&gt;=3),"",VALUE(LEFT('Base Encuesta'!AE107,1)))</f>
        <v/>
      </c>
      <c r="X133" t="str">
        <f>IF(OR('Base Encuesta'!AF107="",IFERROR(VALUE(LEFT('Base Encuesta'!K107,1)),"")&gt;=3),"",IF(W133=1,VALUE(LEFT('Base Encuesta'!AF107,1)),""))</f>
        <v/>
      </c>
      <c r="Y133" t="str">
        <f>IF(OR('Base Encuesta'!AG107="",IFERROR(VALUE(LEFT('Base Encuesta'!K107,1)),"")&gt;=3),"",IF(W133=1,VALUE(LEFT('Base Encuesta'!AG107,1)),""))</f>
        <v/>
      </c>
      <c r="Z133" t="str">
        <f>IF(OR('Base Encuesta'!AH107="",IFERROR(VALUE(LEFT('Base Encuesta'!K107,1)),"")&gt;=3),"",IF(W133=1,VALUE(LEFT('Base Encuesta'!AH107,1)),""))</f>
        <v/>
      </c>
      <c r="AA133" t="str">
        <f>IF(OR('Base Encuesta'!AI107="",IFERROR(VALUE(LEFT('Base Encuesta'!K107,1)),"")&gt;=3),"",IF(W133=1,VALUE(LEFT('Base Encuesta'!AI107,1)),""))</f>
        <v/>
      </c>
      <c r="AB133" t="str">
        <f>IF(OR('Base Encuesta'!AJ107="",IFERROR(VALUE(LEFT('Base Encuesta'!K107,1)),"")&gt;=3),"",IF(W133=1,VALUE(LEFT('Base Encuesta'!AJ107,1)),""))</f>
        <v/>
      </c>
      <c r="AC133" t="str">
        <f>IF(OR('Base Encuesta'!AL107="",IFERROR(VALUE(LEFT('Base Encuesta'!K107,1)),"")&gt;=3),"",VALUE(LEFT('Base Encuesta'!AL107,1)))</f>
        <v/>
      </c>
      <c r="AD133" t="str">
        <f>IF(OR('Base Encuesta'!AM107="",IFERROR(VALUE(LEFT('Base Encuesta'!K107,1)),"")&gt;=3),"",VALUE(LEFT('Base Encuesta'!AM107,1)))</f>
        <v/>
      </c>
      <c r="AE133" t="str">
        <f>IF(OR('Base Encuesta'!AN107="",IFERROR(VALUE(LEFT('Base Encuesta'!K107,1)),"")&gt;=3),"",VALUE(LEFT('Base Encuesta'!AN107,1)))</f>
        <v/>
      </c>
      <c r="AF133" t="str">
        <f>IF(OR('Base Encuesta'!AO107="",IFERROR(VALUE(LEFT('Base Encuesta'!K107,1)),"")&gt;=3),"",VALUE(LEFT('Base Encuesta'!AO107,1)))</f>
        <v/>
      </c>
      <c r="AG133" t="str">
        <f>IF(OR('Base Encuesta'!AQ107="",IFERROR(VALUE(LEFT('Base Encuesta'!K107,1)),"")&gt;=3),"",VALUE(LEFT('Base Encuesta'!AQ107,1)))</f>
        <v/>
      </c>
      <c r="AH133" t="str">
        <f>IF(OR('Base Encuesta'!AR107="",IFERROR(VALUE(LEFT('Base Encuesta'!K107,1)),"")&gt;=3),"",VALUE(LEFT('Base Encuesta'!AR107,1)))</f>
        <v/>
      </c>
    </row>
    <row r="134" spans="1:34">
      <c r="A134" t="str">
        <f>IF('Base Encuesta'!C108="","",'Base Encuesta'!C108)</f>
        <v/>
      </c>
      <c r="B134" t="str">
        <f>IF('Base Encuesta'!D108="","",'Base Encuesta'!D108)</f>
        <v/>
      </c>
      <c r="C134" t="str">
        <f>IF('Base Encuesta'!E108="","",'Base Encuesta'!E108)</f>
        <v/>
      </c>
      <c r="D134" t="str">
        <f>IF('Base Encuesta'!F108="","",'Base Encuesta'!F108)</f>
        <v/>
      </c>
      <c r="E134" t="str">
        <f>IF('Base Encuesta'!G108="","",'Base Encuesta'!G108)</f>
        <v/>
      </c>
      <c r="F134" t="str">
        <f>IF('Base Encuesta'!H108="","",'Base Encuesta'!H108)</f>
        <v/>
      </c>
      <c r="G134" t="str">
        <f>IF('Base Encuesta'!I108="","",'Base Encuesta'!I108)</f>
        <v/>
      </c>
      <c r="H134" t="str">
        <f>IF('Base Encuesta'!J108="","",'Base Encuesta'!J108)</f>
        <v/>
      </c>
      <c r="I134" t="str">
        <f>IF('Base Encuesta'!K108="","",'Base Encuesta'!K108)</f>
        <v/>
      </c>
      <c r="J134" t="str">
        <f>IF(OR('Base Encuesta'!P108="",IFERROR(VALUE(LEFT('Base Encuesta'!K108,1)),"")&gt;=3),"",PROPER(TRIM('Base Encuesta'!P108)))</f>
        <v/>
      </c>
      <c r="K134" t="str">
        <f>IF(OR('Base Encuesta'!Q108="",IFERROR(VALUE(LEFT('Base Encuesta'!K108,1)),"")&gt;=3),"",'Base Encuesta'!Q108)</f>
        <v/>
      </c>
      <c r="L134" t="str">
        <f>IF(OR('Base Encuesta'!R108="",IFERROR(VALUE(LEFT('Base Encuesta'!K108,1)),"")&gt;=3),"",VALUE(LEFT('Base Encuesta'!R108,1)))</f>
        <v/>
      </c>
      <c r="M134" t="str">
        <f>IF(OR('Base Encuesta'!S108="",IFERROR(VALUE(LEFT('Base Encuesta'!K108,1)),"")&gt;=3),"",VALUE(LEFT('Base Encuesta'!S108,1)))</f>
        <v/>
      </c>
      <c r="N134" t="str">
        <f>IF(OR('Base Encuesta'!T108="",IFERROR(VALUE(LEFT('Base Encuesta'!K108,1)),"")&gt;=3),"",VALUE(LEFT('Base Encuesta'!T108,1)))</f>
        <v/>
      </c>
      <c r="O134" t="str">
        <f>IF(OR('Base Encuesta'!V108="",IFERROR(VALUE(LEFT('Base Encuesta'!K108,1)),"")&gt;=3),"",VALUE(LEFT('Base Encuesta'!V108,1)))</f>
        <v/>
      </c>
      <c r="P134" t="str">
        <f>IF(OR('Base Encuesta'!W108="",IFERROR(VALUE(LEFT('Base Encuesta'!K108,1)),"")&gt;=3),"",VALUE(LEFT('Base Encuesta'!W108,1)))</f>
        <v/>
      </c>
      <c r="Q134" t="str">
        <f>IF(OR('Base Encuesta'!X108="",IFERROR(VALUE(LEFT('Base Encuesta'!K108,1)),"")&gt;=3),"",VALUE(LEFT('Base Encuesta'!X108,1)))</f>
        <v/>
      </c>
      <c r="R134" t="str">
        <f>IF(OR('Base Encuesta'!Y108="",IFERROR(VALUE(LEFT('Base Encuesta'!K108,1)),"")&gt;=3),"",VALUE(LEFT('Base Encuesta'!Y108,1)))</f>
        <v/>
      </c>
      <c r="S134" t="str">
        <f>IF(OR('Base Encuesta'!Z108="",IFERROR(VALUE(LEFT('Base Encuesta'!K108,1)),"")&gt;=3),"",VALUE(LEFT('Base Encuesta'!Z108,1)))</f>
        <v/>
      </c>
      <c r="T134" t="str">
        <f>IF(OR('Base Encuesta'!AA108="",IFERROR(VALUE(LEFT('Base Encuesta'!K108,1)),"")&gt;=3),"",VALUE(LEFT('Base Encuesta'!AA108,1)))</f>
        <v/>
      </c>
      <c r="U134" t="str">
        <f>IF(OR('Base Encuesta'!AB108="",IFERROR(VALUE(LEFT('Base Encuesta'!K108,1)),"")&gt;=3),"",VALUE(LEFT('Base Encuesta'!AB108,1)))</f>
        <v/>
      </c>
      <c r="V134" t="str">
        <f>IF(OR('Base Encuesta'!AC108="",IFERROR(VALUE(LEFT('Base Encuesta'!K108,1)),"")&gt;=3),"",VALUE(LEFT('Base Encuesta'!AC108,1)))</f>
        <v/>
      </c>
      <c r="W134" t="str">
        <f>IF(OR('Base Encuesta'!AE108="",IFERROR(VALUE(LEFT('Base Encuesta'!K108,1)),"")&gt;=3),"",VALUE(LEFT('Base Encuesta'!AE108,1)))</f>
        <v/>
      </c>
      <c r="X134" t="str">
        <f>IF(OR('Base Encuesta'!AF108="",IFERROR(VALUE(LEFT('Base Encuesta'!K108,1)),"")&gt;=3),"",IF(W134=1,VALUE(LEFT('Base Encuesta'!AF108,1)),""))</f>
        <v/>
      </c>
      <c r="Y134" t="str">
        <f>IF(OR('Base Encuesta'!AG108="",IFERROR(VALUE(LEFT('Base Encuesta'!K108,1)),"")&gt;=3),"",IF(W134=1,VALUE(LEFT('Base Encuesta'!AG108,1)),""))</f>
        <v/>
      </c>
      <c r="Z134" t="str">
        <f>IF(OR('Base Encuesta'!AH108="",IFERROR(VALUE(LEFT('Base Encuesta'!K108,1)),"")&gt;=3),"",IF(W134=1,VALUE(LEFT('Base Encuesta'!AH108,1)),""))</f>
        <v/>
      </c>
      <c r="AA134" t="str">
        <f>IF(OR('Base Encuesta'!AI108="",IFERROR(VALUE(LEFT('Base Encuesta'!K108,1)),"")&gt;=3),"",IF(W134=1,VALUE(LEFT('Base Encuesta'!AI108,1)),""))</f>
        <v/>
      </c>
      <c r="AB134" t="str">
        <f>IF(OR('Base Encuesta'!AJ108="",IFERROR(VALUE(LEFT('Base Encuesta'!K108,1)),"")&gt;=3),"",IF(W134=1,VALUE(LEFT('Base Encuesta'!AJ108,1)),""))</f>
        <v/>
      </c>
      <c r="AC134" t="str">
        <f>IF(OR('Base Encuesta'!AL108="",IFERROR(VALUE(LEFT('Base Encuesta'!K108,1)),"")&gt;=3),"",VALUE(LEFT('Base Encuesta'!AL108,1)))</f>
        <v/>
      </c>
      <c r="AD134" t="str">
        <f>IF(OR('Base Encuesta'!AM108="",IFERROR(VALUE(LEFT('Base Encuesta'!K108,1)),"")&gt;=3),"",VALUE(LEFT('Base Encuesta'!AM108,1)))</f>
        <v/>
      </c>
      <c r="AE134" t="str">
        <f>IF(OR('Base Encuesta'!AN108="",IFERROR(VALUE(LEFT('Base Encuesta'!K108,1)),"")&gt;=3),"",VALUE(LEFT('Base Encuesta'!AN108,1)))</f>
        <v/>
      </c>
      <c r="AF134" t="str">
        <f>IF(OR('Base Encuesta'!AO108="",IFERROR(VALUE(LEFT('Base Encuesta'!K108,1)),"")&gt;=3),"",VALUE(LEFT('Base Encuesta'!AO108,1)))</f>
        <v/>
      </c>
      <c r="AG134" t="str">
        <f>IF(OR('Base Encuesta'!AQ108="",IFERROR(VALUE(LEFT('Base Encuesta'!K108,1)),"")&gt;=3),"",VALUE(LEFT('Base Encuesta'!AQ108,1)))</f>
        <v/>
      </c>
      <c r="AH134" t="str">
        <f>IF(OR('Base Encuesta'!AR108="",IFERROR(VALUE(LEFT('Base Encuesta'!K108,1)),"")&gt;=3),"",VALUE(LEFT('Base Encuesta'!AR108,1)))</f>
        <v/>
      </c>
    </row>
    <row r="135" spans="1:34">
      <c r="A135" t="str">
        <f>IF('Base Encuesta'!C109="","",'Base Encuesta'!C109)</f>
        <v/>
      </c>
      <c r="B135" t="str">
        <f>IF('Base Encuesta'!D109="","",'Base Encuesta'!D109)</f>
        <v/>
      </c>
      <c r="C135" t="str">
        <f>IF('Base Encuesta'!E109="","",'Base Encuesta'!E109)</f>
        <v/>
      </c>
      <c r="D135" t="str">
        <f>IF('Base Encuesta'!F109="","",'Base Encuesta'!F109)</f>
        <v/>
      </c>
      <c r="E135" t="str">
        <f>IF('Base Encuesta'!G109="","",'Base Encuesta'!G109)</f>
        <v/>
      </c>
      <c r="F135" t="str">
        <f>IF('Base Encuesta'!H109="","",'Base Encuesta'!H109)</f>
        <v/>
      </c>
      <c r="G135" t="str">
        <f>IF('Base Encuesta'!I109="","",'Base Encuesta'!I109)</f>
        <v/>
      </c>
      <c r="H135" t="str">
        <f>IF('Base Encuesta'!J109="","",'Base Encuesta'!J109)</f>
        <v/>
      </c>
      <c r="I135" t="str">
        <f>IF('Base Encuesta'!K109="","",'Base Encuesta'!K109)</f>
        <v/>
      </c>
      <c r="J135" t="str">
        <f>IF(OR('Base Encuesta'!P109="",IFERROR(VALUE(LEFT('Base Encuesta'!K109,1)),"")&gt;=3),"",PROPER(TRIM('Base Encuesta'!P109)))</f>
        <v/>
      </c>
      <c r="K135" t="str">
        <f>IF(OR('Base Encuesta'!Q109="",IFERROR(VALUE(LEFT('Base Encuesta'!K109,1)),"")&gt;=3),"",'Base Encuesta'!Q109)</f>
        <v/>
      </c>
      <c r="L135" t="str">
        <f>IF(OR('Base Encuesta'!R109="",IFERROR(VALUE(LEFT('Base Encuesta'!K109,1)),"")&gt;=3),"",VALUE(LEFT('Base Encuesta'!R109,1)))</f>
        <v/>
      </c>
      <c r="M135" t="str">
        <f>IF(OR('Base Encuesta'!S109="",IFERROR(VALUE(LEFT('Base Encuesta'!K109,1)),"")&gt;=3),"",VALUE(LEFT('Base Encuesta'!S109,1)))</f>
        <v/>
      </c>
      <c r="N135" t="str">
        <f>IF(OR('Base Encuesta'!T109="",IFERROR(VALUE(LEFT('Base Encuesta'!K109,1)),"")&gt;=3),"",VALUE(LEFT('Base Encuesta'!T109,1)))</f>
        <v/>
      </c>
      <c r="O135" t="str">
        <f>IF(OR('Base Encuesta'!V109="",IFERROR(VALUE(LEFT('Base Encuesta'!K109,1)),"")&gt;=3),"",VALUE(LEFT('Base Encuesta'!V109,1)))</f>
        <v/>
      </c>
      <c r="P135" t="str">
        <f>IF(OR('Base Encuesta'!W109="",IFERROR(VALUE(LEFT('Base Encuesta'!K109,1)),"")&gt;=3),"",VALUE(LEFT('Base Encuesta'!W109,1)))</f>
        <v/>
      </c>
      <c r="Q135" t="str">
        <f>IF(OR('Base Encuesta'!X109="",IFERROR(VALUE(LEFT('Base Encuesta'!K109,1)),"")&gt;=3),"",VALUE(LEFT('Base Encuesta'!X109,1)))</f>
        <v/>
      </c>
      <c r="R135" t="str">
        <f>IF(OR('Base Encuesta'!Y109="",IFERROR(VALUE(LEFT('Base Encuesta'!K109,1)),"")&gt;=3),"",VALUE(LEFT('Base Encuesta'!Y109,1)))</f>
        <v/>
      </c>
      <c r="S135" t="str">
        <f>IF(OR('Base Encuesta'!Z109="",IFERROR(VALUE(LEFT('Base Encuesta'!K109,1)),"")&gt;=3),"",VALUE(LEFT('Base Encuesta'!Z109,1)))</f>
        <v/>
      </c>
      <c r="T135" t="str">
        <f>IF(OR('Base Encuesta'!AA109="",IFERROR(VALUE(LEFT('Base Encuesta'!K109,1)),"")&gt;=3),"",VALUE(LEFT('Base Encuesta'!AA109,1)))</f>
        <v/>
      </c>
      <c r="U135" t="str">
        <f>IF(OR('Base Encuesta'!AB109="",IFERROR(VALUE(LEFT('Base Encuesta'!K109,1)),"")&gt;=3),"",VALUE(LEFT('Base Encuesta'!AB109,1)))</f>
        <v/>
      </c>
      <c r="V135" t="str">
        <f>IF(OR('Base Encuesta'!AC109="",IFERROR(VALUE(LEFT('Base Encuesta'!K109,1)),"")&gt;=3),"",VALUE(LEFT('Base Encuesta'!AC109,1)))</f>
        <v/>
      </c>
      <c r="W135" t="str">
        <f>IF(OR('Base Encuesta'!AE109="",IFERROR(VALUE(LEFT('Base Encuesta'!K109,1)),"")&gt;=3),"",VALUE(LEFT('Base Encuesta'!AE109,1)))</f>
        <v/>
      </c>
      <c r="X135" t="str">
        <f>IF(OR('Base Encuesta'!AF109="",IFERROR(VALUE(LEFT('Base Encuesta'!K109,1)),"")&gt;=3),"",IF(W135=1,VALUE(LEFT('Base Encuesta'!AF109,1)),""))</f>
        <v/>
      </c>
      <c r="Y135" t="str">
        <f>IF(OR('Base Encuesta'!AG109="",IFERROR(VALUE(LEFT('Base Encuesta'!K109,1)),"")&gt;=3),"",IF(W135=1,VALUE(LEFT('Base Encuesta'!AG109,1)),""))</f>
        <v/>
      </c>
      <c r="Z135" t="str">
        <f>IF(OR('Base Encuesta'!AH109="",IFERROR(VALUE(LEFT('Base Encuesta'!K109,1)),"")&gt;=3),"",IF(W135=1,VALUE(LEFT('Base Encuesta'!AH109,1)),""))</f>
        <v/>
      </c>
      <c r="AA135" t="str">
        <f>IF(OR('Base Encuesta'!AI109="",IFERROR(VALUE(LEFT('Base Encuesta'!K109,1)),"")&gt;=3),"",IF(W135=1,VALUE(LEFT('Base Encuesta'!AI109,1)),""))</f>
        <v/>
      </c>
      <c r="AB135" t="str">
        <f>IF(OR('Base Encuesta'!AJ109="",IFERROR(VALUE(LEFT('Base Encuesta'!K109,1)),"")&gt;=3),"",IF(W135=1,VALUE(LEFT('Base Encuesta'!AJ109,1)),""))</f>
        <v/>
      </c>
      <c r="AC135" t="str">
        <f>IF(OR('Base Encuesta'!AL109="",IFERROR(VALUE(LEFT('Base Encuesta'!K109,1)),"")&gt;=3),"",VALUE(LEFT('Base Encuesta'!AL109,1)))</f>
        <v/>
      </c>
      <c r="AD135" t="str">
        <f>IF(OR('Base Encuesta'!AM109="",IFERROR(VALUE(LEFT('Base Encuesta'!K109,1)),"")&gt;=3),"",VALUE(LEFT('Base Encuesta'!AM109,1)))</f>
        <v/>
      </c>
      <c r="AE135" t="str">
        <f>IF(OR('Base Encuesta'!AN109="",IFERROR(VALUE(LEFT('Base Encuesta'!K109,1)),"")&gt;=3),"",VALUE(LEFT('Base Encuesta'!AN109,1)))</f>
        <v/>
      </c>
      <c r="AF135" t="str">
        <f>IF(OR('Base Encuesta'!AO109="",IFERROR(VALUE(LEFT('Base Encuesta'!K109,1)),"")&gt;=3),"",VALUE(LEFT('Base Encuesta'!AO109,1)))</f>
        <v/>
      </c>
      <c r="AG135" t="str">
        <f>IF(OR('Base Encuesta'!AQ109="",IFERROR(VALUE(LEFT('Base Encuesta'!K109,1)),"")&gt;=3),"",VALUE(LEFT('Base Encuesta'!AQ109,1)))</f>
        <v/>
      </c>
      <c r="AH135" t="str">
        <f>IF(OR('Base Encuesta'!AR109="",IFERROR(VALUE(LEFT('Base Encuesta'!K109,1)),"")&gt;=3),"",VALUE(LEFT('Base Encuesta'!AR109,1)))</f>
        <v/>
      </c>
    </row>
    <row r="136" spans="1:34">
      <c r="A136" t="str">
        <f>IF('Base Encuesta'!C110="","",'Base Encuesta'!C110)</f>
        <v/>
      </c>
      <c r="B136" t="str">
        <f>IF('Base Encuesta'!D110="","",'Base Encuesta'!D110)</f>
        <v/>
      </c>
      <c r="C136" t="str">
        <f>IF('Base Encuesta'!E110="","",'Base Encuesta'!E110)</f>
        <v/>
      </c>
      <c r="D136" t="str">
        <f>IF('Base Encuesta'!F110="","",'Base Encuesta'!F110)</f>
        <v/>
      </c>
      <c r="E136" t="str">
        <f>IF('Base Encuesta'!G110="","",'Base Encuesta'!G110)</f>
        <v/>
      </c>
      <c r="F136" t="str">
        <f>IF('Base Encuesta'!H110="","",'Base Encuesta'!H110)</f>
        <v/>
      </c>
      <c r="G136" t="str">
        <f>IF('Base Encuesta'!I110="","",'Base Encuesta'!I110)</f>
        <v/>
      </c>
      <c r="H136" t="str">
        <f>IF('Base Encuesta'!J110="","",'Base Encuesta'!J110)</f>
        <v/>
      </c>
      <c r="I136" t="str">
        <f>IF('Base Encuesta'!K110="","",'Base Encuesta'!K110)</f>
        <v/>
      </c>
      <c r="J136" t="str">
        <f>IF(OR('Base Encuesta'!P110="",IFERROR(VALUE(LEFT('Base Encuesta'!K110,1)),"")&gt;=3),"",PROPER(TRIM('Base Encuesta'!P110)))</f>
        <v/>
      </c>
      <c r="K136" t="str">
        <f>IF(OR('Base Encuesta'!Q110="",IFERROR(VALUE(LEFT('Base Encuesta'!K110,1)),"")&gt;=3),"",'Base Encuesta'!Q110)</f>
        <v/>
      </c>
      <c r="L136" t="str">
        <f>IF(OR('Base Encuesta'!R110="",IFERROR(VALUE(LEFT('Base Encuesta'!K110,1)),"")&gt;=3),"",VALUE(LEFT('Base Encuesta'!R110,1)))</f>
        <v/>
      </c>
      <c r="M136" t="str">
        <f>IF(OR('Base Encuesta'!S110="",IFERROR(VALUE(LEFT('Base Encuesta'!K110,1)),"")&gt;=3),"",VALUE(LEFT('Base Encuesta'!S110,1)))</f>
        <v/>
      </c>
      <c r="N136" t="str">
        <f>IF(OR('Base Encuesta'!T110="",IFERROR(VALUE(LEFT('Base Encuesta'!K110,1)),"")&gt;=3),"",VALUE(LEFT('Base Encuesta'!T110,1)))</f>
        <v/>
      </c>
      <c r="O136" t="str">
        <f>IF(OR('Base Encuesta'!V110="",IFERROR(VALUE(LEFT('Base Encuesta'!K110,1)),"")&gt;=3),"",VALUE(LEFT('Base Encuesta'!V110,1)))</f>
        <v/>
      </c>
      <c r="P136" t="str">
        <f>IF(OR('Base Encuesta'!W110="",IFERROR(VALUE(LEFT('Base Encuesta'!K110,1)),"")&gt;=3),"",VALUE(LEFT('Base Encuesta'!W110,1)))</f>
        <v/>
      </c>
      <c r="Q136" t="str">
        <f>IF(OR('Base Encuesta'!X110="",IFERROR(VALUE(LEFT('Base Encuesta'!K110,1)),"")&gt;=3),"",VALUE(LEFT('Base Encuesta'!X110,1)))</f>
        <v/>
      </c>
      <c r="R136" t="str">
        <f>IF(OR('Base Encuesta'!Y110="",IFERROR(VALUE(LEFT('Base Encuesta'!K110,1)),"")&gt;=3),"",VALUE(LEFT('Base Encuesta'!Y110,1)))</f>
        <v/>
      </c>
      <c r="S136" t="str">
        <f>IF(OR('Base Encuesta'!Z110="",IFERROR(VALUE(LEFT('Base Encuesta'!K110,1)),"")&gt;=3),"",VALUE(LEFT('Base Encuesta'!Z110,1)))</f>
        <v/>
      </c>
      <c r="T136" t="str">
        <f>IF(OR('Base Encuesta'!AA110="",IFERROR(VALUE(LEFT('Base Encuesta'!K110,1)),"")&gt;=3),"",VALUE(LEFT('Base Encuesta'!AA110,1)))</f>
        <v/>
      </c>
      <c r="U136" t="str">
        <f>IF(OR('Base Encuesta'!AB110="",IFERROR(VALUE(LEFT('Base Encuesta'!K110,1)),"")&gt;=3),"",VALUE(LEFT('Base Encuesta'!AB110,1)))</f>
        <v/>
      </c>
      <c r="V136" t="str">
        <f>IF(OR('Base Encuesta'!AC110="",IFERROR(VALUE(LEFT('Base Encuesta'!K110,1)),"")&gt;=3),"",VALUE(LEFT('Base Encuesta'!AC110,1)))</f>
        <v/>
      </c>
      <c r="W136" t="str">
        <f>IF(OR('Base Encuesta'!AE110="",IFERROR(VALUE(LEFT('Base Encuesta'!K110,1)),"")&gt;=3),"",VALUE(LEFT('Base Encuesta'!AE110,1)))</f>
        <v/>
      </c>
      <c r="X136" t="str">
        <f>IF(OR('Base Encuesta'!AF110="",IFERROR(VALUE(LEFT('Base Encuesta'!K110,1)),"")&gt;=3),"",IF(W136=1,VALUE(LEFT('Base Encuesta'!AF110,1)),""))</f>
        <v/>
      </c>
      <c r="Y136" t="str">
        <f>IF(OR('Base Encuesta'!AG110="",IFERROR(VALUE(LEFT('Base Encuesta'!K110,1)),"")&gt;=3),"",IF(W136=1,VALUE(LEFT('Base Encuesta'!AG110,1)),""))</f>
        <v/>
      </c>
      <c r="Z136" t="str">
        <f>IF(OR('Base Encuesta'!AH110="",IFERROR(VALUE(LEFT('Base Encuesta'!K110,1)),"")&gt;=3),"",IF(W136=1,VALUE(LEFT('Base Encuesta'!AH110,1)),""))</f>
        <v/>
      </c>
      <c r="AA136" t="str">
        <f>IF(OR('Base Encuesta'!AI110="",IFERROR(VALUE(LEFT('Base Encuesta'!K110,1)),"")&gt;=3),"",IF(W136=1,VALUE(LEFT('Base Encuesta'!AI110,1)),""))</f>
        <v/>
      </c>
      <c r="AB136" t="str">
        <f>IF(OR('Base Encuesta'!AJ110="",IFERROR(VALUE(LEFT('Base Encuesta'!K110,1)),"")&gt;=3),"",IF(W136=1,VALUE(LEFT('Base Encuesta'!AJ110,1)),""))</f>
        <v/>
      </c>
      <c r="AC136" t="str">
        <f>IF(OR('Base Encuesta'!AL110="",IFERROR(VALUE(LEFT('Base Encuesta'!K110,1)),"")&gt;=3),"",VALUE(LEFT('Base Encuesta'!AL110,1)))</f>
        <v/>
      </c>
      <c r="AD136" t="str">
        <f>IF(OR('Base Encuesta'!AM110="",IFERROR(VALUE(LEFT('Base Encuesta'!K110,1)),"")&gt;=3),"",VALUE(LEFT('Base Encuesta'!AM110,1)))</f>
        <v/>
      </c>
      <c r="AE136" t="str">
        <f>IF(OR('Base Encuesta'!AN110="",IFERROR(VALUE(LEFT('Base Encuesta'!K110,1)),"")&gt;=3),"",VALUE(LEFT('Base Encuesta'!AN110,1)))</f>
        <v/>
      </c>
      <c r="AF136" t="str">
        <f>IF(OR('Base Encuesta'!AO110="",IFERROR(VALUE(LEFT('Base Encuesta'!K110,1)),"")&gt;=3),"",VALUE(LEFT('Base Encuesta'!AO110,1)))</f>
        <v/>
      </c>
      <c r="AG136" t="str">
        <f>IF(OR('Base Encuesta'!AQ110="",IFERROR(VALUE(LEFT('Base Encuesta'!K110,1)),"")&gt;=3),"",VALUE(LEFT('Base Encuesta'!AQ110,1)))</f>
        <v/>
      </c>
      <c r="AH136" t="str">
        <f>IF(OR('Base Encuesta'!AR110="",IFERROR(VALUE(LEFT('Base Encuesta'!K110,1)),"")&gt;=3),"",VALUE(LEFT('Base Encuesta'!AR110,1)))</f>
        <v/>
      </c>
    </row>
    <row r="137" spans="1:34">
      <c r="A137" t="str">
        <f>IF('Base Encuesta'!C111="","",'Base Encuesta'!C111)</f>
        <v/>
      </c>
      <c r="B137" t="str">
        <f>IF('Base Encuesta'!D111="","",'Base Encuesta'!D111)</f>
        <v/>
      </c>
      <c r="C137" t="str">
        <f>IF('Base Encuesta'!E111="","",'Base Encuesta'!E111)</f>
        <v/>
      </c>
      <c r="D137" t="str">
        <f>IF('Base Encuesta'!F111="","",'Base Encuesta'!F111)</f>
        <v/>
      </c>
      <c r="E137" t="str">
        <f>IF('Base Encuesta'!G111="","",'Base Encuesta'!G111)</f>
        <v/>
      </c>
      <c r="F137" t="str">
        <f>IF('Base Encuesta'!H111="","",'Base Encuesta'!H111)</f>
        <v/>
      </c>
      <c r="G137" t="str">
        <f>IF('Base Encuesta'!I111="","",'Base Encuesta'!I111)</f>
        <v/>
      </c>
      <c r="H137" t="str">
        <f>IF('Base Encuesta'!J111="","",'Base Encuesta'!J111)</f>
        <v/>
      </c>
      <c r="I137" t="str">
        <f>IF('Base Encuesta'!K111="","",'Base Encuesta'!K111)</f>
        <v/>
      </c>
      <c r="J137" t="str">
        <f>IF(OR('Base Encuesta'!P111="",IFERROR(VALUE(LEFT('Base Encuesta'!K111,1)),"")&gt;=3),"",PROPER(TRIM('Base Encuesta'!P111)))</f>
        <v/>
      </c>
      <c r="K137" t="str">
        <f>IF(OR('Base Encuesta'!Q111="",IFERROR(VALUE(LEFT('Base Encuesta'!K111,1)),"")&gt;=3),"",'Base Encuesta'!Q111)</f>
        <v/>
      </c>
      <c r="L137" t="str">
        <f>IF(OR('Base Encuesta'!R111="",IFERROR(VALUE(LEFT('Base Encuesta'!K111,1)),"")&gt;=3),"",VALUE(LEFT('Base Encuesta'!R111,1)))</f>
        <v/>
      </c>
      <c r="M137" t="str">
        <f>IF(OR('Base Encuesta'!S111="",IFERROR(VALUE(LEFT('Base Encuesta'!K111,1)),"")&gt;=3),"",VALUE(LEFT('Base Encuesta'!S111,1)))</f>
        <v/>
      </c>
      <c r="N137" t="str">
        <f>IF(OR('Base Encuesta'!T111="",IFERROR(VALUE(LEFT('Base Encuesta'!K111,1)),"")&gt;=3),"",VALUE(LEFT('Base Encuesta'!T111,1)))</f>
        <v/>
      </c>
      <c r="O137" t="str">
        <f>IF(OR('Base Encuesta'!V111="",IFERROR(VALUE(LEFT('Base Encuesta'!K111,1)),"")&gt;=3),"",VALUE(LEFT('Base Encuesta'!V111,1)))</f>
        <v/>
      </c>
      <c r="P137" t="str">
        <f>IF(OR('Base Encuesta'!W111="",IFERROR(VALUE(LEFT('Base Encuesta'!K111,1)),"")&gt;=3),"",VALUE(LEFT('Base Encuesta'!W111,1)))</f>
        <v/>
      </c>
      <c r="Q137" t="str">
        <f>IF(OR('Base Encuesta'!X111="",IFERROR(VALUE(LEFT('Base Encuesta'!K111,1)),"")&gt;=3),"",VALUE(LEFT('Base Encuesta'!X111,1)))</f>
        <v/>
      </c>
      <c r="R137" t="str">
        <f>IF(OR('Base Encuesta'!Y111="",IFERROR(VALUE(LEFT('Base Encuesta'!K111,1)),"")&gt;=3),"",VALUE(LEFT('Base Encuesta'!Y111,1)))</f>
        <v/>
      </c>
      <c r="S137" t="str">
        <f>IF(OR('Base Encuesta'!Z111="",IFERROR(VALUE(LEFT('Base Encuesta'!K111,1)),"")&gt;=3),"",VALUE(LEFT('Base Encuesta'!Z111,1)))</f>
        <v/>
      </c>
      <c r="T137" t="str">
        <f>IF(OR('Base Encuesta'!AA111="",IFERROR(VALUE(LEFT('Base Encuesta'!K111,1)),"")&gt;=3),"",VALUE(LEFT('Base Encuesta'!AA111,1)))</f>
        <v/>
      </c>
      <c r="U137" t="str">
        <f>IF(OR('Base Encuesta'!AB111="",IFERROR(VALUE(LEFT('Base Encuesta'!K111,1)),"")&gt;=3),"",VALUE(LEFT('Base Encuesta'!AB111,1)))</f>
        <v/>
      </c>
      <c r="V137" t="str">
        <f>IF(OR('Base Encuesta'!AC111="",IFERROR(VALUE(LEFT('Base Encuesta'!K111,1)),"")&gt;=3),"",VALUE(LEFT('Base Encuesta'!AC111,1)))</f>
        <v/>
      </c>
      <c r="W137" t="str">
        <f>IF(OR('Base Encuesta'!AE111="",IFERROR(VALUE(LEFT('Base Encuesta'!K111,1)),"")&gt;=3),"",VALUE(LEFT('Base Encuesta'!AE111,1)))</f>
        <v/>
      </c>
      <c r="X137" t="str">
        <f>IF(OR('Base Encuesta'!AF111="",IFERROR(VALUE(LEFT('Base Encuesta'!K111,1)),"")&gt;=3),"",IF(W137=1,VALUE(LEFT('Base Encuesta'!AF111,1)),""))</f>
        <v/>
      </c>
      <c r="Y137" t="str">
        <f>IF(OR('Base Encuesta'!AG111="",IFERROR(VALUE(LEFT('Base Encuesta'!K111,1)),"")&gt;=3),"",IF(W137=1,VALUE(LEFT('Base Encuesta'!AG111,1)),""))</f>
        <v/>
      </c>
      <c r="Z137" t="str">
        <f>IF(OR('Base Encuesta'!AH111="",IFERROR(VALUE(LEFT('Base Encuesta'!K111,1)),"")&gt;=3),"",IF(W137=1,VALUE(LEFT('Base Encuesta'!AH111,1)),""))</f>
        <v/>
      </c>
      <c r="AA137" t="str">
        <f>IF(OR('Base Encuesta'!AI111="",IFERROR(VALUE(LEFT('Base Encuesta'!K111,1)),"")&gt;=3),"",IF(W137=1,VALUE(LEFT('Base Encuesta'!AI111,1)),""))</f>
        <v/>
      </c>
      <c r="AB137" t="str">
        <f>IF(OR('Base Encuesta'!AJ111="",IFERROR(VALUE(LEFT('Base Encuesta'!K111,1)),"")&gt;=3),"",IF(W137=1,VALUE(LEFT('Base Encuesta'!AJ111,1)),""))</f>
        <v/>
      </c>
      <c r="AC137" t="str">
        <f>IF(OR('Base Encuesta'!AL111="",IFERROR(VALUE(LEFT('Base Encuesta'!K111,1)),"")&gt;=3),"",VALUE(LEFT('Base Encuesta'!AL111,1)))</f>
        <v/>
      </c>
      <c r="AD137" t="str">
        <f>IF(OR('Base Encuesta'!AM111="",IFERROR(VALUE(LEFT('Base Encuesta'!K111,1)),"")&gt;=3),"",VALUE(LEFT('Base Encuesta'!AM111,1)))</f>
        <v/>
      </c>
      <c r="AE137" t="str">
        <f>IF(OR('Base Encuesta'!AN111="",IFERROR(VALUE(LEFT('Base Encuesta'!K111,1)),"")&gt;=3),"",VALUE(LEFT('Base Encuesta'!AN111,1)))</f>
        <v/>
      </c>
      <c r="AF137" t="str">
        <f>IF(OR('Base Encuesta'!AO111="",IFERROR(VALUE(LEFT('Base Encuesta'!K111,1)),"")&gt;=3),"",VALUE(LEFT('Base Encuesta'!AO111,1)))</f>
        <v/>
      </c>
      <c r="AG137" t="str">
        <f>IF(OR('Base Encuesta'!AQ111="",IFERROR(VALUE(LEFT('Base Encuesta'!K111,1)),"")&gt;=3),"",VALUE(LEFT('Base Encuesta'!AQ111,1)))</f>
        <v/>
      </c>
      <c r="AH137" t="str">
        <f>IF(OR('Base Encuesta'!AR111="",IFERROR(VALUE(LEFT('Base Encuesta'!K111,1)),"")&gt;=3),"",VALUE(LEFT('Base Encuesta'!AR111,1)))</f>
        <v/>
      </c>
    </row>
    <row r="138" spans="1:34">
      <c r="A138" t="str">
        <f>IF('Base Encuesta'!C112="","",'Base Encuesta'!C112)</f>
        <v/>
      </c>
      <c r="B138" t="str">
        <f>IF('Base Encuesta'!D112="","",'Base Encuesta'!D112)</f>
        <v/>
      </c>
      <c r="C138" t="str">
        <f>IF('Base Encuesta'!E112="","",'Base Encuesta'!E112)</f>
        <v/>
      </c>
      <c r="D138" t="str">
        <f>IF('Base Encuesta'!F112="","",'Base Encuesta'!F112)</f>
        <v/>
      </c>
      <c r="E138" t="str">
        <f>IF('Base Encuesta'!G112="","",'Base Encuesta'!G112)</f>
        <v/>
      </c>
      <c r="F138" t="str">
        <f>IF('Base Encuesta'!H112="","",'Base Encuesta'!H112)</f>
        <v/>
      </c>
      <c r="G138" t="str">
        <f>IF('Base Encuesta'!I112="","",'Base Encuesta'!I112)</f>
        <v/>
      </c>
      <c r="H138" t="str">
        <f>IF('Base Encuesta'!J112="","",'Base Encuesta'!J112)</f>
        <v/>
      </c>
      <c r="I138" t="str">
        <f>IF('Base Encuesta'!K112="","",'Base Encuesta'!K112)</f>
        <v/>
      </c>
      <c r="J138" t="str">
        <f>IF(OR('Base Encuesta'!P112="",IFERROR(VALUE(LEFT('Base Encuesta'!K112,1)),"")&gt;=3),"",PROPER(TRIM('Base Encuesta'!P112)))</f>
        <v/>
      </c>
      <c r="K138" t="str">
        <f>IF(OR('Base Encuesta'!Q112="",IFERROR(VALUE(LEFT('Base Encuesta'!K112,1)),"")&gt;=3),"",'Base Encuesta'!Q112)</f>
        <v/>
      </c>
      <c r="L138" t="str">
        <f>IF(OR('Base Encuesta'!R112="",IFERROR(VALUE(LEFT('Base Encuesta'!K112,1)),"")&gt;=3),"",VALUE(LEFT('Base Encuesta'!R112,1)))</f>
        <v/>
      </c>
      <c r="M138" t="str">
        <f>IF(OR('Base Encuesta'!S112="",IFERROR(VALUE(LEFT('Base Encuesta'!K112,1)),"")&gt;=3),"",VALUE(LEFT('Base Encuesta'!S112,1)))</f>
        <v/>
      </c>
      <c r="N138" t="str">
        <f>IF(OR('Base Encuesta'!T112="",IFERROR(VALUE(LEFT('Base Encuesta'!K112,1)),"")&gt;=3),"",VALUE(LEFT('Base Encuesta'!T112,1)))</f>
        <v/>
      </c>
      <c r="O138" t="str">
        <f>IF(OR('Base Encuesta'!V112="",IFERROR(VALUE(LEFT('Base Encuesta'!K112,1)),"")&gt;=3),"",VALUE(LEFT('Base Encuesta'!V112,1)))</f>
        <v/>
      </c>
      <c r="P138" t="str">
        <f>IF(OR('Base Encuesta'!W112="",IFERROR(VALUE(LEFT('Base Encuesta'!K112,1)),"")&gt;=3),"",VALUE(LEFT('Base Encuesta'!W112,1)))</f>
        <v/>
      </c>
      <c r="Q138" t="str">
        <f>IF(OR('Base Encuesta'!X112="",IFERROR(VALUE(LEFT('Base Encuesta'!K112,1)),"")&gt;=3),"",VALUE(LEFT('Base Encuesta'!X112,1)))</f>
        <v/>
      </c>
      <c r="R138" t="str">
        <f>IF(OR('Base Encuesta'!Y112="",IFERROR(VALUE(LEFT('Base Encuesta'!K112,1)),"")&gt;=3),"",VALUE(LEFT('Base Encuesta'!Y112,1)))</f>
        <v/>
      </c>
      <c r="S138" t="str">
        <f>IF(OR('Base Encuesta'!Z112="",IFERROR(VALUE(LEFT('Base Encuesta'!K112,1)),"")&gt;=3),"",VALUE(LEFT('Base Encuesta'!Z112,1)))</f>
        <v/>
      </c>
      <c r="T138" t="str">
        <f>IF(OR('Base Encuesta'!AA112="",IFERROR(VALUE(LEFT('Base Encuesta'!K112,1)),"")&gt;=3),"",VALUE(LEFT('Base Encuesta'!AA112,1)))</f>
        <v/>
      </c>
      <c r="U138" t="str">
        <f>IF(OR('Base Encuesta'!AB112="",IFERROR(VALUE(LEFT('Base Encuesta'!K112,1)),"")&gt;=3),"",VALUE(LEFT('Base Encuesta'!AB112,1)))</f>
        <v/>
      </c>
      <c r="V138" t="str">
        <f>IF(OR('Base Encuesta'!AC112="",IFERROR(VALUE(LEFT('Base Encuesta'!K112,1)),"")&gt;=3),"",VALUE(LEFT('Base Encuesta'!AC112,1)))</f>
        <v/>
      </c>
      <c r="W138" t="str">
        <f>IF(OR('Base Encuesta'!AE112="",IFERROR(VALUE(LEFT('Base Encuesta'!K112,1)),"")&gt;=3),"",VALUE(LEFT('Base Encuesta'!AE112,1)))</f>
        <v/>
      </c>
      <c r="X138" t="str">
        <f>IF(OR('Base Encuesta'!AF112="",IFERROR(VALUE(LEFT('Base Encuesta'!K112,1)),"")&gt;=3),"",IF(W138=1,VALUE(LEFT('Base Encuesta'!AF112,1)),""))</f>
        <v/>
      </c>
      <c r="Y138" t="str">
        <f>IF(OR('Base Encuesta'!AG112="",IFERROR(VALUE(LEFT('Base Encuesta'!K112,1)),"")&gt;=3),"",IF(W138=1,VALUE(LEFT('Base Encuesta'!AG112,1)),""))</f>
        <v/>
      </c>
      <c r="Z138" t="str">
        <f>IF(OR('Base Encuesta'!AH112="",IFERROR(VALUE(LEFT('Base Encuesta'!K112,1)),"")&gt;=3),"",IF(W138=1,VALUE(LEFT('Base Encuesta'!AH112,1)),""))</f>
        <v/>
      </c>
      <c r="AA138" t="str">
        <f>IF(OR('Base Encuesta'!AI112="",IFERROR(VALUE(LEFT('Base Encuesta'!K112,1)),"")&gt;=3),"",IF(W138=1,VALUE(LEFT('Base Encuesta'!AI112,1)),""))</f>
        <v/>
      </c>
      <c r="AB138" t="str">
        <f>IF(OR('Base Encuesta'!AJ112="",IFERROR(VALUE(LEFT('Base Encuesta'!K112,1)),"")&gt;=3),"",IF(W138=1,VALUE(LEFT('Base Encuesta'!AJ112,1)),""))</f>
        <v/>
      </c>
      <c r="AC138" t="str">
        <f>IF(OR('Base Encuesta'!AL112="",IFERROR(VALUE(LEFT('Base Encuesta'!K112,1)),"")&gt;=3),"",VALUE(LEFT('Base Encuesta'!AL112,1)))</f>
        <v/>
      </c>
      <c r="AD138" t="str">
        <f>IF(OR('Base Encuesta'!AM112="",IFERROR(VALUE(LEFT('Base Encuesta'!K112,1)),"")&gt;=3),"",VALUE(LEFT('Base Encuesta'!AM112,1)))</f>
        <v/>
      </c>
      <c r="AE138" t="str">
        <f>IF(OR('Base Encuesta'!AN112="",IFERROR(VALUE(LEFT('Base Encuesta'!K112,1)),"")&gt;=3),"",VALUE(LEFT('Base Encuesta'!AN112,1)))</f>
        <v/>
      </c>
      <c r="AF138" t="str">
        <f>IF(OR('Base Encuesta'!AO112="",IFERROR(VALUE(LEFT('Base Encuesta'!K112,1)),"")&gt;=3),"",VALUE(LEFT('Base Encuesta'!AO112,1)))</f>
        <v/>
      </c>
      <c r="AG138" t="str">
        <f>IF(OR('Base Encuesta'!AQ112="",IFERROR(VALUE(LEFT('Base Encuesta'!K112,1)),"")&gt;=3),"",VALUE(LEFT('Base Encuesta'!AQ112,1)))</f>
        <v/>
      </c>
      <c r="AH138" t="str">
        <f>IF(OR('Base Encuesta'!AR112="",IFERROR(VALUE(LEFT('Base Encuesta'!K112,1)),"")&gt;=3),"",VALUE(LEFT('Base Encuesta'!AR112,1)))</f>
        <v/>
      </c>
    </row>
    <row r="139" spans="1:34">
      <c r="A139" t="str">
        <f>IF('Base Encuesta'!C113="","",'Base Encuesta'!C113)</f>
        <v/>
      </c>
      <c r="B139" t="str">
        <f>IF('Base Encuesta'!D113="","",'Base Encuesta'!D113)</f>
        <v/>
      </c>
      <c r="C139" t="str">
        <f>IF('Base Encuesta'!E113="","",'Base Encuesta'!E113)</f>
        <v/>
      </c>
      <c r="D139" t="str">
        <f>IF('Base Encuesta'!F113="","",'Base Encuesta'!F113)</f>
        <v/>
      </c>
      <c r="E139" t="str">
        <f>IF('Base Encuesta'!G113="","",'Base Encuesta'!G113)</f>
        <v/>
      </c>
      <c r="F139" t="str">
        <f>IF('Base Encuesta'!H113="","",'Base Encuesta'!H113)</f>
        <v/>
      </c>
      <c r="G139" t="str">
        <f>IF('Base Encuesta'!I113="","",'Base Encuesta'!I113)</f>
        <v/>
      </c>
      <c r="H139" t="str">
        <f>IF('Base Encuesta'!J113="","",'Base Encuesta'!J113)</f>
        <v/>
      </c>
      <c r="I139" t="str">
        <f>IF('Base Encuesta'!K113="","",'Base Encuesta'!K113)</f>
        <v/>
      </c>
      <c r="J139" t="str">
        <f>IF(OR('Base Encuesta'!P113="",IFERROR(VALUE(LEFT('Base Encuesta'!K113,1)),"")&gt;=3),"",PROPER(TRIM('Base Encuesta'!P113)))</f>
        <v/>
      </c>
      <c r="K139" t="str">
        <f>IF(OR('Base Encuesta'!Q113="",IFERROR(VALUE(LEFT('Base Encuesta'!K113,1)),"")&gt;=3),"",'Base Encuesta'!Q113)</f>
        <v/>
      </c>
      <c r="L139" t="str">
        <f>IF(OR('Base Encuesta'!R113="",IFERROR(VALUE(LEFT('Base Encuesta'!K113,1)),"")&gt;=3),"",VALUE(LEFT('Base Encuesta'!R113,1)))</f>
        <v/>
      </c>
      <c r="M139" t="str">
        <f>IF(OR('Base Encuesta'!S113="",IFERROR(VALUE(LEFT('Base Encuesta'!K113,1)),"")&gt;=3),"",VALUE(LEFT('Base Encuesta'!S113,1)))</f>
        <v/>
      </c>
      <c r="N139" t="str">
        <f>IF(OR('Base Encuesta'!T113="",IFERROR(VALUE(LEFT('Base Encuesta'!K113,1)),"")&gt;=3),"",VALUE(LEFT('Base Encuesta'!T113,1)))</f>
        <v/>
      </c>
      <c r="O139" t="str">
        <f>IF(OR('Base Encuesta'!V113="",IFERROR(VALUE(LEFT('Base Encuesta'!K113,1)),"")&gt;=3),"",VALUE(LEFT('Base Encuesta'!V113,1)))</f>
        <v/>
      </c>
      <c r="P139" t="str">
        <f>IF(OR('Base Encuesta'!W113="",IFERROR(VALUE(LEFT('Base Encuesta'!K113,1)),"")&gt;=3),"",VALUE(LEFT('Base Encuesta'!W113,1)))</f>
        <v/>
      </c>
      <c r="Q139" t="str">
        <f>IF(OR('Base Encuesta'!X113="",IFERROR(VALUE(LEFT('Base Encuesta'!K113,1)),"")&gt;=3),"",VALUE(LEFT('Base Encuesta'!X113,1)))</f>
        <v/>
      </c>
      <c r="R139" t="str">
        <f>IF(OR('Base Encuesta'!Y113="",IFERROR(VALUE(LEFT('Base Encuesta'!K113,1)),"")&gt;=3),"",VALUE(LEFT('Base Encuesta'!Y113,1)))</f>
        <v/>
      </c>
      <c r="S139" t="str">
        <f>IF(OR('Base Encuesta'!Z113="",IFERROR(VALUE(LEFT('Base Encuesta'!K113,1)),"")&gt;=3),"",VALUE(LEFT('Base Encuesta'!Z113,1)))</f>
        <v/>
      </c>
      <c r="T139" t="str">
        <f>IF(OR('Base Encuesta'!AA113="",IFERROR(VALUE(LEFT('Base Encuesta'!K113,1)),"")&gt;=3),"",VALUE(LEFT('Base Encuesta'!AA113,1)))</f>
        <v/>
      </c>
      <c r="U139" t="str">
        <f>IF(OR('Base Encuesta'!AB113="",IFERROR(VALUE(LEFT('Base Encuesta'!K113,1)),"")&gt;=3),"",VALUE(LEFT('Base Encuesta'!AB113,1)))</f>
        <v/>
      </c>
      <c r="V139" t="str">
        <f>IF(OR('Base Encuesta'!AC113="",IFERROR(VALUE(LEFT('Base Encuesta'!K113,1)),"")&gt;=3),"",VALUE(LEFT('Base Encuesta'!AC113,1)))</f>
        <v/>
      </c>
      <c r="W139" t="str">
        <f>IF(OR('Base Encuesta'!AE113="",IFERROR(VALUE(LEFT('Base Encuesta'!K113,1)),"")&gt;=3),"",VALUE(LEFT('Base Encuesta'!AE113,1)))</f>
        <v/>
      </c>
      <c r="X139" t="str">
        <f>IF(OR('Base Encuesta'!AF113="",IFERROR(VALUE(LEFT('Base Encuesta'!K113,1)),"")&gt;=3),"",IF(W139=1,VALUE(LEFT('Base Encuesta'!AF113,1)),""))</f>
        <v/>
      </c>
      <c r="Y139" t="str">
        <f>IF(OR('Base Encuesta'!AG113="",IFERROR(VALUE(LEFT('Base Encuesta'!K113,1)),"")&gt;=3),"",IF(W139=1,VALUE(LEFT('Base Encuesta'!AG113,1)),""))</f>
        <v/>
      </c>
      <c r="Z139" t="str">
        <f>IF(OR('Base Encuesta'!AH113="",IFERROR(VALUE(LEFT('Base Encuesta'!K113,1)),"")&gt;=3),"",IF(W139=1,VALUE(LEFT('Base Encuesta'!AH113,1)),""))</f>
        <v/>
      </c>
      <c r="AA139" t="str">
        <f>IF(OR('Base Encuesta'!AI113="",IFERROR(VALUE(LEFT('Base Encuesta'!K113,1)),"")&gt;=3),"",IF(W139=1,VALUE(LEFT('Base Encuesta'!AI113,1)),""))</f>
        <v/>
      </c>
      <c r="AB139" t="str">
        <f>IF(OR('Base Encuesta'!AJ113="",IFERROR(VALUE(LEFT('Base Encuesta'!K113,1)),"")&gt;=3),"",IF(W139=1,VALUE(LEFT('Base Encuesta'!AJ113,1)),""))</f>
        <v/>
      </c>
      <c r="AC139" t="str">
        <f>IF(OR('Base Encuesta'!AL113="",IFERROR(VALUE(LEFT('Base Encuesta'!K113,1)),"")&gt;=3),"",VALUE(LEFT('Base Encuesta'!AL113,1)))</f>
        <v/>
      </c>
      <c r="AD139" t="str">
        <f>IF(OR('Base Encuesta'!AM113="",IFERROR(VALUE(LEFT('Base Encuesta'!K113,1)),"")&gt;=3),"",VALUE(LEFT('Base Encuesta'!AM113,1)))</f>
        <v/>
      </c>
      <c r="AE139" t="str">
        <f>IF(OR('Base Encuesta'!AN113="",IFERROR(VALUE(LEFT('Base Encuesta'!K113,1)),"")&gt;=3),"",VALUE(LEFT('Base Encuesta'!AN113,1)))</f>
        <v/>
      </c>
      <c r="AF139" t="str">
        <f>IF(OR('Base Encuesta'!AO113="",IFERROR(VALUE(LEFT('Base Encuesta'!K113,1)),"")&gt;=3),"",VALUE(LEFT('Base Encuesta'!AO113,1)))</f>
        <v/>
      </c>
      <c r="AG139" t="str">
        <f>IF(OR('Base Encuesta'!AQ113="",IFERROR(VALUE(LEFT('Base Encuesta'!K113,1)),"")&gt;=3),"",VALUE(LEFT('Base Encuesta'!AQ113,1)))</f>
        <v/>
      </c>
      <c r="AH139" t="str">
        <f>IF(OR('Base Encuesta'!AR113="",IFERROR(VALUE(LEFT('Base Encuesta'!K113,1)),"")&gt;=3),"",VALUE(LEFT('Base Encuesta'!AR113,1)))</f>
        <v/>
      </c>
    </row>
    <row r="140" spans="1:34">
      <c r="A140" t="str">
        <f>IF('Base Encuesta'!C114="","",'Base Encuesta'!C114)</f>
        <v/>
      </c>
      <c r="B140" t="str">
        <f>IF('Base Encuesta'!D114="","",'Base Encuesta'!D114)</f>
        <v/>
      </c>
      <c r="C140" t="str">
        <f>IF('Base Encuesta'!E114="","",'Base Encuesta'!E114)</f>
        <v/>
      </c>
      <c r="D140" t="str">
        <f>IF('Base Encuesta'!F114="","",'Base Encuesta'!F114)</f>
        <v/>
      </c>
      <c r="E140" t="str">
        <f>IF('Base Encuesta'!G114="","",'Base Encuesta'!G114)</f>
        <v/>
      </c>
      <c r="F140" t="str">
        <f>IF('Base Encuesta'!H114="","",'Base Encuesta'!H114)</f>
        <v/>
      </c>
      <c r="G140" t="str">
        <f>IF('Base Encuesta'!I114="","",'Base Encuesta'!I114)</f>
        <v/>
      </c>
      <c r="H140" t="str">
        <f>IF('Base Encuesta'!J114="","",'Base Encuesta'!J114)</f>
        <v/>
      </c>
      <c r="I140" t="str">
        <f>IF('Base Encuesta'!K114="","",'Base Encuesta'!K114)</f>
        <v/>
      </c>
      <c r="J140" t="str">
        <f>IF(OR('Base Encuesta'!P114="",IFERROR(VALUE(LEFT('Base Encuesta'!K114,1)),"")&gt;=3),"",PROPER(TRIM('Base Encuesta'!P114)))</f>
        <v/>
      </c>
      <c r="K140" t="str">
        <f>IF(OR('Base Encuesta'!Q114="",IFERROR(VALUE(LEFT('Base Encuesta'!K114,1)),"")&gt;=3),"",'Base Encuesta'!Q114)</f>
        <v/>
      </c>
      <c r="L140" t="str">
        <f>IF(OR('Base Encuesta'!R114="",IFERROR(VALUE(LEFT('Base Encuesta'!K114,1)),"")&gt;=3),"",VALUE(LEFT('Base Encuesta'!R114,1)))</f>
        <v/>
      </c>
      <c r="M140" t="str">
        <f>IF(OR('Base Encuesta'!S114="",IFERROR(VALUE(LEFT('Base Encuesta'!K114,1)),"")&gt;=3),"",VALUE(LEFT('Base Encuesta'!S114,1)))</f>
        <v/>
      </c>
      <c r="N140" t="str">
        <f>IF(OR('Base Encuesta'!T114="",IFERROR(VALUE(LEFT('Base Encuesta'!K114,1)),"")&gt;=3),"",VALUE(LEFT('Base Encuesta'!T114,1)))</f>
        <v/>
      </c>
      <c r="O140" t="str">
        <f>IF(OR('Base Encuesta'!V114="",IFERROR(VALUE(LEFT('Base Encuesta'!K114,1)),"")&gt;=3),"",VALUE(LEFT('Base Encuesta'!V114,1)))</f>
        <v/>
      </c>
      <c r="P140" t="str">
        <f>IF(OR('Base Encuesta'!W114="",IFERROR(VALUE(LEFT('Base Encuesta'!K114,1)),"")&gt;=3),"",VALUE(LEFT('Base Encuesta'!W114,1)))</f>
        <v/>
      </c>
      <c r="Q140" t="str">
        <f>IF(OR('Base Encuesta'!X114="",IFERROR(VALUE(LEFT('Base Encuesta'!K114,1)),"")&gt;=3),"",VALUE(LEFT('Base Encuesta'!X114,1)))</f>
        <v/>
      </c>
      <c r="R140" t="str">
        <f>IF(OR('Base Encuesta'!Y114="",IFERROR(VALUE(LEFT('Base Encuesta'!K114,1)),"")&gt;=3),"",VALUE(LEFT('Base Encuesta'!Y114,1)))</f>
        <v/>
      </c>
      <c r="S140" t="str">
        <f>IF(OR('Base Encuesta'!Z114="",IFERROR(VALUE(LEFT('Base Encuesta'!K114,1)),"")&gt;=3),"",VALUE(LEFT('Base Encuesta'!Z114,1)))</f>
        <v/>
      </c>
      <c r="T140" t="str">
        <f>IF(OR('Base Encuesta'!AA114="",IFERROR(VALUE(LEFT('Base Encuesta'!K114,1)),"")&gt;=3),"",VALUE(LEFT('Base Encuesta'!AA114,1)))</f>
        <v/>
      </c>
      <c r="U140" t="str">
        <f>IF(OR('Base Encuesta'!AB114="",IFERROR(VALUE(LEFT('Base Encuesta'!K114,1)),"")&gt;=3),"",VALUE(LEFT('Base Encuesta'!AB114,1)))</f>
        <v/>
      </c>
      <c r="V140" t="str">
        <f>IF(OR('Base Encuesta'!AC114="",IFERROR(VALUE(LEFT('Base Encuesta'!K114,1)),"")&gt;=3),"",VALUE(LEFT('Base Encuesta'!AC114,1)))</f>
        <v/>
      </c>
      <c r="W140" t="str">
        <f>IF(OR('Base Encuesta'!AE114="",IFERROR(VALUE(LEFT('Base Encuesta'!K114,1)),"")&gt;=3),"",VALUE(LEFT('Base Encuesta'!AE114,1)))</f>
        <v/>
      </c>
      <c r="X140" t="str">
        <f>IF(OR('Base Encuesta'!AF114="",IFERROR(VALUE(LEFT('Base Encuesta'!K114,1)),"")&gt;=3),"",IF(W140=1,VALUE(LEFT('Base Encuesta'!AF114,1)),""))</f>
        <v/>
      </c>
      <c r="Y140" t="str">
        <f>IF(OR('Base Encuesta'!AG114="",IFERROR(VALUE(LEFT('Base Encuesta'!K114,1)),"")&gt;=3),"",IF(W140=1,VALUE(LEFT('Base Encuesta'!AG114,1)),""))</f>
        <v/>
      </c>
      <c r="Z140" t="str">
        <f>IF(OR('Base Encuesta'!AH114="",IFERROR(VALUE(LEFT('Base Encuesta'!K114,1)),"")&gt;=3),"",IF(W140=1,VALUE(LEFT('Base Encuesta'!AH114,1)),""))</f>
        <v/>
      </c>
      <c r="AA140" t="str">
        <f>IF(OR('Base Encuesta'!AI114="",IFERROR(VALUE(LEFT('Base Encuesta'!K114,1)),"")&gt;=3),"",IF(W140=1,VALUE(LEFT('Base Encuesta'!AI114,1)),""))</f>
        <v/>
      </c>
      <c r="AB140" t="str">
        <f>IF(OR('Base Encuesta'!AJ114="",IFERROR(VALUE(LEFT('Base Encuesta'!K114,1)),"")&gt;=3),"",IF(W140=1,VALUE(LEFT('Base Encuesta'!AJ114,1)),""))</f>
        <v/>
      </c>
      <c r="AC140" t="str">
        <f>IF(OR('Base Encuesta'!AL114="",IFERROR(VALUE(LEFT('Base Encuesta'!K114,1)),"")&gt;=3),"",VALUE(LEFT('Base Encuesta'!AL114,1)))</f>
        <v/>
      </c>
      <c r="AD140" t="str">
        <f>IF(OR('Base Encuesta'!AM114="",IFERROR(VALUE(LEFT('Base Encuesta'!K114,1)),"")&gt;=3),"",VALUE(LEFT('Base Encuesta'!AM114,1)))</f>
        <v/>
      </c>
      <c r="AE140" t="str">
        <f>IF(OR('Base Encuesta'!AN114="",IFERROR(VALUE(LEFT('Base Encuesta'!K114,1)),"")&gt;=3),"",VALUE(LEFT('Base Encuesta'!AN114,1)))</f>
        <v/>
      </c>
      <c r="AF140" t="str">
        <f>IF(OR('Base Encuesta'!AO114="",IFERROR(VALUE(LEFT('Base Encuesta'!K114,1)),"")&gt;=3),"",VALUE(LEFT('Base Encuesta'!AO114,1)))</f>
        <v/>
      </c>
      <c r="AG140" t="str">
        <f>IF(OR('Base Encuesta'!AQ114="",IFERROR(VALUE(LEFT('Base Encuesta'!K114,1)),"")&gt;=3),"",VALUE(LEFT('Base Encuesta'!AQ114,1)))</f>
        <v/>
      </c>
      <c r="AH140" t="str">
        <f>IF(OR('Base Encuesta'!AR114="",IFERROR(VALUE(LEFT('Base Encuesta'!K114,1)),"")&gt;=3),"",VALUE(LEFT('Base Encuesta'!AR114,1)))</f>
        <v/>
      </c>
    </row>
    <row r="141" spans="1:34">
      <c r="A141" t="str">
        <f>IF('Base Encuesta'!C115="","",'Base Encuesta'!C115)</f>
        <v/>
      </c>
      <c r="B141" t="str">
        <f>IF('Base Encuesta'!D115="","",'Base Encuesta'!D115)</f>
        <v/>
      </c>
      <c r="C141" t="str">
        <f>IF('Base Encuesta'!E115="","",'Base Encuesta'!E115)</f>
        <v/>
      </c>
      <c r="D141" t="str">
        <f>IF('Base Encuesta'!F115="","",'Base Encuesta'!F115)</f>
        <v/>
      </c>
      <c r="E141" t="str">
        <f>IF('Base Encuesta'!G115="","",'Base Encuesta'!G115)</f>
        <v/>
      </c>
      <c r="F141" t="str">
        <f>IF('Base Encuesta'!H115="","",'Base Encuesta'!H115)</f>
        <v/>
      </c>
      <c r="G141" t="str">
        <f>IF('Base Encuesta'!I115="","",'Base Encuesta'!I115)</f>
        <v/>
      </c>
      <c r="H141" t="str">
        <f>IF('Base Encuesta'!J115="","",'Base Encuesta'!J115)</f>
        <v/>
      </c>
      <c r="I141" t="str">
        <f>IF('Base Encuesta'!K115="","",'Base Encuesta'!K115)</f>
        <v/>
      </c>
      <c r="J141" t="str">
        <f>IF(OR('Base Encuesta'!P115="",IFERROR(VALUE(LEFT('Base Encuesta'!K115,1)),"")&gt;=3),"",PROPER(TRIM('Base Encuesta'!P115)))</f>
        <v/>
      </c>
      <c r="K141" t="str">
        <f>IF(OR('Base Encuesta'!Q115="",IFERROR(VALUE(LEFT('Base Encuesta'!K115,1)),"")&gt;=3),"",'Base Encuesta'!Q115)</f>
        <v/>
      </c>
      <c r="L141" t="str">
        <f>IF(OR('Base Encuesta'!R115="",IFERROR(VALUE(LEFT('Base Encuesta'!K115,1)),"")&gt;=3),"",VALUE(LEFT('Base Encuesta'!R115,1)))</f>
        <v/>
      </c>
      <c r="M141" t="str">
        <f>IF(OR('Base Encuesta'!S115="",IFERROR(VALUE(LEFT('Base Encuesta'!K115,1)),"")&gt;=3),"",VALUE(LEFT('Base Encuesta'!S115,1)))</f>
        <v/>
      </c>
      <c r="N141" t="str">
        <f>IF(OR('Base Encuesta'!T115="",IFERROR(VALUE(LEFT('Base Encuesta'!K115,1)),"")&gt;=3),"",VALUE(LEFT('Base Encuesta'!T115,1)))</f>
        <v/>
      </c>
      <c r="O141" t="str">
        <f>IF(OR('Base Encuesta'!V115="",IFERROR(VALUE(LEFT('Base Encuesta'!K115,1)),"")&gt;=3),"",VALUE(LEFT('Base Encuesta'!V115,1)))</f>
        <v/>
      </c>
      <c r="P141" t="str">
        <f>IF(OR('Base Encuesta'!W115="",IFERROR(VALUE(LEFT('Base Encuesta'!K115,1)),"")&gt;=3),"",VALUE(LEFT('Base Encuesta'!W115,1)))</f>
        <v/>
      </c>
      <c r="Q141" t="str">
        <f>IF(OR('Base Encuesta'!X115="",IFERROR(VALUE(LEFT('Base Encuesta'!K115,1)),"")&gt;=3),"",VALUE(LEFT('Base Encuesta'!X115,1)))</f>
        <v/>
      </c>
      <c r="R141" t="str">
        <f>IF(OR('Base Encuesta'!Y115="",IFERROR(VALUE(LEFT('Base Encuesta'!K115,1)),"")&gt;=3),"",VALUE(LEFT('Base Encuesta'!Y115,1)))</f>
        <v/>
      </c>
      <c r="S141" t="str">
        <f>IF(OR('Base Encuesta'!Z115="",IFERROR(VALUE(LEFT('Base Encuesta'!K115,1)),"")&gt;=3),"",VALUE(LEFT('Base Encuesta'!Z115,1)))</f>
        <v/>
      </c>
      <c r="T141" t="str">
        <f>IF(OR('Base Encuesta'!AA115="",IFERROR(VALUE(LEFT('Base Encuesta'!K115,1)),"")&gt;=3),"",VALUE(LEFT('Base Encuesta'!AA115,1)))</f>
        <v/>
      </c>
      <c r="U141" t="str">
        <f>IF(OR('Base Encuesta'!AB115="",IFERROR(VALUE(LEFT('Base Encuesta'!K115,1)),"")&gt;=3),"",VALUE(LEFT('Base Encuesta'!AB115,1)))</f>
        <v/>
      </c>
      <c r="V141" t="str">
        <f>IF(OR('Base Encuesta'!AC115="",IFERROR(VALUE(LEFT('Base Encuesta'!K115,1)),"")&gt;=3),"",VALUE(LEFT('Base Encuesta'!AC115,1)))</f>
        <v/>
      </c>
      <c r="W141" t="str">
        <f>IF(OR('Base Encuesta'!AE115="",IFERROR(VALUE(LEFT('Base Encuesta'!K115,1)),"")&gt;=3),"",VALUE(LEFT('Base Encuesta'!AE115,1)))</f>
        <v/>
      </c>
      <c r="X141" t="str">
        <f>IF(OR('Base Encuesta'!AF115="",IFERROR(VALUE(LEFT('Base Encuesta'!K115,1)),"")&gt;=3),"",IF(W141=1,VALUE(LEFT('Base Encuesta'!AF115,1)),""))</f>
        <v/>
      </c>
      <c r="Y141" t="str">
        <f>IF(OR('Base Encuesta'!AG115="",IFERROR(VALUE(LEFT('Base Encuesta'!K115,1)),"")&gt;=3),"",IF(W141=1,VALUE(LEFT('Base Encuesta'!AG115,1)),""))</f>
        <v/>
      </c>
      <c r="Z141" t="str">
        <f>IF(OR('Base Encuesta'!AH115="",IFERROR(VALUE(LEFT('Base Encuesta'!K115,1)),"")&gt;=3),"",IF(W141=1,VALUE(LEFT('Base Encuesta'!AH115,1)),""))</f>
        <v/>
      </c>
      <c r="AA141" t="str">
        <f>IF(OR('Base Encuesta'!AI115="",IFERROR(VALUE(LEFT('Base Encuesta'!K115,1)),"")&gt;=3),"",IF(W141=1,VALUE(LEFT('Base Encuesta'!AI115,1)),""))</f>
        <v/>
      </c>
      <c r="AB141" t="str">
        <f>IF(OR('Base Encuesta'!AJ115="",IFERROR(VALUE(LEFT('Base Encuesta'!K115,1)),"")&gt;=3),"",IF(W141=1,VALUE(LEFT('Base Encuesta'!AJ115,1)),""))</f>
        <v/>
      </c>
      <c r="AC141" t="str">
        <f>IF(OR('Base Encuesta'!AL115="",IFERROR(VALUE(LEFT('Base Encuesta'!K115,1)),"")&gt;=3),"",VALUE(LEFT('Base Encuesta'!AL115,1)))</f>
        <v/>
      </c>
      <c r="AD141" t="str">
        <f>IF(OR('Base Encuesta'!AM115="",IFERROR(VALUE(LEFT('Base Encuesta'!K115,1)),"")&gt;=3),"",VALUE(LEFT('Base Encuesta'!AM115,1)))</f>
        <v/>
      </c>
      <c r="AE141" t="str">
        <f>IF(OR('Base Encuesta'!AN115="",IFERROR(VALUE(LEFT('Base Encuesta'!K115,1)),"")&gt;=3),"",VALUE(LEFT('Base Encuesta'!AN115,1)))</f>
        <v/>
      </c>
      <c r="AF141" t="str">
        <f>IF(OR('Base Encuesta'!AO115="",IFERROR(VALUE(LEFT('Base Encuesta'!K115,1)),"")&gt;=3),"",VALUE(LEFT('Base Encuesta'!AO115,1)))</f>
        <v/>
      </c>
      <c r="AG141" t="str">
        <f>IF(OR('Base Encuesta'!AQ115="",IFERROR(VALUE(LEFT('Base Encuesta'!K115,1)),"")&gt;=3),"",VALUE(LEFT('Base Encuesta'!AQ115,1)))</f>
        <v/>
      </c>
      <c r="AH141" t="str">
        <f>IF(OR('Base Encuesta'!AR115="",IFERROR(VALUE(LEFT('Base Encuesta'!K115,1)),"")&gt;=3),"",VALUE(LEFT('Base Encuesta'!AR115,1)))</f>
        <v/>
      </c>
    </row>
    <row r="142" spans="1:34">
      <c r="A142" t="str">
        <f>IF('Base Encuesta'!C116="","",'Base Encuesta'!C116)</f>
        <v/>
      </c>
      <c r="B142" t="str">
        <f>IF('Base Encuesta'!D116="","",'Base Encuesta'!D116)</f>
        <v/>
      </c>
      <c r="C142" t="str">
        <f>IF('Base Encuesta'!E116="","",'Base Encuesta'!E116)</f>
        <v/>
      </c>
      <c r="D142" t="str">
        <f>IF('Base Encuesta'!F116="","",'Base Encuesta'!F116)</f>
        <v/>
      </c>
      <c r="E142" t="str">
        <f>IF('Base Encuesta'!G116="","",'Base Encuesta'!G116)</f>
        <v/>
      </c>
      <c r="F142" t="str">
        <f>IF('Base Encuesta'!H116="","",'Base Encuesta'!H116)</f>
        <v/>
      </c>
      <c r="G142" t="str">
        <f>IF('Base Encuesta'!I116="","",'Base Encuesta'!I116)</f>
        <v/>
      </c>
      <c r="H142" t="str">
        <f>IF('Base Encuesta'!J116="","",'Base Encuesta'!J116)</f>
        <v/>
      </c>
      <c r="I142" t="str">
        <f>IF('Base Encuesta'!K116="","",'Base Encuesta'!K116)</f>
        <v/>
      </c>
      <c r="J142" t="str">
        <f>IF(OR('Base Encuesta'!P116="",IFERROR(VALUE(LEFT('Base Encuesta'!K116,1)),"")&gt;=3),"",PROPER(TRIM('Base Encuesta'!P116)))</f>
        <v/>
      </c>
      <c r="K142" t="str">
        <f>IF(OR('Base Encuesta'!Q116="",IFERROR(VALUE(LEFT('Base Encuesta'!K116,1)),"")&gt;=3),"",'Base Encuesta'!Q116)</f>
        <v/>
      </c>
      <c r="L142" t="str">
        <f>IF(OR('Base Encuesta'!R116="",IFERROR(VALUE(LEFT('Base Encuesta'!K116,1)),"")&gt;=3),"",VALUE(LEFT('Base Encuesta'!R116,1)))</f>
        <v/>
      </c>
      <c r="M142" t="str">
        <f>IF(OR('Base Encuesta'!S116="",IFERROR(VALUE(LEFT('Base Encuesta'!K116,1)),"")&gt;=3),"",VALUE(LEFT('Base Encuesta'!S116,1)))</f>
        <v/>
      </c>
      <c r="N142" t="str">
        <f>IF(OR('Base Encuesta'!T116="",IFERROR(VALUE(LEFT('Base Encuesta'!K116,1)),"")&gt;=3),"",VALUE(LEFT('Base Encuesta'!T116,1)))</f>
        <v/>
      </c>
      <c r="O142" t="str">
        <f>IF(OR('Base Encuesta'!V116="",IFERROR(VALUE(LEFT('Base Encuesta'!K116,1)),"")&gt;=3),"",VALUE(LEFT('Base Encuesta'!V116,1)))</f>
        <v/>
      </c>
      <c r="P142" t="str">
        <f>IF(OR('Base Encuesta'!W116="",IFERROR(VALUE(LEFT('Base Encuesta'!K116,1)),"")&gt;=3),"",VALUE(LEFT('Base Encuesta'!W116,1)))</f>
        <v/>
      </c>
      <c r="Q142" t="str">
        <f>IF(OR('Base Encuesta'!X116="",IFERROR(VALUE(LEFT('Base Encuesta'!K116,1)),"")&gt;=3),"",VALUE(LEFT('Base Encuesta'!X116,1)))</f>
        <v/>
      </c>
      <c r="R142" t="str">
        <f>IF(OR('Base Encuesta'!Y116="",IFERROR(VALUE(LEFT('Base Encuesta'!K116,1)),"")&gt;=3),"",VALUE(LEFT('Base Encuesta'!Y116,1)))</f>
        <v/>
      </c>
      <c r="S142" t="str">
        <f>IF(OR('Base Encuesta'!Z116="",IFERROR(VALUE(LEFT('Base Encuesta'!K116,1)),"")&gt;=3),"",VALUE(LEFT('Base Encuesta'!Z116,1)))</f>
        <v/>
      </c>
      <c r="T142" t="str">
        <f>IF(OR('Base Encuesta'!AA116="",IFERROR(VALUE(LEFT('Base Encuesta'!K116,1)),"")&gt;=3),"",VALUE(LEFT('Base Encuesta'!AA116,1)))</f>
        <v/>
      </c>
      <c r="U142" t="str">
        <f>IF(OR('Base Encuesta'!AB116="",IFERROR(VALUE(LEFT('Base Encuesta'!K116,1)),"")&gt;=3),"",VALUE(LEFT('Base Encuesta'!AB116,1)))</f>
        <v/>
      </c>
      <c r="V142" t="str">
        <f>IF(OR('Base Encuesta'!AC116="",IFERROR(VALUE(LEFT('Base Encuesta'!K116,1)),"")&gt;=3),"",VALUE(LEFT('Base Encuesta'!AC116,1)))</f>
        <v/>
      </c>
      <c r="W142" t="str">
        <f>IF(OR('Base Encuesta'!AE116="",IFERROR(VALUE(LEFT('Base Encuesta'!K116,1)),"")&gt;=3),"",VALUE(LEFT('Base Encuesta'!AE116,1)))</f>
        <v/>
      </c>
      <c r="X142" t="str">
        <f>IF(OR('Base Encuesta'!AF116="",IFERROR(VALUE(LEFT('Base Encuesta'!K116,1)),"")&gt;=3),"",IF(W142=1,VALUE(LEFT('Base Encuesta'!AF116,1)),""))</f>
        <v/>
      </c>
      <c r="Y142" t="str">
        <f>IF(OR('Base Encuesta'!AG116="",IFERROR(VALUE(LEFT('Base Encuesta'!K116,1)),"")&gt;=3),"",IF(W142=1,VALUE(LEFT('Base Encuesta'!AG116,1)),""))</f>
        <v/>
      </c>
      <c r="Z142" t="str">
        <f>IF(OR('Base Encuesta'!AH116="",IFERROR(VALUE(LEFT('Base Encuesta'!K116,1)),"")&gt;=3),"",IF(W142=1,VALUE(LEFT('Base Encuesta'!AH116,1)),""))</f>
        <v/>
      </c>
      <c r="AA142" t="str">
        <f>IF(OR('Base Encuesta'!AI116="",IFERROR(VALUE(LEFT('Base Encuesta'!K116,1)),"")&gt;=3),"",IF(W142=1,VALUE(LEFT('Base Encuesta'!AI116,1)),""))</f>
        <v/>
      </c>
      <c r="AB142" t="str">
        <f>IF(OR('Base Encuesta'!AJ116="",IFERROR(VALUE(LEFT('Base Encuesta'!K116,1)),"")&gt;=3),"",IF(W142=1,VALUE(LEFT('Base Encuesta'!AJ116,1)),""))</f>
        <v/>
      </c>
      <c r="AC142" t="str">
        <f>IF(OR('Base Encuesta'!AL116="",IFERROR(VALUE(LEFT('Base Encuesta'!K116,1)),"")&gt;=3),"",VALUE(LEFT('Base Encuesta'!AL116,1)))</f>
        <v/>
      </c>
      <c r="AD142" t="str">
        <f>IF(OR('Base Encuesta'!AM116="",IFERROR(VALUE(LEFT('Base Encuesta'!K116,1)),"")&gt;=3),"",VALUE(LEFT('Base Encuesta'!AM116,1)))</f>
        <v/>
      </c>
      <c r="AE142" t="str">
        <f>IF(OR('Base Encuesta'!AN116="",IFERROR(VALUE(LEFT('Base Encuesta'!K116,1)),"")&gt;=3),"",VALUE(LEFT('Base Encuesta'!AN116,1)))</f>
        <v/>
      </c>
      <c r="AF142" t="str">
        <f>IF(OR('Base Encuesta'!AO116="",IFERROR(VALUE(LEFT('Base Encuesta'!K116,1)),"")&gt;=3),"",VALUE(LEFT('Base Encuesta'!AO116,1)))</f>
        <v/>
      </c>
      <c r="AG142" t="str">
        <f>IF(OR('Base Encuesta'!AQ116="",IFERROR(VALUE(LEFT('Base Encuesta'!K116,1)),"")&gt;=3),"",VALUE(LEFT('Base Encuesta'!AQ116,1)))</f>
        <v/>
      </c>
      <c r="AH142" t="str">
        <f>IF(OR('Base Encuesta'!AR116="",IFERROR(VALUE(LEFT('Base Encuesta'!K116,1)),"")&gt;=3),"",VALUE(LEFT('Base Encuesta'!AR116,1)))</f>
        <v/>
      </c>
    </row>
    <row r="143" spans="1:34">
      <c r="A143" t="str">
        <f>IF('Base Encuesta'!C117="","",'Base Encuesta'!C117)</f>
        <v/>
      </c>
      <c r="B143" t="str">
        <f>IF('Base Encuesta'!D117="","",'Base Encuesta'!D117)</f>
        <v/>
      </c>
      <c r="C143" t="str">
        <f>IF('Base Encuesta'!E117="","",'Base Encuesta'!E117)</f>
        <v/>
      </c>
      <c r="D143" t="str">
        <f>IF('Base Encuesta'!F117="","",'Base Encuesta'!F117)</f>
        <v/>
      </c>
      <c r="E143" t="str">
        <f>IF('Base Encuesta'!G117="","",'Base Encuesta'!G117)</f>
        <v/>
      </c>
      <c r="F143" t="str">
        <f>IF('Base Encuesta'!H117="","",'Base Encuesta'!H117)</f>
        <v/>
      </c>
      <c r="G143" t="str">
        <f>IF('Base Encuesta'!I117="","",'Base Encuesta'!I117)</f>
        <v/>
      </c>
      <c r="H143" t="str">
        <f>IF('Base Encuesta'!J117="","",'Base Encuesta'!J117)</f>
        <v/>
      </c>
      <c r="I143" t="str">
        <f>IF('Base Encuesta'!K117="","",'Base Encuesta'!K117)</f>
        <v/>
      </c>
      <c r="J143" t="str">
        <f>IF(OR('Base Encuesta'!P117="",IFERROR(VALUE(LEFT('Base Encuesta'!K117,1)),"")&gt;=3),"",PROPER(TRIM('Base Encuesta'!P117)))</f>
        <v/>
      </c>
      <c r="K143" t="str">
        <f>IF(OR('Base Encuesta'!Q117="",IFERROR(VALUE(LEFT('Base Encuesta'!K117,1)),"")&gt;=3),"",'Base Encuesta'!Q117)</f>
        <v/>
      </c>
      <c r="L143" t="str">
        <f>IF(OR('Base Encuesta'!R117="",IFERROR(VALUE(LEFT('Base Encuesta'!K117,1)),"")&gt;=3),"",VALUE(LEFT('Base Encuesta'!R117,1)))</f>
        <v/>
      </c>
      <c r="M143" t="str">
        <f>IF(OR('Base Encuesta'!S117="",IFERROR(VALUE(LEFT('Base Encuesta'!K117,1)),"")&gt;=3),"",VALUE(LEFT('Base Encuesta'!S117,1)))</f>
        <v/>
      </c>
      <c r="N143" t="str">
        <f>IF(OR('Base Encuesta'!T117="",IFERROR(VALUE(LEFT('Base Encuesta'!K117,1)),"")&gt;=3),"",VALUE(LEFT('Base Encuesta'!T117,1)))</f>
        <v/>
      </c>
      <c r="O143" t="str">
        <f>IF(OR('Base Encuesta'!V117="",IFERROR(VALUE(LEFT('Base Encuesta'!K117,1)),"")&gt;=3),"",VALUE(LEFT('Base Encuesta'!V117,1)))</f>
        <v/>
      </c>
      <c r="P143" t="str">
        <f>IF(OR('Base Encuesta'!W117="",IFERROR(VALUE(LEFT('Base Encuesta'!K117,1)),"")&gt;=3),"",VALUE(LEFT('Base Encuesta'!W117,1)))</f>
        <v/>
      </c>
      <c r="Q143" t="str">
        <f>IF(OR('Base Encuesta'!X117="",IFERROR(VALUE(LEFT('Base Encuesta'!K117,1)),"")&gt;=3),"",VALUE(LEFT('Base Encuesta'!X117,1)))</f>
        <v/>
      </c>
      <c r="R143" t="str">
        <f>IF(OR('Base Encuesta'!Y117="",IFERROR(VALUE(LEFT('Base Encuesta'!K117,1)),"")&gt;=3),"",VALUE(LEFT('Base Encuesta'!Y117,1)))</f>
        <v/>
      </c>
      <c r="S143" t="str">
        <f>IF(OR('Base Encuesta'!Z117="",IFERROR(VALUE(LEFT('Base Encuesta'!K117,1)),"")&gt;=3),"",VALUE(LEFT('Base Encuesta'!Z117,1)))</f>
        <v/>
      </c>
      <c r="T143" t="str">
        <f>IF(OR('Base Encuesta'!AA117="",IFERROR(VALUE(LEFT('Base Encuesta'!K117,1)),"")&gt;=3),"",VALUE(LEFT('Base Encuesta'!AA117,1)))</f>
        <v/>
      </c>
      <c r="U143" t="str">
        <f>IF(OR('Base Encuesta'!AB117="",IFERROR(VALUE(LEFT('Base Encuesta'!K117,1)),"")&gt;=3),"",VALUE(LEFT('Base Encuesta'!AB117,1)))</f>
        <v/>
      </c>
      <c r="V143" t="str">
        <f>IF(OR('Base Encuesta'!AC117="",IFERROR(VALUE(LEFT('Base Encuesta'!K117,1)),"")&gt;=3),"",VALUE(LEFT('Base Encuesta'!AC117,1)))</f>
        <v/>
      </c>
      <c r="W143" t="str">
        <f>IF(OR('Base Encuesta'!AE117="",IFERROR(VALUE(LEFT('Base Encuesta'!K117,1)),"")&gt;=3),"",VALUE(LEFT('Base Encuesta'!AE117,1)))</f>
        <v/>
      </c>
      <c r="X143" t="str">
        <f>IF(OR('Base Encuesta'!AF117="",IFERROR(VALUE(LEFT('Base Encuesta'!K117,1)),"")&gt;=3),"",IF(W143=1,VALUE(LEFT('Base Encuesta'!AF117,1)),""))</f>
        <v/>
      </c>
      <c r="Y143" t="str">
        <f>IF(OR('Base Encuesta'!AG117="",IFERROR(VALUE(LEFT('Base Encuesta'!K117,1)),"")&gt;=3),"",IF(W143=1,VALUE(LEFT('Base Encuesta'!AG117,1)),""))</f>
        <v/>
      </c>
      <c r="Z143" t="str">
        <f>IF(OR('Base Encuesta'!AH117="",IFERROR(VALUE(LEFT('Base Encuesta'!K117,1)),"")&gt;=3),"",IF(W143=1,VALUE(LEFT('Base Encuesta'!AH117,1)),""))</f>
        <v/>
      </c>
      <c r="AA143" t="str">
        <f>IF(OR('Base Encuesta'!AI117="",IFERROR(VALUE(LEFT('Base Encuesta'!K117,1)),"")&gt;=3),"",IF(W143=1,VALUE(LEFT('Base Encuesta'!AI117,1)),""))</f>
        <v/>
      </c>
      <c r="AB143" t="str">
        <f>IF(OR('Base Encuesta'!AJ117="",IFERROR(VALUE(LEFT('Base Encuesta'!K117,1)),"")&gt;=3),"",IF(W143=1,VALUE(LEFT('Base Encuesta'!AJ117,1)),""))</f>
        <v/>
      </c>
      <c r="AC143" t="str">
        <f>IF(OR('Base Encuesta'!AL117="",IFERROR(VALUE(LEFT('Base Encuesta'!K117,1)),"")&gt;=3),"",VALUE(LEFT('Base Encuesta'!AL117,1)))</f>
        <v/>
      </c>
      <c r="AD143" t="str">
        <f>IF(OR('Base Encuesta'!AM117="",IFERROR(VALUE(LEFT('Base Encuesta'!K117,1)),"")&gt;=3),"",VALUE(LEFT('Base Encuesta'!AM117,1)))</f>
        <v/>
      </c>
      <c r="AE143" t="str">
        <f>IF(OR('Base Encuesta'!AN117="",IFERROR(VALUE(LEFT('Base Encuesta'!K117,1)),"")&gt;=3),"",VALUE(LEFT('Base Encuesta'!AN117,1)))</f>
        <v/>
      </c>
      <c r="AF143" t="str">
        <f>IF(OR('Base Encuesta'!AO117="",IFERROR(VALUE(LEFT('Base Encuesta'!K117,1)),"")&gt;=3),"",VALUE(LEFT('Base Encuesta'!AO117,1)))</f>
        <v/>
      </c>
      <c r="AG143" t="str">
        <f>IF(OR('Base Encuesta'!AQ117="",IFERROR(VALUE(LEFT('Base Encuesta'!K117,1)),"")&gt;=3),"",VALUE(LEFT('Base Encuesta'!AQ117,1)))</f>
        <v/>
      </c>
      <c r="AH143" t="str">
        <f>IF(OR('Base Encuesta'!AR117="",IFERROR(VALUE(LEFT('Base Encuesta'!K117,1)),"")&gt;=3),"",VALUE(LEFT('Base Encuesta'!AR117,1)))</f>
        <v/>
      </c>
    </row>
    <row r="144" spans="1:34">
      <c r="A144" t="str">
        <f>IF('Base Encuesta'!C118="","",'Base Encuesta'!C118)</f>
        <v/>
      </c>
      <c r="B144" t="str">
        <f>IF('Base Encuesta'!D118="","",'Base Encuesta'!D118)</f>
        <v/>
      </c>
      <c r="C144" t="str">
        <f>IF('Base Encuesta'!E118="","",'Base Encuesta'!E118)</f>
        <v/>
      </c>
      <c r="D144" t="str">
        <f>IF('Base Encuesta'!F118="","",'Base Encuesta'!F118)</f>
        <v/>
      </c>
      <c r="E144" t="str">
        <f>IF('Base Encuesta'!G118="","",'Base Encuesta'!G118)</f>
        <v/>
      </c>
      <c r="F144" t="str">
        <f>IF('Base Encuesta'!H118="","",'Base Encuesta'!H118)</f>
        <v/>
      </c>
      <c r="G144" t="str">
        <f>IF('Base Encuesta'!I118="","",'Base Encuesta'!I118)</f>
        <v/>
      </c>
      <c r="H144" t="str">
        <f>IF('Base Encuesta'!J118="","",'Base Encuesta'!J118)</f>
        <v/>
      </c>
      <c r="I144" t="str">
        <f>IF('Base Encuesta'!K118="","",'Base Encuesta'!K118)</f>
        <v/>
      </c>
      <c r="J144" t="str">
        <f>IF(OR('Base Encuesta'!P118="",IFERROR(VALUE(LEFT('Base Encuesta'!K118,1)),"")&gt;=3),"",PROPER(TRIM('Base Encuesta'!P118)))</f>
        <v/>
      </c>
      <c r="K144" t="str">
        <f>IF(OR('Base Encuesta'!Q118="",IFERROR(VALUE(LEFT('Base Encuesta'!K118,1)),"")&gt;=3),"",'Base Encuesta'!Q118)</f>
        <v/>
      </c>
      <c r="L144" t="str">
        <f>IF(OR('Base Encuesta'!R118="",IFERROR(VALUE(LEFT('Base Encuesta'!K118,1)),"")&gt;=3),"",VALUE(LEFT('Base Encuesta'!R118,1)))</f>
        <v/>
      </c>
      <c r="M144" t="str">
        <f>IF(OR('Base Encuesta'!S118="",IFERROR(VALUE(LEFT('Base Encuesta'!K118,1)),"")&gt;=3),"",VALUE(LEFT('Base Encuesta'!S118,1)))</f>
        <v/>
      </c>
      <c r="N144" t="str">
        <f>IF(OR('Base Encuesta'!T118="",IFERROR(VALUE(LEFT('Base Encuesta'!K118,1)),"")&gt;=3),"",VALUE(LEFT('Base Encuesta'!T118,1)))</f>
        <v/>
      </c>
      <c r="O144" t="str">
        <f>IF(OR('Base Encuesta'!V118="",IFERROR(VALUE(LEFT('Base Encuesta'!K118,1)),"")&gt;=3),"",VALUE(LEFT('Base Encuesta'!V118,1)))</f>
        <v/>
      </c>
      <c r="P144" t="str">
        <f>IF(OR('Base Encuesta'!W118="",IFERROR(VALUE(LEFT('Base Encuesta'!K118,1)),"")&gt;=3),"",VALUE(LEFT('Base Encuesta'!W118,1)))</f>
        <v/>
      </c>
      <c r="Q144" t="str">
        <f>IF(OR('Base Encuesta'!X118="",IFERROR(VALUE(LEFT('Base Encuesta'!K118,1)),"")&gt;=3),"",VALUE(LEFT('Base Encuesta'!X118,1)))</f>
        <v/>
      </c>
      <c r="R144" t="str">
        <f>IF(OR('Base Encuesta'!Y118="",IFERROR(VALUE(LEFT('Base Encuesta'!K118,1)),"")&gt;=3),"",VALUE(LEFT('Base Encuesta'!Y118,1)))</f>
        <v/>
      </c>
      <c r="S144" t="str">
        <f>IF(OR('Base Encuesta'!Z118="",IFERROR(VALUE(LEFT('Base Encuesta'!K118,1)),"")&gt;=3),"",VALUE(LEFT('Base Encuesta'!Z118,1)))</f>
        <v/>
      </c>
      <c r="T144" t="str">
        <f>IF(OR('Base Encuesta'!AA118="",IFERROR(VALUE(LEFT('Base Encuesta'!K118,1)),"")&gt;=3),"",VALUE(LEFT('Base Encuesta'!AA118,1)))</f>
        <v/>
      </c>
      <c r="U144" t="str">
        <f>IF(OR('Base Encuesta'!AB118="",IFERROR(VALUE(LEFT('Base Encuesta'!K118,1)),"")&gt;=3),"",VALUE(LEFT('Base Encuesta'!AB118,1)))</f>
        <v/>
      </c>
      <c r="V144" t="str">
        <f>IF(OR('Base Encuesta'!AC118="",IFERROR(VALUE(LEFT('Base Encuesta'!K118,1)),"")&gt;=3),"",VALUE(LEFT('Base Encuesta'!AC118,1)))</f>
        <v/>
      </c>
      <c r="W144" t="str">
        <f>IF(OR('Base Encuesta'!AE118="",IFERROR(VALUE(LEFT('Base Encuesta'!K118,1)),"")&gt;=3),"",VALUE(LEFT('Base Encuesta'!AE118,1)))</f>
        <v/>
      </c>
      <c r="X144" t="str">
        <f>IF(OR('Base Encuesta'!AF118="",IFERROR(VALUE(LEFT('Base Encuesta'!K118,1)),"")&gt;=3),"",IF(W144=1,VALUE(LEFT('Base Encuesta'!AF118,1)),""))</f>
        <v/>
      </c>
      <c r="Y144" t="str">
        <f>IF(OR('Base Encuesta'!AG118="",IFERROR(VALUE(LEFT('Base Encuesta'!K118,1)),"")&gt;=3),"",IF(W144=1,VALUE(LEFT('Base Encuesta'!AG118,1)),""))</f>
        <v/>
      </c>
      <c r="Z144" t="str">
        <f>IF(OR('Base Encuesta'!AH118="",IFERROR(VALUE(LEFT('Base Encuesta'!K118,1)),"")&gt;=3),"",IF(W144=1,VALUE(LEFT('Base Encuesta'!AH118,1)),""))</f>
        <v/>
      </c>
      <c r="AA144" t="str">
        <f>IF(OR('Base Encuesta'!AI118="",IFERROR(VALUE(LEFT('Base Encuesta'!K118,1)),"")&gt;=3),"",IF(W144=1,VALUE(LEFT('Base Encuesta'!AI118,1)),""))</f>
        <v/>
      </c>
      <c r="AB144" t="str">
        <f>IF(OR('Base Encuesta'!AJ118="",IFERROR(VALUE(LEFT('Base Encuesta'!K118,1)),"")&gt;=3),"",IF(W144=1,VALUE(LEFT('Base Encuesta'!AJ118,1)),""))</f>
        <v/>
      </c>
      <c r="AC144" t="str">
        <f>IF(OR('Base Encuesta'!AL118="",IFERROR(VALUE(LEFT('Base Encuesta'!K118,1)),"")&gt;=3),"",VALUE(LEFT('Base Encuesta'!AL118,1)))</f>
        <v/>
      </c>
      <c r="AD144" t="str">
        <f>IF(OR('Base Encuesta'!AM118="",IFERROR(VALUE(LEFT('Base Encuesta'!K118,1)),"")&gt;=3),"",VALUE(LEFT('Base Encuesta'!AM118,1)))</f>
        <v/>
      </c>
      <c r="AE144" t="str">
        <f>IF(OR('Base Encuesta'!AN118="",IFERROR(VALUE(LEFT('Base Encuesta'!K118,1)),"")&gt;=3),"",VALUE(LEFT('Base Encuesta'!AN118,1)))</f>
        <v/>
      </c>
      <c r="AF144" t="str">
        <f>IF(OR('Base Encuesta'!AO118="",IFERROR(VALUE(LEFT('Base Encuesta'!K118,1)),"")&gt;=3),"",VALUE(LEFT('Base Encuesta'!AO118,1)))</f>
        <v/>
      </c>
      <c r="AG144" t="str">
        <f>IF(OR('Base Encuesta'!AQ118="",IFERROR(VALUE(LEFT('Base Encuesta'!K118,1)),"")&gt;=3),"",VALUE(LEFT('Base Encuesta'!AQ118,1)))</f>
        <v/>
      </c>
      <c r="AH144" t="str">
        <f>IF(OR('Base Encuesta'!AR118="",IFERROR(VALUE(LEFT('Base Encuesta'!K118,1)),"")&gt;=3),"",VALUE(LEFT('Base Encuesta'!AR118,1)))</f>
        <v/>
      </c>
    </row>
    <row r="145" spans="1:34">
      <c r="A145" t="str">
        <f>IF('Base Encuesta'!C119="","",'Base Encuesta'!C119)</f>
        <v/>
      </c>
      <c r="B145" t="str">
        <f>IF('Base Encuesta'!D119="","",'Base Encuesta'!D119)</f>
        <v/>
      </c>
      <c r="C145" t="str">
        <f>IF('Base Encuesta'!E119="","",'Base Encuesta'!E119)</f>
        <v/>
      </c>
      <c r="D145" t="str">
        <f>IF('Base Encuesta'!F119="","",'Base Encuesta'!F119)</f>
        <v/>
      </c>
      <c r="E145" t="str">
        <f>IF('Base Encuesta'!G119="","",'Base Encuesta'!G119)</f>
        <v/>
      </c>
      <c r="F145" t="str">
        <f>IF('Base Encuesta'!H119="","",'Base Encuesta'!H119)</f>
        <v/>
      </c>
      <c r="G145" t="str">
        <f>IF('Base Encuesta'!I119="","",'Base Encuesta'!I119)</f>
        <v/>
      </c>
      <c r="H145" t="str">
        <f>IF('Base Encuesta'!J119="","",'Base Encuesta'!J119)</f>
        <v/>
      </c>
      <c r="I145" t="str">
        <f>IF('Base Encuesta'!K119="","",'Base Encuesta'!K119)</f>
        <v/>
      </c>
      <c r="J145" t="str">
        <f>IF(OR('Base Encuesta'!P119="",IFERROR(VALUE(LEFT('Base Encuesta'!K119,1)),"")&gt;=3),"",PROPER(TRIM('Base Encuesta'!P119)))</f>
        <v/>
      </c>
      <c r="K145" t="str">
        <f>IF(OR('Base Encuesta'!Q119="",IFERROR(VALUE(LEFT('Base Encuesta'!K119,1)),"")&gt;=3),"",'Base Encuesta'!Q119)</f>
        <v/>
      </c>
      <c r="L145" t="str">
        <f>IF(OR('Base Encuesta'!R119="",IFERROR(VALUE(LEFT('Base Encuesta'!K119,1)),"")&gt;=3),"",VALUE(LEFT('Base Encuesta'!R119,1)))</f>
        <v/>
      </c>
      <c r="M145" t="str">
        <f>IF(OR('Base Encuesta'!S119="",IFERROR(VALUE(LEFT('Base Encuesta'!K119,1)),"")&gt;=3),"",VALUE(LEFT('Base Encuesta'!S119,1)))</f>
        <v/>
      </c>
      <c r="N145" t="str">
        <f>IF(OR('Base Encuesta'!T119="",IFERROR(VALUE(LEFT('Base Encuesta'!K119,1)),"")&gt;=3),"",VALUE(LEFT('Base Encuesta'!T119,1)))</f>
        <v/>
      </c>
      <c r="O145" t="str">
        <f>IF(OR('Base Encuesta'!V119="",IFERROR(VALUE(LEFT('Base Encuesta'!K119,1)),"")&gt;=3),"",VALUE(LEFT('Base Encuesta'!V119,1)))</f>
        <v/>
      </c>
      <c r="P145" t="str">
        <f>IF(OR('Base Encuesta'!W119="",IFERROR(VALUE(LEFT('Base Encuesta'!K119,1)),"")&gt;=3),"",VALUE(LEFT('Base Encuesta'!W119,1)))</f>
        <v/>
      </c>
      <c r="Q145" t="str">
        <f>IF(OR('Base Encuesta'!X119="",IFERROR(VALUE(LEFT('Base Encuesta'!K119,1)),"")&gt;=3),"",VALUE(LEFT('Base Encuesta'!X119,1)))</f>
        <v/>
      </c>
      <c r="R145" t="str">
        <f>IF(OR('Base Encuesta'!Y119="",IFERROR(VALUE(LEFT('Base Encuesta'!K119,1)),"")&gt;=3),"",VALUE(LEFT('Base Encuesta'!Y119,1)))</f>
        <v/>
      </c>
      <c r="S145" t="str">
        <f>IF(OR('Base Encuesta'!Z119="",IFERROR(VALUE(LEFT('Base Encuesta'!K119,1)),"")&gt;=3),"",VALUE(LEFT('Base Encuesta'!Z119,1)))</f>
        <v/>
      </c>
      <c r="T145" t="str">
        <f>IF(OR('Base Encuesta'!AA119="",IFERROR(VALUE(LEFT('Base Encuesta'!K119,1)),"")&gt;=3),"",VALUE(LEFT('Base Encuesta'!AA119,1)))</f>
        <v/>
      </c>
      <c r="U145" t="str">
        <f>IF(OR('Base Encuesta'!AB119="",IFERROR(VALUE(LEFT('Base Encuesta'!K119,1)),"")&gt;=3),"",VALUE(LEFT('Base Encuesta'!AB119,1)))</f>
        <v/>
      </c>
      <c r="V145" t="str">
        <f>IF(OR('Base Encuesta'!AC119="",IFERROR(VALUE(LEFT('Base Encuesta'!K119,1)),"")&gt;=3),"",VALUE(LEFT('Base Encuesta'!AC119,1)))</f>
        <v/>
      </c>
      <c r="W145" t="str">
        <f>IF(OR('Base Encuesta'!AE119="",IFERROR(VALUE(LEFT('Base Encuesta'!K119,1)),"")&gt;=3),"",VALUE(LEFT('Base Encuesta'!AE119,1)))</f>
        <v/>
      </c>
      <c r="X145" t="str">
        <f>IF(OR('Base Encuesta'!AF119="",IFERROR(VALUE(LEFT('Base Encuesta'!K119,1)),"")&gt;=3),"",IF(W145=1,VALUE(LEFT('Base Encuesta'!AF119,1)),""))</f>
        <v/>
      </c>
      <c r="Y145" t="str">
        <f>IF(OR('Base Encuesta'!AG119="",IFERROR(VALUE(LEFT('Base Encuesta'!K119,1)),"")&gt;=3),"",IF(W145=1,VALUE(LEFT('Base Encuesta'!AG119,1)),""))</f>
        <v/>
      </c>
      <c r="Z145" t="str">
        <f>IF(OR('Base Encuesta'!AH119="",IFERROR(VALUE(LEFT('Base Encuesta'!K119,1)),"")&gt;=3),"",IF(W145=1,VALUE(LEFT('Base Encuesta'!AH119,1)),""))</f>
        <v/>
      </c>
      <c r="AA145" t="str">
        <f>IF(OR('Base Encuesta'!AI119="",IFERROR(VALUE(LEFT('Base Encuesta'!K119,1)),"")&gt;=3),"",IF(W145=1,VALUE(LEFT('Base Encuesta'!AI119,1)),""))</f>
        <v/>
      </c>
      <c r="AB145" t="str">
        <f>IF(OR('Base Encuesta'!AJ119="",IFERROR(VALUE(LEFT('Base Encuesta'!K119,1)),"")&gt;=3),"",IF(W145=1,VALUE(LEFT('Base Encuesta'!AJ119,1)),""))</f>
        <v/>
      </c>
      <c r="AC145" t="str">
        <f>IF(OR('Base Encuesta'!AL119="",IFERROR(VALUE(LEFT('Base Encuesta'!K119,1)),"")&gt;=3),"",VALUE(LEFT('Base Encuesta'!AL119,1)))</f>
        <v/>
      </c>
      <c r="AD145" t="str">
        <f>IF(OR('Base Encuesta'!AM119="",IFERROR(VALUE(LEFT('Base Encuesta'!K119,1)),"")&gt;=3),"",VALUE(LEFT('Base Encuesta'!AM119,1)))</f>
        <v/>
      </c>
      <c r="AE145" t="str">
        <f>IF(OR('Base Encuesta'!AN119="",IFERROR(VALUE(LEFT('Base Encuesta'!K119,1)),"")&gt;=3),"",VALUE(LEFT('Base Encuesta'!AN119,1)))</f>
        <v/>
      </c>
      <c r="AF145" t="str">
        <f>IF(OR('Base Encuesta'!AO119="",IFERROR(VALUE(LEFT('Base Encuesta'!K119,1)),"")&gt;=3),"",VALUE(LEFT('Base Encuesta'!AO119,1)))</f>
        <v/>
      </c>
      <c r="AG145" t="str">
        <f>IF(OR('Base Encuesta'!AQ119="",IFERROR(VALUE(LEFT('Base Encuesta'!K119,1)),"")&gt;=3),"",VALUE(LEFT('Base Encuesta'!AQ119,1)))</f>
        <v/>
      </c>
      <c r="AH145" t="str">
        <f>IF(OR('Base Encuesta'!AR119="",IFERROR(VALUE(LEFT('Base Encuesta'!K119,1)),"")&gt;=3),"",VALUE(LEFT('Base Encuesta'!AR119,1)))</f>
        <v/>
      </c>
    </row>
    <row r="146" spans="1:34">
      <c r="A146" t="str">
        <f>IF('Base Encuesta'!C120="","",'Base Encuesta'!C120)</f>
        <v/>
      </c>
      <c r="B146" t="str">
        <f>IF('Base Encuesta'!D120="","",'Base Encuesta'!D120)</f>
        <v/>
      </c>
      <c r="C146" t="str">
        <f>IF('Base Encuesta'!E120="","",'Base Encuesta'!E120)</f>
        <v/>
      </c>
      <c r="D146" t="str">
        <f>IF('Base Encuesta'!F120="","",'Base Encuesta'!F120)</f>
        <v/>
      </c>
      <c r="E146" t="str">
        <f>IF('Base Encuesta'!G120="","",'Base Encuesta'!G120)</f>
        <v/>
      </c>
      <c r="F146" t="str">
        <f>IF('Base Encuesta'!H120="","",'Base Encuesta'!H120)</f>
        <v/>
      </c>
      <c r="G146" t="str">
        <f>IF('Base Encuesta'!I120="","",'Base Encuesta'!I120)</f>
        <v/>
      </c>
      <c r="H146" t="str">
        <f>IF('Base Encuesta'!J120="","",'Base Encuesta'!J120)</f>
        <v/>
      </c>
      <c r="I146" t="str">
        <f>IF('Base Encuesta'!K120="","",'Base Encuesta'!K120)</f>
        <v/>
      </c>
      <c r="J146" t="str">
        <f>IF(OR('Base Encuesta'!P120="",IFERROR(VALUE(LEFT('Base Encuesta'!K120,1)),"")&gt;=3),"",PROPER(TRIM('Base Encuesta'!P120)))</f>
        <v/>
      </c>
      <c r="K146" t="str">
        <f>IF(OR('Base Encuesta'!Q120="",IFERROR(VALUE(LEFT('Base Encuesta'!K120,1)),"")&gt;=3),"",'Base Encuesta'!Q120)</f>
        <v/>
      </c>
      <c r="L146" t="str">
        <f>IF(OR('Base Encuesta'!R120="",IFERROR(VALUE(LEFT('Base Encuesta'!K120,1)),"")&gt;=3),"",VALUE(LEFT('Base Encuesta'!R120,1)))</f>
        <v/>
      </c>
      <c r="M146" t="str">
        <f>IF(OR('Base Encuesta'!S120="",IFERROR(VALUE(LEFT('Base Encuesta'!K120,1)),"")&gt;=3),"",VALUE(LEFT('Base Encuesta'!S120,1)))</f>
        <v/>
      </c>
      <c r="N146" t="str">
        <f>IF(OR('Base Encuesta'!T120="",IFERROR(VALUE(LEFT('Base Encuesta'!K120,1)),"")&gt;=3),"",VALUE(LEFT('Base Encuesta'!T120,1)))</f>
        <v/>
      </c>
      <c r="O146" t="str">
        <f>IF(OR('Base Encuesta'!V120="",IFERROR(VALUE(LEFT('Base Encuesta'!K120,1)),"")&gt;=3),"",VALUE(LEFT('Base Encuesta'!V120,1)))</f>
        <v/>
      </c>
      <c r="P146" t="str">
        <f>IF(OR('Base Encuesta'!W120="",IFERROR(VALUE(LEFT('Base Encuesta'!K120,1)),"")&gt;=3),"",VALUE(LEFT('Base Encuesta'!W120,1)))</f>
        <v/>
      </c>
      <c r="Q146" t="str">
        <f>IF(OR('Base Encuesta'!X120="",IFERROR(VALUE(LEFT('Base Encuesta'!K120,1)),"")&gt;=3),"",VALUE(LEFT('Base Encuesta'!X120,1)))</f>
        <v/>
      </c>
      <c r="R146" t="str">
        <f>IF(OR('Base Encuesta'!Y120="",IFERROR(VALUE(LEFT('Base Encuesta'!K120,1)),"")&gt;=3),"",VALUE(LEFT('Base Encuesta'!Y120,1)))</f>
        <v/>
      </c>
      <c r="S146" t="str">
        <f>IF(OR('Base Encuesta'!Z120="",IFERROR(VALUE(LEFT('Base Encuesta'!K120,1)),"")&gt;=3),"",VALUE(LEFT('Base Encuesta'!Z120,1)))</f>
        <v/>
      </c>
      <c r="T146" t="str">
        <f>IF(OR('Base Encuesta'!AA120="",IFERROR(VALUE(LEFT('Base Encuesta'!K120,1)),"")&gt;=3),"",VALUE(LEFT('Base Encuesta'!AA120,1)))</f>
        <v/>
      </c>
      <c r="U146" t="str">
        <f>IF(OR('Base Encuesta'!AB120="",IFERROR(VALUE(LEFT('Base Encuesta'!K120,1)),"")&gt;=3),"",VALUE(LEFT('Base Encuesta'!AB120,1)))</f>
        <v/>
      </c>
      <c r="V146" t="str">
        <f>IF(OR('Base Encuesta'!AC120="",IFERROR(VALUE(LEFT('Base Encuesta'!K120,1)),"")&gt;=3),"",VALUE(LEFT('Base Encuesta'!AC120,1)))</f>
        <v/>
      </c>
      <c r="W146" t="str">
        <f>IF(OR('Base Encuesta'!AE120="",IFERROR(VALUE(LEFT('Base Encuesta'!K120,1)),"")&gt;=3),"",VALUE(LEFT('Base Encuesta'!AE120,1)))</f>
        <v/>
      </c>
      <c r="X146" t="str">
        <f>IF(OR('Base Encuesta'!AF120="",IFERROR(VALUE(LEFT('Base Encuesta'!K120,1)),"")&gt;=3),"",IF(W146=1,VALUE(LEFT('Base Encuesta'!AF120,1)),""))</f>
        <v/>
      </c>
      <c r="Y146" t="str">
        <f>IF(OR('Base Encuesta'!AG120="",IFERROR(VALUE(LEFT('Base Encuesta'!K120,1)),"")&gt;=3),"",IF(W146=1,VALUE(LEFT('Base Encuesta'!AG120,1)),""))</f>
        <v/>
      </c>
      <c r="Z146" t="str">
        <f>IF(OR('Base Encuesta'!AH120="",IFERROR(VALUE(LEFT('Base Encuesta'!K120,1)),"")&gt;=3),"",IF(W146=1,VALUE(LEFT('Base Encuesta'!AH120,1)),""))</f>
        <v/>
      </c>
      <c r="AA146" t="str">
        <f>IF(OR('Base Encuesta'!AI120="",IFERROR(VALUE(LEFT('Base Encuesta'!K120,1)),"")&gt;=3),"",IF(W146=1,VALUE(LEFT('Base Encuesta'!AI120,1)),""))</f>
        <v/>
      </c>
      <c r="AB146" t="str">
        <f>IF(OR('Base Encuesta'!AJ120="",IFERROR(VALUE(LEFT('Base Encuesta'!K120,1)),"")&gt;=3),"",IF(W146=1,VALUE(LEFT('Base Encuesta'!AJ120,1)),""))</f>
        <v/>
      </c>
      <c r="AC146" t="str">
        <f>IF(OR('Base Encuesta'!AL120="",IFERROR(VALUE(LEFT('Base Encuesta'!K120,1)),"")&gt;=3),"",VALUE(LEFT('Base Encuesta'!AL120,1)))</f>
        <v/>
      </c>
      <c r="AD146" t="str">
        <f>IF(OR('Base Encuesta'!AM120="",IFERROR(VALUE(LEFT('Base Encuesta'!K120,1)),"")&gt;=3),"",VALUE(LEFT('Base Encuesta'!AM120,1)))</f>
        <v/>
      </c>
      <c r="AE146" t="str">
        <f>IF(OR('Base Encuesta'!AN120="",IFERROR(VALUE(LEFT('Base Encuesta'!K120,1)),"")&gt;=3),"",VALUE(LEFT('Base Encuesta'!AN120,1)))</f>
        <v/>
      </c>
      <c r="AF146" t="str">
        <f>IF(OR('Base Encuesta'!AO120="",IFERROR(VALUE(LEFT('Base Encuesta'!K120,1)),"")&gt;=3),"",VALUE(LEFT('Base Encuesta'!AO120,1)))</f>
        <v/>
      </c>
      <c r="AG146" t="str">
        <f>IF(OR('Base Encuesta'!AQ120="",IFERROR(VALUE(LEFT('Base Encuesta'!K120,1)),"")&gt;=3),"",VALUE(LEFT('Base Encuesta'!AQ120,1)))</f>
        <v/>
      </c>
      <c r="AH146" t="str">
        <f>IF(OR('Base Encuesta'!AR120="",IFERROR(VALUE(LEFT('Base Encuesta'!K120,1)),"")&gt;=3),"",VALUE(LEFT('Base Encuesta'!AR120,1)))</f>
        <v/>
      </c>
    </row>
    <row r="147" spans="1:34">
      <c r="A147" t="str">
        <f>IF('Base Encuesta'!C121="","",'Base Encuesta'!C121)</f>
        <v/>
      </c>
      <c r="B147" t="str">
        <f>IF('Base Encuesta'!D121="","",'Base Encuesta'!D121)</f>
        <v/>
      </c>
      <c r="C147" t="str">
        <f>IF('Base Encuesta'!E121="","",'Base Encuesta'!E121)</f>
        <v/>
      </c>
      <c r="D147" t="str">
        <f>IF('Base Encuesta'!F121="","",'Base Encuesta'!F121)</f>
        <v/>
      </c>
      <c r="E147" t="str">
        <f>IF('Base Encuesta'!G121="","",'Base Encuesta'!G121)</f>
        <v/>
      </c>
      <c r="F147" t="str">
        <f>IF('Base Encuesta'!H121="","",'Base Encuesta'!H121)</f>
        <v/>
      </c>
      <c r="G147" t="str">
        <f>IF('Base Encuesta'!I121="","",'Base Encuesta'!I121)</f>
        <v/>
      </c>
      <c r="H147" t="str">
        <f>IF('Base Encuesta'!J121="","",'Base Encuesta'!J121)</f>
        <v/>
      </c>
      <c r="I147" t="str">
        <f>IF('Base Encuesta'!K121="","",'Base Encuesta'!K121)</f>
        <v/>
      </c>
      <c r="J147" t="str">
        <f>IF(OR('Base Encuesta'!P121="",IFERROR(VALUE(LEFT('Base Encuesta'!K121,1)),"")&gt;=3),"",PROPER(TRIM('Base Encuesta'!P121)))</f>
        <v/>
      </c>
      <c r="K147" t="str">
        <f>IF(OR('Base Encuesta'!Q121="",IFERROR(VALUE(LEFT('Base Encuesta'!K121,1)),"")&gt;=3),"",'Base Encuesta'!Q121)</f>
        <v/>
      </c>
      <c r="L147" t="str">
        <f>IF(OR('Base Encuesta'!R121="",IFERROR(VALUE(LEFT('Base Encuesta'!K121,1)),"")&gt;=3),"",VALUE(LEFT('Base Encuesta'!R121,1)))</f>
        <v/>
      </c>
      <c r="M147" t="str">
        <f>IF(OR('Base Encuesta'!S121="",IFERROR(VALUE(LEFT('Base Encuesta'!K121,1)),"")&gt;=3),"",VALUE(LEFT('Base Encuesta'!S121,1)))</f>
        <v/>
      </c>
      <c r="N147" t="str">
        <f>IF(OR('Base Encuesta'!T121="",IFERROR(VALUE(LEFT('Base Encuesta'!K121,1)),"")&gt;=3),"",VALUE(LEFT('Base Encuesta'!T121,1)))</f>
        <v/>
      </c>
      <c r="O147" t="str">
        <f>IF(OR('Base Encuesta'!V121="",IFERROR(VALUE(LEFT('Base Encuesta'!K121,1)),"")&gt;=3),"",VALUE(LEFT('Base Encuesta'!V121,1)))</f>
        <v/>
      </c>
      <c r="P147" t="str">
        <f>IF(OR('Base Encuesta'!W121="",IFERROR(VALUE(LEFT('Base Encuesta'!K121,1)),"")&gt;=3),"",VALUE(LEFT('Base Encuesta'!W121,1)))</f>
        <v/>
      </c>
      <c r="Q147" t="str">
        <f>IF(OR('Base Encuesta'!X121="",IFERROR(VALUE(LEFT('Base Encuesta'!K121,1)),"")&gt;=3),"",VALUE(LEFT('Base Encuesta'!X121,1)))</f>
        <v/>
      </c>
      <c r="R147" t="str">
        <f>IF(OR('Base Encuesta'!Y121="",IFERROR(VALUE(LEFT('Base Encuesta'!K121,1)),"")&gt;=3),"",VALUE(LEFT('Base Encuesta'!Y121,1)))</f>
        <v/>
      </c>
      <c r="S147" t="str">
        <f>IF(OR('Base Encuesta'!Z121="",IFERROR(VALUE(LEFT('Base Encuesta'!K121,1)),"")&gt;=3),"",VALUE(LEFT('Base Encuesta'!Z121,1)))</f>
        <v/>
      </c>
      <c r="T147" t="str">
        <f>IF(OR('Base Encuesta'!AA121="",IFERROR(VALUE(LEFT('Base Encuesta'!K121,1)),"")&gt;=3),"",VALUE(LEFT('Base Encuesta'!AA121,1)))</f>
        <v/>
      </c>
      <c r="U147" t="str">
        <f>IF(OR('Base Encuesta'!AB121="",IFERROR(VALUE(LEFT('Base Encuesta'!K121,1)),"")&gt;=3),"",VALUE(LEFT('Base Encuesta'!AB121,1)))</f>
        <v/>
      </c>
      <c r="V147" t="str">
        <f>IF(OR('Base Encuesta'!AC121="",IFERROR(VALUE(LEFT('Base Encuesta'!K121,1)),"")&gt;=3),"",VALUE(LEFT('Base Encuesta'!AC121,1)))</f>
        <v/>
      </c>
      <c r="W147" t="str">
        <f>IF(OR('Base Encuesta'!AE121="",IFERROR(VALUE(LEFT('Base Encuesta'!K121,1)),"")&gt;=3),"",VALUE(LEFT('Base Encuesta'!AE121,1)))</f>
        <v/>
      </c>
      <c r="X147" t="str">
        <f>IF(OR('Base Encuesta'!AF121="",IFERROR(VALUE(LEFT('Base Encuesta'!K121,1)),"")&gt;=3),"",IF(W147=1,VALUE(LEFT('Base Encuesta'!AF121,1)),""))</f>
        <v/>
      </c>
      <c r="Y147" t="str">
        <f>IF(OR('Base Encuesta'!AG121="",IFERROR(VALUE(LEFT('Base Encuesta'!K121,1)),"")&gt;=3),"",IF(W147=1,VALUE(LEFT('Base Encuesta'!AG121,1)),""))</f>
        <v/>
      </c>
      <c r="Z147" t="str">
        <f>IF(OR('Base Encuesta'!AH121="",IFERROR(VALUE(LEFT('Base Encuesta'!K121,1)),"")&gt;=3),"",IF(W147=1,VALUE(LEFT('Base Encuesta'!AH121,1)),""))</f>
        <v/>
      </c>
      <c r="AA147" t="str">
        <f>IF(OR('Base Encuesta'!AI121="",IFERROR(VALUE(LEFT('Base Encuesta'!K121,1)),"")&gt;=3),"",IF(W147=1,VALUE(LEFT('Base Encuesta'!AI121,1)),""))</f>
        <v/>
      </c>
      <c r="AB147" t="str">
        <f>IF(OR('Base Encuesta'!AJ121="",IFERROR(VALUE(LEFT('Base Encuesta'!K121,1)),"")&gt;=3),"",IF(W147=1,VALUE(LEFT('Base Encuesta'!AJ121,1)),""))</f>
        <v/>
      </c>
      <c r="AC147" t="str">
        <f>IF(OR('Base Encuesta'!AL121="",IFERROR(VALUE(LEFT('Base Encuesta'!K121,1)),"")&gt;=3),"",VALUE(LEFT('Base Encuesta'!AL121,1)))</f>
        <v/>
      </c>
      <c r="AD147" t="str">
        <f>IF(OR('Base Encuesta'!AM121="",IFERROR(VALUE(LEFT('Base Encuesta'!K121,1)),"")&gt;=3),"",VALUE(LEFT('Base Encuesta'!AM121,1)))</f>
        <v/>
      </c>
      <c r="AE147" t="str">
        <f>IF(OR('Base Encuesta'!AN121="",IFERROR(VALUE(LEFT('Base Encuesta'!K121,1)),"")&gt;=3),"",VALUE(LEFT('Base Encuesta'!AN121,1)))</f>
        <v/>
      </c>
      <c r="AF147" t="str">
        <f>IF(OR('Base Encuesta'!AO121="",IFERROR(VALUE(LEFT('Base Encuesta'!K121,1)),"")&gt;=3),"",VALUE(LEFT('Base Encuesta'!AO121,1)))</f>
        <v/>
      </c>
      <c r="AG147" t="str">
        <f>IF(OR('Base Encuesta'!AQ121="",IFERROR(VALUE(LEFT('Base Encuesta'!K121,1)),"")&gt;=3),"",VALUE(LEFT('Base Encuesta'!AQ121,1)))</f>
        <v/>
      </c>
      <c r="AH147" t="str">
        <f>IF(OR('Base Encuesta'!AR121="",IFERROR(VALUE(LEFT('Base Encuesta'!K121,1)),"")&gt;=3),"",VALUE(LEFT('Base Encuesta'!AR121,1)))</f>
        <v/>
      </c>
    </row>
    <row r="148" spans="1:34">
      <c r="A148" t="str">
        <f>IF('Base Encuesta'!C122="","",'Base Encuesta'!C122)</f>
        <v/>
      </c>
      <c r="B148" t="str">
        <f>IF('Base Encuesta'!D122="","",'Base Encuesta'!D122)</f>
        <v/>
      </c>
      <c r="C148" t="str">
        <f>IF('Base Encuesta'!E122="","",'Base Encuesta'!E122)</f>
        <v/>
      </c>
      <c r="D148" t="str">
        <f>IF('Base Encuesta'!F122="","",'Base Encuesta'!F122)</f>
        <v/>
      </c>
      <c r="E148" t="str">
        <f>IF('Base Encuesta'!G122="","",'Base Encuesta'!G122)</f>
        <v/>
      </c>
      <c r="F148" t="str">
        <f>IF('Base Encuesta'!H122="","",'Base Encuesta'!H122)</f>
        <v/>
      </c>
      <c r="G148" t="str">
        <f>IF('Base Encuesta'!I122="","",'Base Encuesta'!I122)</f>
        <v/>
      </c>
      <c r="H148" t="str">
        <f>IF('Base Encuesta'!J122="","",'Base Encuesta'!J122)</f>
        <v/>
      </c>
      <c r="I148" t="str">
        <f>IF('Base Encuesta'!K122="","",'Base Encuesta'!K122)</f>
        <v/>
      </c>
      <c r="J148" t="str">
        <f>IF(OR('Base Encuesta'!P122="",IFERROR(VALUE(LEFT('Base Encuesta'!K122,1)),"")&gt;=3),"",PROPER(TRIM('Base Encuesta'!P122)))</f>
        <v/>
      </c>
      <c r="K148" t="str">
        <f>IF(OR('Base Encuesta'!Q122="",IFERROR(VALUE(LEFT('Base Encuesta'!K122,1)),"")&gt;=3),"",'Base Encuesta'!Q122)</f>
        <v/>
      </c>
      <c r="L148" t="str">
        <f>IF(OR('Base Encuesta'!R122="",IFERROR(VALUE(LEFT('Base Encuesta'!K122,1)),"")&gt;=3),"",VALUE(LEFT('Base Encuesta'!R122,1)))</f>
        <v/>
      </c>
      <c r="M148" t="str">
        <f>IF(OR('Base Encuesta'!S122="",IFERROR(VALUE(LEFT('Base Encuesta'!K122,1)),"")&gt;=3),"",VALUE(LEFT('Base Encuesta'!S122,1)))</f>
        <v/>
      </c>
      <c r="N148" t="str">
        <f>IF(OR('Base Encuesta'!T122="",IFERROR(VALUE(LEFT('Base Encuesta'!K122,1)),"")&gt;=3),"",VALUE(LEFT('Base Encuesta'!T122,1)))</f>
        <v/>
      </c>
      <c r="O148" t="str">
        <f>IF(OR('Base Encuesta'!V122="",IFERROR(VALUE(LEFT('Base Encuesta'!K122,1)),"")&gt;=3),"",VALUE(LEFT('Base Encuesta'!V122,1)))</f>
        <v/>
      </c>
      <c r="P148" t="str">
        <f>IF(OR('Base Encuesta'!W122="",IFERROR(VALUE(LEFT('Base Encuesta'!K122,1)),"")&gt;=3),"",VALUE(LEFT('Base Encuesta'!W122,1)))</f>
        <v/>
      </c>
      <c r="Q148" t="str">
        <f>IF(OR('Base Encuesta'!X122="",IFERROR(VALUE(LEFT('Base Encuesta'!K122,1)),"")&gt;=3),"",VALUE(LEFT('Base Encuesta'!X122,1)))</f>
        <v/>
      </c>
      <c r="R148" t="str">
        <f>IF(OR('Base Encuesta'!Y122="",IFERROR(VALUE(LEFT('Base Encuesta'!K122,1)),"")&gt;=3),"",VALUE(LEFT('Base Encuesta'!Y122,1)))</f>
        <v/>
      </c>
      <c r="S148" t="str">
        <f>IF(OR('Base Encuesta'!Z122="",IFERROR(VALUE(LEFT('Base Encuesta'!K122,1)),"")&gt;=3),"",VALUE(LEFT('Base Encuesta'!Z122,1)))</f>
        <v/>
      </c>
      <c r="T148" t="str">
        <f>IF(OR('Base Encuesta'!AA122="",IFERROR(VALUE(LEFT('Base Encuesta'!K122,1)),"")&gt;=3),"",VALUE(LEFT('Base Encuesta'!AA122,1)))</f>
        <v/>
      </c>
      <c r="U148" t="str">
        <f>IF(OR('Base Encuesta'!AB122="",IFERROR(VALUE(LEFT('Base Encuesta'!K122,1)),"")&gt;=3),"",VALUE(LEFT('Base Encuesta'!AB122,1)))</f>
        <v/>
      </c>
      <c r="V148" t="str">
        <f>IF(OR('Base Encuesta'!AC122="",IFERROR(VALUE(LEFT('Base Encuesta'!K122,1)),"")&gt;=3),"",VALUE(LEFT('Base Encuesta'!AC122,1)))</f>
        <v/>
      </c>
      <c r="W148" t="str">
        <f>IF(OR('Base Encuesta'!AE122="",IFERROR(VALUE(LEFT('Base Encuesta'!K122,1)),"")&gt;=3),"",VALUE(LEFT('Base Encuesta'!AE122,1)))</f>
        <v/>
      </c>
      <c r="X148" t="str">
        <f>IF(OR('Base Encuesta'!AF122="",IFERROR(VALUE(LEFT('Base Encuesta'!K122,1)),"")&gt;=3),"",IF(W148=1,VALUE(LEFT('Base Encuesta'!AF122,1)),""))</f>
        <v/>
      </c>
      <c r="Y148" t="str">
        <f>IF(OR('Base Encuesta'!AG122="",IFERROR(VALUE(LEFT('Base Encuesta'!K122,1)),"")&gt;=3),"",IF(W148=1,VALUE(LEFT('Base Encuesta'!AG122,1)),""))</f>
        <v/>
      </c>
      <c r="Z148" t="str">
        <f>IF(OR('Base Encuesta'!AH122="",IFERROR(VALUE(LEFT('Base Encuesta'!K122,1)),"")&gt;=3),"",IF(W148=1,VALUE(LEFT('Base Encuesta'!AH122,1)),""))</f>
        <v/>
      </c>
      <c r="AA148" t="str">
        <f>IF(OR('Base Encuesta'!AI122="",IFERROR(VALUE(LEFT('Base Encuesta'!K122,1)),"")&gt;=3),"",IF(W148=1,VALUE(LEFT('Base Encuesta'!AI122,1)),""))</f>
        <v/>
      </c>
      <c r="AB148" t="str">
        <f>IF(OR('Base Encuesta'!AJ122="",IFERROR(VALUE(LEFT('Base Encuesta'!K122,1)),"")&gt;=3),"",IF(W148=1,VALUE(LEFT('Base Encuesta'!AJ122,1)),""))</f>
        <v/>
      </c>
      <c r="AC148" t="str">
        <f>IF(OR('Base Encuesta'!AL122="",IFERROR(VALUE(LEFT('Base Encuesta'!K122,1)),"")&gt;=3),"",VALUE(LEFT('Base Encuesta'!AL122,1)))</f>
        <v/>
      </c>
      <c r="AD148" t="str">
        <f>IF(OR('Base Encuesta'!AM122="",IFERROR(VALUE(LEFT('Base Encuesta'!K122,1)),"")&gt;=3),"",VALUE(LEFT('Base Encuesta'!AM122,1)))</f>
        <v/>
      </c>
      <c r="AE148" t="str">
        <f>IF(OR('Base Encuesta'!AN122="",IFERROR(VALUE(LEFT('Base Encuesta'!K122,1)),"")&gt;=3),"",VALUE(LEFT('Base Encuesta'!AN122,1)))</f>
        <v/>
      </c>
      <c r="AF148" t="str">
        <f>IF(OR('Base Encuesta'!AO122="",IFERROR(VALUE(LEFT('Base Encuesta'!K122,1)),"")&gt;=3),"",VALUE(LEFT('Base Encuesta'!AO122,1)))</f>
        <v/>
      </c>
      <c r="AG148" t="str">
        <f>IF(OR('Base Encuesta'!AQ122="",IFERROR(VALUE(LEFT('Base Encuesta'!K122,1)),"")&gt;=3),"",VALUE(LEFT('Base Encuesta'!AQ122,1)))</f>
        <v/>
      </c>
      <c r="AH148" t="str">
        <f>IF(OR('Base Encuesta'!AR122="",IFERROR(VALUE(LEFT('Base Encuesta'!K122,1)),"")&gt;=3),"",VALUE(LEFT('Base Encuesta'!AR122,1)))</f>
        <v/>
      </c>
    </row>
    <row r="149" spans="1:34">
      <c r="A149" t="str">
        <f>IF('Base Encuesta'!C123="","",'Base Encuesta'!C123)</f>
        <v/>
      </c>
      <c r="B149" t="str">
        <f>IF('Base Encuesta'!D123="","",'Base Encuesta'!D123)</f>
        <v/>
      </c>
      <c r="C149" t="str">
        <f>IF('Base Encuesta'!E123="","",'Base Encuesta'!E123)</f>
        <v/>
      </c>
      <c r="D149" t="str">
        <f>IF('Base Encuesta'!F123="","",'Base Encuesta'!F123)</f>
        <v/>
      </c>
      <c r="E149" t="str">
        <f>IF('Base Encuesta'!G123="","",'Base Encuesta'!G123)</f>
        <v/>
      </c>
      <c r="F149" t="str">
        <f>IF('Base Encuesta'!H123="","",'Base Encuesta'!H123)</f>
        <v/>
      </c>
      <c r="G149" t="str">
        <f>IF('Base Encuesta'!I123="","",'Base Encuesta'!I123)</f>
        <v/>
      </c>
      <c r="H149" t="str">
        <f>IF('Base Encuesta'!J123="","",'Base Encuesta'!J123)</f>
        <v/>
      </c>
      <c r="I149" t="str">
        <f>IF('Base Encuesta'!K123="","",'Base Encuesta'!K123)</f>
        <v/>
      </c>
      <c r="J149" t="str">
        <f>IF(OR('Base Encuesta'!P123="",IFERROR(VALUE(LEFT('Base Encuesta'!K123,1)),"")&gt;=3),"",PROPER(TRIM('Base Encuesta'!P123)))</f>
        <v/>
      </c>
      <c r="K149" t="str">
        <f>IF(OR('Base Encuesta'!Q123="",IFERROR(VALUE(LEFT('Base Encuesta'!K123,1)),"")&gt;=3),"",'Base Encuesta'!Q123)</f>
        <v/>
      </c>
      <c r="L149" t="str">
        <f>IF(OR('Base Encuesta'!R123="",IFERROR(VALUE(LEFT('Base Encuesta'!K123,1)),"")&gt;=3),"",VALUE(LEFT('Base Encuesta'!R123,1)))</f>
        <v/>
      </c>
      <c r="M149" t="str">
        <f>IF(OR('Base Encuesta'!S123="",IFERROR(VALUE(LEFT('Base Encuesta'!K123,1)),"")&gt;=3),"",VALUE(LEFT('Base Encuesta'!S123,1)))</f>
        <v/>
      </c>
      <c r="N149" t="str">
        <f>IF(OR('Base Encuesta'!T123="",IFERROR(VALUE(LEFT('Base Encuesta'!K123,1)),"")&gt;=3),"",VALUE(LEFT('Base Encuesta'!T123,1)))</f>
        <v/>
      </c>
      <c r="O149" t="str">
        <f>IF(OR('Base Encuesta'!V123="",IFERROR(VALUE(LEFT('Base Encuesta'!K123,1)),"")&gt;=3),"",VALUE(LEFT('Base Encuesta'!V123,1)))</f>
        <v/>
      </c>
      <c r="P149" t="str">
        <f>IF(OR('Base Encuesta'!W123="",IFERROR(VALUE(LEFT('Base Encuesta'!K123,1)),"")&gt;=3),"",VALUE(LEFT('Base Encuesta'!W123,1)))</f>
        <v/>
      </c>
      <c r="Q149" t="str">
        <f>IF(OR('Base Encuesta'!X123="",IFERROR(VALUE(LEFT('Base Encuesta'!K123,1)),"")&gt;=3),"",VALUE(LEFT('Base Encuesta'!X123,1)))</f>
        <v/>
      </c>
      <c r="R149" t="str">
        <f>IF(OR('Base Encuesta'!Y123="",IFERROR(VALUE(LEFT('Base Encuesta'!K123,1)),"")&gt;=3),"",VALUE(LEFT('Base Encuesta'!Y123,1)))</f>
        <v/>
      </c>
      <c r="S149" t="str">
        <f>IF(OR('Base Encuesta'!Z123="",IFERROR(VALUE(LEFT('Base Encuesta'!K123,1)),"")&gt;=3),"",VALUE(LEFT('Base Encuesta'!Z123,1)))</f>
        <v/>
      </c>
      <c r="T149" t="str">
        <f>IF(OR('Base Encuesta'!AA123="",IFERROR(VALUE(LEFT('Base Encuesta'!K123,1)),"")&gt;=3),"",VALUE(LEFT('Base Encuesta'!AA123,1)))</f>
        <v/>
      </c>
      <c r="U149" t="str">
        <f>IF(OR('Base Encuesta'!AB123="",IFERROR(VALUE(LEFT('Base Encuesta'!K123,1)),"")&gt;=3),"",VALUE(LEFT('Base Encuesta'!AB123,1)))</f>
        <v/>
      </c>
      <c r="V149" t="str">
        <f>IF(OR('Base Encuesta'!AC123="",IFERROR(VALUE(LEFT('Base Encuesta'!K123,1)),"")&gt;=3),"",VALUE(LEFT('Base Encuesta'!AC123,1)))</f>
        <v/>
      </c>
      <c r="W149" t="str">
        <f>IF(OR('Base Encuesta'!AE123="",IFERROR(VALUE(LEFT('Base Encuesta'!K123,1)),"")&gt;=3),"",VALUE(LEFT('Base Encuesta'!AE123,1)))</f>
        <v/>
      </c>
      <c r="X149" t="str">
        <f>IF(OR('Base Encuesta'!AF123="",IFERROR(VALUE(LEFT('Base Encuesta'!K123,1)),"")&gt;=3),"",IF(W149=1,VALUE(LEFT('Base Encuesta'!AF123,1)),""))</f>
        <v/>
      </c>
      <c r="Y149" t="str">
        <f>IF(OR('Base Encuesta'!AG123="",IFERROR(VALUE(LEFT('Base Encuesta'!K123,1)),"")&gt;=3),"",IF(W149=1,VALUE(LEFT('Base Encuesta'!AG123,1)),""))</f>
        <v/>
      </c>
      <c r="Z149" t="str">
        <f>IF(OR('Base Encuesta'!AH123="",IFERROR(VALUE(LEFT('Base Encuesta'!K123,1)),"")&gt;=3),"",IF(W149=1,VALUE(LEFT('Base Encuesta'!AH123,1)),""))</f>
        <v/>
      </c>
      <c r="AA149" t="str">
        <f>IF(OR('Base Encuesta'!AI123="",IFERROR(VALUE(LEFT('Base Encuesta'!K123,1)),"")&gt;=3),"",IF(W149=1,VALUE(LEFT('Base Encuesta'!AI123,1)),""))</f>
        <v/>
      </c>
      <c r="AB149" t="str">
        <f>IF(OR('Base Encuesta'!AJ123="",IFERROR(VALUE(LEFT('Base Encuesta'!K123,1)),"")&gt;=3),"",IF(W149=1,VALUE(LEFT('Base Encuesta'!AJ123,1)),""))</f>
        <v/>
      </c>
      <c r="AC149" t="str">
        <f>IF(OR('Base Encuesta'!AL123="",IFERROR(VALUE(LEFT('Base Encuesta'!K123,1)),"")&gt;=3),"",VALUE(LEFT('Base Encuesta'!AL123,1)))</f>
        <v/>
      </c>
      <c r="AD149" t="str">
        <f>IF(OR('Base Encuesta'!AM123="",IFERROR(VALUE(LEFT('Base Encuesta'!K123,1)),"")&gt;=3),"",VALUE(LEFT('Base Encuesta'!AM123,1)))</f>
        <v/>
      </c>
      <c r="AE149" t="str">
        <f>IF(OR('Base Encuesta'!AN123="",IFERROR(VALUE(LEFT('Base Encuesta'!K123,1)),"")&gt;=3),"",VALUE(LEFT('Base Encuesta'!AN123,1)))</f>
        <v/>
      </c>
      <c r="AF149" t="str">
        <f>IF(OR('Base Encuesta'!AO123="",IFERROR(VALUE(LEFT('Base Encuesta'!K123,1)),"")&gt;=3),"",VALUE(LEFT('Base Encuesta'!AO123,1)))</f>
        <v/>
      </c>
      <c r="AG149" t="str">
        <f>IF(OR('Base Encuesta'!AQ123="",IFERROR(VALUE(LEFT('Base Encuesta'!K123,1)),"")&gt;=3),"",VALUE(LEFT('Base Encuesta'!AQ123,1)))</f>
        <v/>
      </c>
      <c r="AH149" t="str">
        <f>IF(OR('Base Encuesta'!AR123="",IFERROR(VALUE(LEFT('Base Encuesta'!K123,1)),"")&gt;=3),"",VALUE(LEFT('Base Encuesta'!AR123,1)))</f>
        <v/>
      </c>
    </row>
    <row r="150" spans="1:34">
      <c r="A150" t="str">
        <f>IF('Base Encuesta'!C124="","",'Base Encuesta'!C124)</f>
        <v/>
      </c>
      <c r="B150" t="str">
        <f>IF('Base Encuesta'!D124="","",'Base Encuesta'!D124)</f>
        <v/>
      </c>
      <c r="C150" t="str">
        <f>IF('Base Encuesta'!E124="","",'Base Encuesta'!E124)</f>
        <v/>
      </c>
      <c r="D150" t="str">
        <f>IF('Base Encuesta'!F124="","",'Base Encuesta'!F124)</f>
        <v/>
      </c>
      <c r="E150" t="str">
        <f>IF('Base Encuesta'!G124="","",'Base Encuesta'!G124)</f>
        <v/>
      </c>
      <c r="F150" t="str">
        <f>IF('Base Encuesta'!H124="","",'Base Encuesta'!H124)</f>
        <v/>
      </c>
      <c r="G150" t="str">
        <f>IF('Base Encuesta'!I124="","",'Base Encuesta'!I124)</f>
        <v/>
      </c>
      <c r="H150" t="str">
        <f>IF('Base Encuesta'!J124="","",'Base Encuesta'!J124)</f>
        <v/>
      </c>
      <c r="I150" t="str">
        <f>IF('Base Encuesta'!K124="","",'Base Encuesta'!K124)</f>
        <v/>
      </c>
      <c r="J150" t="str">
        <f>IF(OR('Base Encuesta'!P124="",IFERROR(VALUE(LEFT('Base Encuesta'!K124,1)),"")&gt;=3),"",PROPER(TRIM('Base Encuesta'!P124)))</f>
        <v/>
      </c>
      <c r="K150" t="str">
        <f>IF(OR('Base Encuesta'!Q124="",IFERROR(VALUE(LEFT('Base Encuesta'!K124,1)),"")&gt;=3),"",'Base Encuesta'!Q124)</f>
        <v/>
      </c>
      <c r="L150" t="str">
        <f>IF(OR('Base Encuesta'!R124="",IFERROR(VALUE(LEFT('Base Encuesta'!K124,1)),"")&gt;=3),"",VALUE(LEFT('Base Encuesta'!R124,1)))</f>
        <v/>
      </c>
      <c r="M150" t="str">
        <f>IF(OR('Base Encuesta'!S124="",IFERROR(VALUE(LEFT('Base Encuesta'!K124,1)),"")&gt;=3),"",VALUE(LEFT('Base Encuesta'!S124,1)))</f>
        <v/>
      </c>
      <c r="N150" t="str">
        <f>IF(OR('Base Encuesta'!T124="",IFERROR(VALUE(LEFT('Base Encuesta'!K124,1)),"")&gt;=3),"",VALUE(LEFT('Base Encuesta'!T124,1)))</f>
        <v/>
      </c>
      <c r="O150" t="str">
        <f>IF(OR('Base Encuesta'!V124="",IFERROR(VALUE(LEFT('Base Encuesta'!K124,1)),"")&gt;=3),"",VALUE(LEFT('Base Encuesta'!V124,1)))</f>
        <v/>
      </c>
      <c r="P150" t="str">
        <f>IF(OR('Base Encuesta'!W124="",IFERROR(VALUE(LEFT('Base Encuesta'!K124,1)),"")&gt;=3),"",VALUE(LEFT('Base Encuesta'!W124,1)))</f>
        <v/>
      </c>
      <c r="Q150" t="str">
        <f>IF(OR('Base Encuesta'!X124="",IFERROR(VALUE(LEFT('Base Encuesta'!K124,1)),"")&gt;=3),"",VALUE(LEFT('Base Encuesta'!X124,1)))</f>
        <v/>
      </c>
      <c r="R150" t="str">
        <f>IF(OR('Base Encuesta'!Y124="",IFERROR(VALUE(LEFT('Base Encuesta'!K124,1)),"")&gt;=3),"",VALUE(LEFT('Base Encuesta'!Y124,1)))</f>
        <v/>
      </c>
      <c r="S150" t="str">
        <f>IF(OR('Base Encuesta'!Z124="",IFERROR(VALUE(LEFT('Base Encuesta'!K124,1)),"")&gt;=3),"",VALUE(LEFT('Base Encuesta'!Z124,1)))</f>
        <v/>
      </c>
      <c r="T150" t="str">
        <f>IF(OR('Base Encuesta'!AA124="",IFERROR(VALUE(LEFT('Base Encuesta'!K124,1)),"")&gt;=3),"",VALUE(LEFT('Base Encuesta'!AA124,1)))</f>
        <v/>
      </c>
      <c r="U150" t="str">
        <f>IF(OR('Base Encuesta'!AB124="",IFERROR(VALUE(LEFT('Base Encuesta'!K124,1)),"")&gt;=3),"",VALUE(LEFT('Base Encuesta'!AB124,1)))</f>
        <v/>
      </c>
      <c r="V150" t="str">
        <f>IF(OR('Base Encuesta'!AC124="",IFERROR(VALUE(LEFT('Base Encuesta'!K124,1)),"")&gt;=3),"",VALUE(LEFT('Base Encuesta'!AC124,1)))</f>
        <v/>
      </c>
      <c r="W150" t="str">
        <f>IF(OR('Base Encuesta'!AE124="",IFERROR(VALUE(LEFT('Base Encuesta'!K124,1)),"")&gt;=3),"",VALUE(LEFT('Base Encuesta'!AE124,1)))</f>
        <v/>
      </c>
      <c r="X150" t="str">
        <f>IF(OR('Base Encuesta'!AF124="",IFERROR(VALUE(LEFT('Base Encuesta'!K124,1)),"")&gt;=3),"",IF(W150=1,VALUE(LEFT('Base Encuesta'!AF124,1)),""))</f>
        <v/>
      </c>
      <c r="Y150" t="str">
        <f>IF(OR('Base Encuesta'!AG124="",IFERROR(VALUE(LEFT('Base Encuesta'!K124,1)),"")&gt;=3),"",IF(W150=1,VALUE(LEFT('Base Encuesta'!AG124,1)),""))</f>
        <v/>
      </c>
      <c r="Z150" t="str">
        <f>IF(OR('Base Encuesta'!AH124="",IFERROR(VALUE(LEFT('Base Encuesta'!K124,1)),"")&gt;=3),"",IF(W150=1,VALUE(LEFT('Base Encuesta'!AH124,1)),""))</f>
        <v/>
      </c>
      <c r="AA150" t="str">
        <f>IF(OR('Base Encuesta'!AI124="",IFERROR(VALUE(LEFT('Base Encuesta'!K124,1)),"")&gt;=3),"",IF(W150=1,VALUE(LEFT('Base Encuesta'!AI124,1)),""))</f>
        <v/>
      </c>
      <c r="AB150" t="str">
        <f>IF(OR('Base Encuesta'!AJ124="",IFERROR(VALUE(LEFT('Base Encuesta'!K124,1)),"")&gt;=3),"",IF(W150=1,VALUE(LEFT('Base Encuesta'!AJ124,1)),""))</f>
        <v/>
      </c>
      <c r="AC150" t="str">
        <f>IF(OR('Base Encuesta'!AL124="",IFERROR(VALUE(LEFT('Base Encuesta'!K124,1)),"")&gt;=3),"",VALUE(LEFT('Base Encuesta'!AL124,1)))</f>
        <v/>
      </c>
      <c r="AD150" t="str">
        <f>IF(OR('Base Encuesta'!AM124="",IFERROR(VALUE(LEFT('Base Encuesta'!K124,1)),"")&gt;=3),"",VALUE(LEFT('Base Encuesta'!AM124,1)))</f>
        <v/>
      </c>
      <c r="AE150" t="str">
        <f>IF(OR('Base Encuesta'!AN124="",IFERROR(VALUE(LEFT('Base Encuesta'!K124,1)),"")&gt;=3),"",VALUE(LEFT('Base Encuesta'!AN124,1)))</f>
        <v/>
      </c>
      <c r="AF150" t="str">
        <f>IF(OR('Base Encuesta'!AO124="",IFERROR(VALUE(LEFT('Base Encuesta'!K124,1)),"")&gt;=3),"",VALUE(LEFT('Base Encuesta'!AO124,1)))</f>
        <v/>
      </c>
      <c r="AG150" t="str">
        <f>IF(OR('Base Encuesta'!AQ124="",IFERROR(VALUE(LEFT('Base Encuesta'!K124,1)),"")&gt;=3),"",VALUE(LEFT('Base Encuesta'!AQ124,1)))</f>
        <v/>
      </c>
      <c r="AH150" t="str">
        <f>IF(OR('Base Encuesta'!AR124="",IFERROR(VALUE(LEFT('Base Encuesta'!K124,1)),"")&gt;=3),"",VALUE(LEFT('Base Encuesta'!AR124,1)))</f>
        <v/>
      </c>
    </row>
    <row r="151" spans="1:34">
      <c r="A151" t="str">
        <f>IF('Base Encuesta'!C125="","",'Base Encuesta'!C125)</f>
        <v/>
      </c>
      <c r="B151" t="str">
        <f>IF('Base Encuesta'!D125="","",'Base Encuesta'!D125)</f>
        <v/>
      </c>
      <c r="C151" t="str">
        <f>IF('Base Encuesta'!E125="","",'Base Encuesta'!E125)</f>
        <v/>
      </c>
      <c r="D151" t="str">
        <f>IF('Base Encuesta'!F125="","",'Base Encuesta'!F125)</f>
        <v/>
      </c>
      <c r="E151" t="str">
        <f>IF('Base Encuesta'!G125="","",'Base Encuesta'!G125)</f>
        <v/>
      </c>
      <c r="F151" t="str">
        <f>IF('Base Encuesta'!H125="","",'Base Encuesta'!H125)</f>
        <v/>
      </c>
      <c r="G151" t="str">
        <f>IF('Base Encuesta'!I125="","",'Base Encuesta'!I125)</f>
        <v/>
      </c>
      <c r="H151" t="str">
        <f>IF('Base Encuesta'!J125="","",'Base Encuesta'!J125)</f>
        <v/>
      </c>
      <c r="I151" t="str">
        <f>IF('Base Encuesta'!K125="","",'Base Encuesta'!K125)</f>
        <v/>
      </c>
      <c r="J151" t="str">
        <f>IF(OR('Base Encuesta'!P125="",IFERROR(VALUE(LEFT('Base Encuesta'!K125,1)),"")&gt;=3),"",PROPER(TRIM('Base Encuesta'!P125)))</f>
        <v/>
      </c>
      <c r="K151" t="str">
        <f>IF(OR('Base Encuesta'!Q125="",IFERROR(VALUE(LEFT('Base Encuesta'!K125,1)),"")&gt;=3),"",'Base Encuesta'!Q125)</f>
        <v/>
      </c>
      <c r="L151" t="str">
        <f>IF(OR('Base Encuesta'!R125="",IFERROR(VALUE(LEFT('Base Encuesta'!K125,1)),"")&gt;=3),"",VALUE(LEFT('Base Encuesta'!R125,1)))</f>
        <v/>
      </c>
      <c r="M151" t="str">
        <f>IF(OR('Base Encuesta'!S125="",IFERROR(VALUE(LEFT('Base Encuesta'!K125,1)),"")&gt;=3),"",VALUE(LEFT('Base Encuesta'!S125,1)))</f>
        <v/>
      </c>
      <c r="N151" t="str">
        <f>IF(OR('Base Encuesta'!T125="",IFERROR(VALUE(LEFT('Base Encuesta'!K125,1)),"")&gt;=3),"",VALUE(LEFT('Base Encuesta'!T125,1)))</f>
        <v/>
      </c>
      <c r="O151" t="str">
        <f>IF(OR('Base Encuesta'!V125="",IFERROR(VALUE(LEFT('Base Encuesta'!K125,1)),"")&gt;=3),"",VALUE(LEFT('Base Encuesta'!V125,1)))</f>
        <v/>
      </c>
      <c r="P151" t="str">
        <f>IF(OR('Base Encuesta'!W125="",IFERROR(VALUE(LEFT('Base Encuesta'!K125,1)),"")&gt;=3),"",VALUE(LEFT('Base Encuesta'!W125,1)))</f>
        <v/>
      </c>
      <c r="Q151" t="str">
        <f>IF(OR('Base Encuesta'!X125="",IFERROR(VALUE(LEFT('Base Encuesta'!K125,1)),"")&gt;=3),"",VALUE(LEFT('Base Encuesta'!X125,1)))</f>
        <v/>
      </c>
      <c r="R151" t="str">
        <f>IF(OR('Base Encuesta'!Y125="",IFERROR(VALUE(LEFT('Base Encuesta'!K125,1)),"")&gt;=3),"",VALUE(LEFT('Base Encuesta'!Y125,1)))</f>
        <v/>
      </c>
      <c r="S151" t="str">
        <f>IF(OR('Base Encuesta'!Z125="",IFERROR(VALUE(LEFT('Base Encuesta'!K125,1)),"")&gt;=3),"",VALUE(LEFT('Base Encuesta'!Z125,1)))</f>
        <v/>
      </c>
      <c r="T151" t="str">
        <f>IF(OR('Base Encuesta'!AA125="",IFERROR(VALUE(LEFT('Base Encuesta'!K125,1)),"")&gt;=3),"",VALUE(LEFT('Base Encuesta'!AA125,1)))</f>
        <v/>
      </c>
      <c r="U151" t="str">
        <f>IF(OR('Base Encuesta'!AB125="",IFERROR(VALUE(LEFT('Base Encuesta'!K125,1)),"")&gt;=3),"",VALUE(LEFT('Base Encuesta'!AB125,1)))</f>
        <v/>
      </c>
      <c r="V151" t="str">
        <f>IF(OR('Base Encuesta'!AC125="",IFERROR(VALUE(LEFT('Base Encuesta'!K125,1)),"")&gt;=3),"",VALUE(LEFT('Base Encuesta'!AC125,1)))</f>
        <v/>
      </c>
      <c r="W151" t="str">
        <f>IF(OR('Base Encuesta'!AE125="",IFERROR(VALUE(LEFT('Base Encuesta'!K125,1)),"")&gt;=3),"",VALUE(LEFT('Base Encuesta'!AE125,1)))</f>
        <v/>
      </c>
      <c r="X151" t="str">
        <f>IF(OR('Base Encuesta'!AF125="",IFERROR(VALUE(LEFT('Base Encuesta'!K125,1)),"")&gt;=3),"",IF(W151=1,VALUE(LEFT('Base Encuesta'!AF125,1)),""))</f>
        <v/>
      </c>
      <c r="Y151" t="str">
        <f>IF(OR('Base Encuesta'!AG125="",IFERROR(VALUE(LEFT('Base Encuesta'!K125,1)),"")&gt;=3),"",IF(W151=1,VALUE(LEFT('Base Encuesta'!AG125,1)),""))</f>
        <v/>
      </c>
      <c r="Z151" t="str">
        <f>IF(OR('Base Encuesta'!AH125="",IFERROR(VALUE(LEFT('Base Encuesta'!K125,1)),"")&gt;=3),"",IF(W151=1,VALUE(LEFT('Base Encuesta'!AH125,1)),""))</f>
        <v/>
      </c>
      <c r="AA151" t="str">
        <f>IF(OR('Base Encuesta'!AI125="",IFERROR(VALUE(LEFT('Base Encuesta'!K125,1)),"")&gt;=3),"",IF(W151=1,VALUE(LEFT('Base Encuesta'!AI125,1)),""))</f>
        <v/>
      </c>
      <c r="AB151" t="str">
        <f>IF(OR('Base Encuesta'!AJ125="",IFERROR(VALUE(LEFT('Base Encuesta'!K125,1)),"")&gt;=3),"",IF(W151=1,VALUE(LEFT('Base Encuesta'!AJ125,1)),""))</f>
        <v/>
      </c>
      <c r="AC151" t="str">
        <f>IF(OR('Base Encuesta'!AL125="",IFERROR(VALUE(LEFT('Base Encuesta'!K125,1)),"")&gt;=3),"",VALUE(LEFT('Base Encuesta'!AL125,1)))</f>
        <v/>
      </c>
      <c r="AD151" t="str">
        <f>IF(OR('Base Encuesta'!AM125="",IFERROR(VALUE(LEFT('Base Encuesta'!K125,1)),"")&gt;=3),"",VALUE(LEFT('Base Encuesta'!AM125,1)))</f>
        <v/>
      </c>
      <c r="AE151" t="str">
        <f>IF(OR('Base Encuesta'!AN125="",IFERROR(VALUE(LEFT('Base Encuesta'!K125,1)),"")&gt;=3),"",VALUE(LEFT('Base Encuesta'!AN125,1)))</f>
        <v/>
      </c>
      <c r="AF151" t="str">
        <f>IF(OR('Base Encuesta'!AO125="",IFERROR(VALUE(LEFT('Base Encuesta'!K125,1)),"")&gt;=3),"",VALUE(LEFT('Base Encuesta'!AO125,1)))</f>
        <v/>
      </c>
      <c r="AG151" t="str">
        <f>IF(OR('Base Encuesta'!AQ125="",IFERROR(VALUE(LEFT('Base Encuesta'!K125,1)),"")&gt;=3),"",VALUE(LEFT('Base Encuesta'!AQ125,1)))</f>
        <v/>
      </c>
      <c r="AH151" t="str">
        <f>IF(OR('Base Encuesta'!AR125="",IFERROR(VALUE(LEFT('Base Encuesta'!K125,1)),"")&gt;=3),"",VALUE(LEFT('Base Encuesta'!AR125,1)))</f>
        <v/>
      </c>
    </row>
    <row r="152" spans="1:34">
      <c r="A152" t="str">
        <f>IF('Base Encuesta'!C126="","",'Base Encuesta'!C126)</f>
        <v/>
      </c>
      <c r="B152" t="str">
        <f>IF('Base Encuesta'!D126="","",'Base Encuesta'!D126)</f>
        <v/>
      </c>
      <c r="C152" t="str">
        <f>IF('Base Encuesta'!E126="","",'Base Encuesta'!E126)</f>
        <v/>
      </c>
      <c r="D152" t="str">
        <f>IF('Base Encuesta'!F126="","",'Base Encuesta'!F126)</f>
        <v/>
      </c>
      <c r="E152" t="str">
        <f>IF('Base Encuesta'!G126="","",'Base Encuesta'!G126)</f>
        <v/>
      </c>
      <c r="F152" t="str">
        <f>IF('Base Encuesta'!H126="","",'Base Encuesta'!H126)</f>
        <v/>
      </c>
      <c r="G152" t="str">
        <f>IF('Base Encuesta'!I126="","",'Base Encuesta'!I126)</f>
        <v/>
      </c>
      <c r="H152" t="str">
        <f>IF('Base Encuesta'!J126="","",'Base Encuesta'!J126)</f>
        <v/>
      </c>
      <c r="I152" t="str">
        <f>IF('Base Encuesta'!K126="","",'Base Encuesta'!K126)</f>
        <v/>
      </c>
      <c r="J152" t="str">
        <f>IF(OR('Base Encuesta'!P126="",IFERROR(VALUE(LEFT('Base Encuesta'!K126,1)),"")&gt;=3),"",PROPER(TRIM('Base Encuesta'!P126)))</f>
        <v/>
      </c>
      <c r="K152" t="str">
        <f>IF(OR('Base Encuesta'!Q126="",IFERROR(VALUE(LEFT('Base Encuesta'!K126,1)),"")&gt;=3),"",'Base Encuesta'!Q126)</f>
        <v/>
      </c>
      <c r="L152" t="str">
        <f>IF(OR('Base Encuesta'!R126="",IFERROR(VALUE(LEFT('Base Encuesta'!K126,1)),"")&gt;=3),"",VALUE(LEFT('Base Encuesta'!R126,1)))</f>
        <v/>
      </c>
      <c r="M152" t="str">
        <f>IF(OR('Base Encuesta'!S126="",IFERROR(VALUE(LEFT('Base Encuesta'!K126,1)),"")&gt;=3),"",VALUE(LEFT('Base Encuesta'!S126,1)))</f>
        <v/>
      </c>
      <c r="N152" t="str">
        <f>IF(OR('Base Encuesta'!T126="",IFERROR(VALUE(LEFT('Base Encuesta'!K126,1)),"")&gt;=3),"",VALUE(LEFT('Base Encuesta'!T126,1)))</f>
        <v/>
      </c>
      <c r="O152" t="str">
        <f>IF(OR('Base Encuesta'!V126="",IFERROR(VALUE(LEFT('Base Encuesta'!K126,1)),"")&gt;=3),"",VALUE(LEFT('Base Encuesta'!V126,1)))</f>
        <v/>
      </c>
      <c r="P152" t="str">
        <f>IF(OR('Base Encuesta'!W126="",IFERROR(VALUE(LEFT('Base Encuesta'!K126,1)),"")&gt;=3),"",VALUE(LEFT('Base Encuesta'!W126,1)))</f>
        <v/>
      </c>
      <c r="Q152" t="str">
        <f>IF(OR('Base Encuesta'!X126="",IFERROR(VALUE(LEFT('Base Encuesta'!K126,1)),"")&gt;=3),"",VALUE(LEFT('Base Encuesta'!X126,1)))</f>
        <v/>
      </c>
      <c r="R152" t="str">
        <f>IF(OR('Base Encuesta'!Y126="",IFERROR(VALUE(LEFT('Base Encuesta'!K126,1)),"")&gt;=3),"",VALUE(LEFT('Base Encuesta'!Y126,1)))</f>
        <v/>
      </c>
      <c r="S152" t="str">
        <f>IF(OR('Base Encuesta'!Z126="",IFERROR(VALUE(LEFT('Base Encuesta'!K126,1)),"")&gt;=3),"",VALUE(LEFT('Base Encuesta'!Z126,1)))</f>
        <v/>
      </c>
      <c r="T152" t="str">
        <f>IF(OR('Base Encuesta'!AA126="",IFERROR(VALUE(LEFT('Base Encuesta'!K126,1)),"")&gt;=3),"",VALUE(LEFT('Base Encuesta'!AA126,1)))</f>
        <v/>
      </c>
      <c r="U152" t="str">
        <f>IF(OR('Base Encuesta'!AB126="",IFERROR(VALUE(LEFT('Base Encuesta'!K126,1)),"")&gt;=3),"",VALUE(LEFT('Base Encuesta'!AB126,1)))</f>
        <v/>
      </c>
      <c r="V152" t="str">
        <f>IF(OR('Base Encuesta'!AC126="",IFERROR(VALUE(LEFT('Base Encuesta'!K126,1)),"")&gt;=3),"",VALUE(LEFT('Base Encuesta'!AC126,1)))</f>
        <v/>
      </c>
      <c r="W152" t="str">
        <f>IF(OR('Base Encuesta'!AE126="",IFERROR(VALUE(LEFT('Base Encuesta'!K126,1)),"")&gt;=3),"",VALUE(LEFT('Base Encuesta'!AE126,1)))</f>
        <v/>
      </c>
      <c r="X152" t="str">
        <f>IF(OR('Base Encuesta'!AF126="",IFERROR(VALUE(LEFT('Base Encuesta'!K126,1)),"")&gt;=3),"",IF(W152=1,VALUE(LEFT('Base Encuesta'!AF126,1)),""))</f>
        <v/>
      </c>
      <c r="Y152" t="str">
        <f>IF(OR('Base Encuesta'!AG126="",IFERROR(VALUE(LEFT('Base Encuesta'!K126,1)),"")&gt;=3),"",IF(W152=1,VALUE(LEFT('Base Encuesta'!AG126,1)),""))</f>
        <v/>
      </c>
      <c r="Z152" t="str">
        <f>IF(OR('Base Encuesta'!AH126="",IFERROR(VALUE(LEFT('Base Encuesta'!K126,1)),"")&gt;=3),"",IF(W152=1,VALUE(LEFT('Base Encuesta'!AH126,1)),""))</f>
        <v/>
      </c>
      <c r="AA152" t="str">
        <f>IF(OR('Base Encuesta'!AI126="",IFERROR(VALUE(LEFT('Base Encuesta'!K126,1)),"")&gt;=3),"",IF(W152=1,VALUE(LEFT('Base Encuesta'!AI126,1)),""))</f>
        <v/>
      </c>
      <c r="AB152" t="str">
        <f>IF(OR('Base Encuesta'!AJ126="",IFERROR(VALUE(LEFT('Base Encuesta'!K126,1)),"")&gt;=3),"",IF(W152=1,VALUE(LEFT('Base Encuesta'!AJ126,1)),""))</f>
        <v/>
      </c>
      <c r="AC152" t="str">
        <f>IF(OR('Base Encuesta'!AL126="",IFERROR(VALUE(LEFT('Base Encuesta'!K126,1)),"")&gt;=3),"",VALUE(LEFT('Base Encuesta'!AL126,1)))</f>
        <v/>
      </c>
      <c r="AD152" t="str">
        <f>IF(OR('Base Encuesta'!AM126="",IFERROR(VALUE(LEFT('Base Encuesta'!K126,1)),"")&gt;=3),"",VALUE(LEFT('Base Encuesta'!AM126,1)))</f>
        <v/>
      </c>
      <c r="AE152" t="str">
        <f>IF(OR('Base Encuesta'!AN126="",IFERROR(VALUE(LEFT('Base Encuesta'!K126,1)),"")&gt;=3),"",VALUE(LEFT('Base Encuesta'!AN126,1)))</f>
        <v/>
      </c>
      <c r="AF152" t="str">
        <f>IF(OR('Base Encuesta'!AO126="",IFERROR(VALUE(LEFT('Base Encuesta'!K126,1)),"")&gt;=3),"",VALUE(LEFT('Base Encuesta'!AO126,1)))</f>
        <v/>
      </c>
      <c r="AG152" t="str">
        <f>IF(OR('Base Encuesta'!AQ126="",IFERROR(VALUE(LEFT('Base Encuesta'!K126,1)),"")&gt;=3),"",VALUE(LEFT('Base Encuesta'!AQ126,1)))</f>
        <v/>
      </c>
      <c r="AH152" t="str">
        <f>IF(OR('Base Encuesta'!AR126="",IFERROR(VALUE(LEFT('Base Encuesta'!K126,1)),"")&gt;=3),"",VALUE(LEFT('Base Encuesta'!AR126,1)))</f>
        <v/>
      </c>
    </row>
    <row r="153" spans="1:34">
      <c r="A153" t="str">
        <f>IF('Base Encuesta'!C127="","",'Base Encuesta'!C127)</f>
        <v/>
      </c>
      <c r="B153" t="str">
        <f>IF('Base Encuesta'!D127="","",'Base Encuesta'!D127)</f>
        <v/>
      </c>
      <c r="C153" t="str">
        <f>IF('Base Encuesta'!E127="","",'Base Encuesta'!E127)</f>
        <v/>
      </c>
      <c r="D153" t="str">
        <f>IF('Base Encuesta'!F127="","",'Base Encuesta'!F127)</f>
        <v/>
      </c>
      <c r="E153" t="str">
        <f>IF('Base Encuesta'!G127="","",'Base Encuesta'!G127)</f>
        <v/>
      </c>
      <c r="F153" t="str">
        <f>IF('Base Encuesta'!H127="","",'Base Encuesta'!H127)</f>
        <v/>
      </c>
      <c r="G153" t="str">
        <f>IF('Base Encuesta'!I127="","",'Base Encuesta'!I127)</f>
        <v/>
      </c>
      <c r="H153" t="str">
        <f>IF('Base Encuesta'!J127="","",'Base Encuesta'!J127)</f>
        <v/>
      </c>
      <c r="I153" t="str">
        <f>IF('Base Encuesta'!K127="","",'Base Encuesta'!K127)</f>
        <v/>
      </c>
      <c r="J153" t="str">
        <f>IF(OR('Base Encuesta'!P127="",IFERROR(VALUE(LEFT('Base Encuesta'!K127,1)),"")&gt;=3),"",PROPER(TRIM('Base Encuesta'!P127)))</f>
        <v/>
      </c>
      <c r="K153" t="str">
        <f>IF(OR('Base Encuesta'!Q127="",IFERROR(VALUE(LEFT('Base Encuesta'!K127,1)),"")&gt;=3),"",'Base Encuesta'!Q127)</f>
        <v/>
      </c>
      <c r="L153" t="str">
        <f>IF(OR('Base Encuesta'!R127="",IFERROR(VALUE(LEFT('Base Encuesta'!K127,1)),"")&gt;=3),"",VALUE(LEFT('Base Encuesta'!R127,1)))</f>
        <v/>
      </c>
      <c r="M153" t="str">
        <f>IF(OR('Base Encuesta'!S127="",IFERROR(VALUE(LEFT('Base Encuesta'!K127,1)),"")&gt;=3),"",VALUE(LEFT('Base Encuesta'!S127,1)))</f>
        <v/>
      </c>
      <c r="N153" t="str">
        <f>IF(OR('Base Encuesta'!T127="",IFERROR(VALUE(LEFT('Base Encuesta'!K127,1)),"")&gt;=3),"",VALUE(LEFT('Base Encuesta'!T127,1)))</f>
        <v/>
      </c>
      <c r="O153" t="str">
        <f>IF(OR('Base Encuesta'!V127="",IFERROR(VALUE(LEFT('Base Encuesta'!K127,1)),"")&gt;=3),"",VALUE(LEFT('Base Encuesta'!V127,1)))</f>
        <v/>
      </c>
      <c r="P153" t="str">
        <f>IF(OR('Base Encuesta'!W127="",IFERROR(VALUE(LEFT('Base Encuesta'!K127,1)),"")&gt;=3),"",VALUE(LEFT('Base Encuesta'!W127,1)))</f>
        <v/>
      </c>
      <c r="Q153" t="str">
        <f>IF(OR('Base Encuesta'!X127="",IFERROR(VALUE(LEFT('Base Encuesta'!K127,1)),"")&gt;=3),"",VALUE(LEFT('Base Encuesta'!X127,1)))</f>
        <v/>
      </c>
      <c r="R153" t="str">
        <f>IF(OR('Base Encuesta'!Y127="",IFERROR(VALUE(LEFT('Base Encuesta'!K127,1)),"")&gt;=3),"",VALUE(LEFT('Base Encuesta'!Y127,1)))</f>
        <v/>
      </c>
      <c r="S153" t="str">
        <f>IF(OR('Base Encuesta'!Z127="",IFERROR(VALUE(LEFT('Base Encuesta'!K127,1)),"")&gt;=3),"",VALUE(LEFT('Base Encuesta'!Z127,1)))</f>
        <v/>
      </c>
      <c r="T153" t="str">
        <f>IF(OR('Base Encuesta'!AA127="",IFERROR(VALUE(LEFT('Base Encuesta'!K127,1)),"")&gt;=3),"",VALUE(LEFT('Base Encuesta'!AA127,1)))</f>
        <v/>
      </c>
      <c r="U153" t="str">
        <f>IF(OR('Base Encuesta'!AB127="",IFERROR(VALUE(LEFT('Base Encuesta'!K127,1)),"")&gt;=3),"",VALUE(LEFT('Base Encuesta'!AB127,1)))</f>
        <v/>
      </c>
      <c r="V153" t="str">
        <f>IF(OR('Base Encuesta'!AC127="",IFERROR(VALUE(LEFT('Base Encuesta'!K127,1)),"")&gt;=3),"",VALUE(LEFT('Base Encuesta'!AC127,1)))</f>
        <v/>
      </c>
      <c r="W153" t="str">
        <f>IF(OR('Base Encuesta'!AE127="",IFERROR(VALUE(LEFT('Base Encuesta'!K127,1)),"")&gt;=3),"",VALUE(LEFT('Base Encuesta'!AE127,1)))</f>
        <v/>
      </c>
      <c r="X153" t="str">
        <f>IF(OR('Base Encuesta'!AF127="",IFERROR(VALUE(LEFT('Base Encuesta'!K127,1)),"")&gt;=3),"",IF(W153=1,VALUE(LEFT('Base Encuesta'!AF127,1)),""))</f>
        <v/>
      </c>
      <c r="Y153" t="str">
        <f>IF(OR('Base Encuesta'!AG127="",IFERROR(VALUE(LEFT('Base Encuesta'!K127,1)),"")&gt;=3),"",IF(W153=1,VALUE(LEFT('Base Encuesta'!AG127,1)),""))</f>
        <v/>
      </c>
      <c r="Z153" t="str">
        <f>IF(OR('Base Encuesta'!AH127="",IFERROR(VALUE(LEFT('Base Encuesta'!K127,1)),"")&gt;=3),"",IF(W153=1,VALUE(LEFT('Base Encuesta'!AH127,1)),""))</f>
        <v/>
      </c>
      <c r="AA153" t="str">
        <f>IF(OR('Base Encuesta'!AI127="",IFERROR(VALUE(LEFT('Base Encuesta'!K127,1)),"")&gt;=3),"",IF(W153=1,VALUE(LEFT('Base Encuesta'!AI127,1)),""))</f>
        <v/>
      </c>
      <c r="AB153" t="str">
        <f>IF(OR('Base Encuesta'!AJ127="",IFERROR(VALUE(LEFT('Base Encuesta'!K127,1)),"")&gt;=3),"",IF(W153=1,VALUE(LEFT('Base Encuesta'!AJ127,1)),""))</f>
        <v/>
      </c>
      <c r="AC153" t="str">
        <f>IF(OR('Base Encuesta'!AL127="",IFERROR(VALUE(LEFT('Base Encuesta'!K127,1)),"")&gt;=3),"",VALUE(LEFT('Base Encuesta'!AL127,1)))</f>
        <v/>
      </c>
      <c r="AD153" t="str">
        <f>IF(OR('Base Encuesta'!AM127="",IFERROR(VALUE(LEFT('Base Encuesta'!K127,1)),"")&gt;=3),"",VALUE(LEFT('Base Encuesta'!AM127,1)))</f>
        <v/>
      </c>
      <c r="AE153" t="str">
        <f>IF(OR('Base Encuesta'!AN127="",IFERROR(VALUE(LEFT('Base Encuesta'!K127,1)),"")&gt;=3),"",VALUE(LEFT('Base Encuesta'!AN127,1)))</f>
        <v/>
      </c>
      <c r="AF153" t="str">
        <f>IF(OR('Base Encuesta'!AO127="",IFERROR(VALUE(LEFT('Base Encuesta'!K127,1)),"")&gt;=3),"",VALUE(LEFT('Base Encuesta'!AO127,1)))</f>
        <v/>
      </c>
      <c r="AG153" t="str">
        <f>IF(OR('Base Encuesta'!AQ127="",IFERROR(VALUE(LEFT('Base Encuesta'!K127,1)),"")&gt;=3),"",VALUE(LEFT('Base Encuesta'!AQ127,1)))</f>
        <v/>
      </c>
      <c r="AH153" t="str">
        <f>IF(OR('Base Encuesta'!AR127="",IFERROR(VALUE(LEFT('Base Encuesta'!K127,1)),"")&gt;=3),"",VALUE(LEFT('Base Encuesta'!AR127,1)))</f>
        <v/>
      </c>
    </row>
    <row r="154" spans="1:34">
      <c r="A154" t="str">
        <f>IF('Base Encuesta'!C128="","",'Base Encuesta'!C128)</f>
        <v/>
      </c>
      <c r="B154" t="str">
        <f>IF('Base Encuesta'!D128="","",'Base Encuesta'!D128)</f>
        <v/>
      </c>
      <c r="C154" t="str">
        <f>IF('Base Encuesta'!E128="","",'Base Encuesta'!E128)</f>
        <v/>
      </c>
      <c r="D154" t="str">
        <f>IF('Base Encuesta'!F128="","",'Base Encuesta'!F128)</f>
        <v/>
      </c>
      <c r="E154" t="str">
        <f>IF('Base Encuesta'!G128="","",'Base Encuesta'!G128)</f>
        <v/>
      </c>
      <c r="F154" t="str">
        <f>IF('Base Encuesta'!H128="","",'Base Encuesta'!H128)</f>
        <v/>
      </c>
      <c r="G154" t="str">
        <f>IF('Base Encuesta'!I128="","",'Base Encuesta'!I128)</f>
        <v/>
      </c>
      <c r="H154" t="str">
        <f>IF('Base Encuesta'!J128="","",'Base Encuesta'!J128)</f>
        <v/>
      </c>
      <c r="I154" t="str">
        <f>IF('Base Encuesta'!K128="","",'Base Encuesta'!K128)</f>
        <v/>
      </c>
      <c r="J154" t="str">
        <f>IF(OR('Base Encuesta'!P128="",IFERROR(VALUE(LEFT('Base Encuesta'!K128,1)),"")&gt;=3),"",PROPER(TRIM('Base Encuesta'!P128)))</f>
        <v/>
      </c>
      <c r="K154" t="str">
        <f>IF(OR('Base Encuesta'!Q128="",IFERROR(VALUE(LEFT('Base Encuesta'!K128,1)),"")&gt;=3),"",'Base Encuesta'!Q128)</f>
        <v/>
      </c>
      <c r="L154" t="str">
        <f>IF(OR('Base Encuesta'!R128="",IFERROR(VALUE(LEFT('Base Encuesta'!K128,1)),"")&gt;=3),"",VALUE(LEFT('Base Encuesta'!R128,1)))</f>
        <v/>
      </c>
      <c r="M154" t="str">
        <f>IF(OR('Base Encuesta'!S128="",IFERROR(VALUE(LEFT('Base Encuesta'!K128,1)),"")&gt;=3),"",VALUE(LEFT('Base Encuesta'!S128,1)))</f>
        <v/>
      </c>
      <c r="N154" t="str">
        <f>IF(OR('Base Encuesta'!T128="",IFERROR(VALUE(LEFT('Base Encuesta'!K128,1)),"")&gt;=3),"",VALUE(LEFT('Base Encuesta'!T128,1)))</f>
        <v/>
      </c>
      <c r="O154" t="str">
        <f>IF(OR('Base Encuesta'!V128="",IFERROR(VALUE(LEFT('Base Encuesta'!K128,1)),"")&gt;=3),"",VALUE(LEFT('Base Encuesta'!V128,1)))</f>
        <v/>
      </c>
      <c r="P154" t="str">
        <f>IF(OR('Base Encuesta'!W128="",IFERROR(VALUE(LEFT('Base Encuesta'!K128,1)),"")&gt;=3),"",VALUE(LEFT('Base Encuesta'!W128,1)))</f>
        <v/>
      </c>
      <c r="Q154" t="str">
        <f>IF(OR('Base Encuesta'!X128="",IFERROR(VALUE(LEFT('Base Encuesta'!K128,1)),"")&gt;=3),"",VALUE(LEFT('Base Encuesta'!X128,1)))</f>
        <v/>
      </c>
      <c r="R154" t="str">
        <f>IF(OR('Base Encuesta'!Y128="",IFERROR(VALUE(LEFT('Base Encuesta'!K128,1)),"")&gt;=3),"",VALUE(LEFT('Base Encuesta'!Y128,1)))</f>
        <v/>
      </c>
      <c r="S154" t="str">
        <f>IF(OR('Base Encuesta'!Z128="",IFERROR(VALUE(LEFT('Base Encuesta'!K128,1)),"")&gt;=3),"",VALUE(LEFT('Base Encuesta'!Z128,1)))</f>
        <v/>
      </c>
      <c r="T154" t="str">
        <f>IF(OR('Base Encuesta'!AA128="",IFERROR(VALUE(LEFT('Base Encuesta'!K128,1)),"")&gt;=3),"",VALUE(LEFT('Base Encuesta'!AA128,1)))</f>
        <v/>
      </c>
      <c r="U154" t="str">
        <f>IF(OR('Base Encuesta'!AB128="",IFERROR(VALUE(LEFT('Base Encuesta'!K128,1)),"")&gt;=3),"",VALUE(LEFT('Base Encuesta'!AB128,1)))</f>
        <v/>
      </c>
      <c r="V154" t="str">
        <f>IF(OR('Base Encuesta'!AC128="",IFERROR(VALUE(LEFT('Base Encuesta'!K128,1)),"")&gt;=3),"",VALUE(LEFT('Base Encuesta'!AC128,1)))</f>
        <v/>
      </c>
      <c r="W154" t="str">
        <f>IF(OR('Base Encuesta'!AE128="",IFERROR(VALUE(LEFT('Base Encuesta'!K128,1)),"")&gt;=3),"",VALUE(LEFT('Base Encuesta'!AE128,1)))</f>
        <v/>
      </c>
      <c r="X154" t="str">
        <f>IF(OR('Base Encuesta'!AF128="",IFERROR(VALUE(LEFT('Base Encuesta'!K128,1)),"")&gt;=3),"",IF(W154=1,VALUE(LEFT('Base Encuesta'!AF128,1)),""))</f>
        <v/>
      </c>
      <c r="Y154" t="str">
        <f>IF(OR('Base Encuesta'!AG128="",IFERROR(VALUE(LEFT('Base Encuesta'!K128,1)),"")&gt;=3),"",IF(W154=1,VALUE(LEFT('Base Encuesta'!AG128,1)),""))</f>
        <v/>
      </c>
      <c r="Z154" t="str">
        <f>IF(OR('Base Encuesta'!AH128="",IFERROR(VALUE(LEFT('Base Encuesta'!K128,1)),"")&gt;=3),"",IF(W154=1,VALUE(LEFT('Base Encuesta'!AH128,1)),""))</f>
        <v/>
      </c>
      <c r="AA154" t="str">
        <f>IF(OR('Base Encuesta'!AI128="",IFERROR(VALUE(LEFT('Base Encuesta'!K128,1)),"")&gt;=3),"",IF(W154=1,VALUE(LEFT('Base Encuesta'!AI128,1)),""))</f>
        <v/>
      </c>
      <c r="AB154" t="str">
        <f>IF(OR('Base Encuesta'!AJ128="",IFERROR(VALUE(LEFT('Base Encuesta'!K128,1)),"")&gt;=3),"",IF(W154=1,VALUE(LEFT('Base Encuesta'!AJ128,1)),""))</f>
        <v/>
      </c>
      <c r="AC154" t="str">
        <f>IF(OR('Base Encuesta'!AL128="",IFERROR(VALUE(LEFT('Base Encuesta'!K128,1)),"")&gt;=3),"",VALUE(LEFT('Base Encuesta'!AL128,1)))</f>
        <v/>
      </c>
      <c r="AD154" t="str">
        <f>IF(OR('Base Encuesta'!AM128="",IFERROR(VALUE(LEFT('Base Encuesta'!K128,1)),"")&gt;=3),"",VALUE(LEFT('Base Encuesta'!AM128,1)))</f>
        <v/>
      </c>
      <c r="AE154" t="str">
        <f>IF(OR('Base Encuesta'!AN128="",IFERROR(VALUE(LEFT('Base Encuesta'!K128,1)),"")&gt;=3),"",VALUE(LEFT('Base Encuesta'!AN128,1)))</f>
        <v/>
      </c>
      <c r="AF154" t="str">
        <f>IF(OR('Base Encuesta'!AO128="",IFERROR(VALUE(LEFT('Base Encuesta'!K128,1)),"")&gt;=3),"",VALUE(LEFT('Base Encuesta'!AO128,1)))</f>
        <v/>
      </c>
      <c r="AG154" t="str">
        <f>IF(OR('Base Encuesta'!AQ128="",IFERROR(VALUE(LEFT('Base Encuesta'!K128,1)),"")&gt;=3),"",VALUE(LEFT('Base Encuesta'!AQ128,1)))</f>
        <v/>
      </c>
      <c r="AH154" t="str">
        <f>IF(OR('Base Encuesta'!AR128="",IFERROR(VALUE(LEFT('Base Encuesta'!K128,1)),"")&gt;=3),"",VALUE(LEFT('Base Encuesta'!AR128,1)))</f>
        <v/>
      </c>
    </row>
    <row r="155" spans="1:34">
      <c r="A155" t="str">
        <f>IF('Base Encuesta'!C129="","",'Base Encuesta'!C129)</f>
        <v/>
      </c>
      <c r="B155" t="str">
        <f>IF('Base Encuesta'!D129="","",'Base Encuesta'!D129)</f>
        <v/>
      </c>
      <c r="C155" t="str">
        <f>IF('Base Encuesta'!E129="","",'Base Encuesta'!E129)</f>
        <v/>
      </c>
      <c r="D155" t="str">
        <f>IF('Base Encuesta'!F129="","",'Base Encuesta'!F129)</f>
        <v/>
      </c>
      <c r="E155" t="str">
        <f>IF('Base Encuesta'!G129="","",'Base Encuesta'!G129)</f>
        <v/>
      </c>
      <c r="F155" t="str">
        <f>IF('Base Encuesta'!H129="","",'Base Encuesta'!H129)</f>
        <v/>
      </c>
      <c r="G155" t="str">
        <f>IF('Base Encuesta'!I129="","",'Base Encuesta'!I129)</f>
        <v/>
      </c>
      <c r="H155" t="str">
        <f>IF('Base Encuesta'!J129="","",'Base Encuesta'!J129)</f>
        <v/>
      </c>
      <c r="I155" t="str">
        <f>IF('Base Encuesta'!K129="","",'Base Encuesta'!K129)</f>
        <v/>
      </c>
      <c r="J155" t="str">
        <f>IF(OR('Base Encuesta'!P129="",IFERROR(VALUE(LEFT('Base Encuesta'!K129,1)),"")&gt;=3),"",PROPER(TRIM('Base Encuesta'!P129)))</f>
        <v/>
      </c>
      <c r="K155" t="str">
        <f>IF(OR('Base Encuesta'!Q129="",IFERROR(VALUE(LEFT('Base Encuesta'!K129,1)),"")&gt;=3),"",'Base Encuesta'!Q129)</f>
        <v/>
      </c>
      <c r="L155" t="str">
        <f>IF(OR('Base Encuesta'!R129="",IFERROR(VALUE(LEFT('Base Encuesta'!K129,1)),"")&gt;=3),"",VALUE(LEFT('Base Encuesta'!R129,1)))</f>
        <v/>
      </c>
      <c r="M155" t="str">
        <f>IF(OR('Base Encuesta'!S129="",IFERROR(VALUE(LEFT('Base Encuesta'!K129,1)),"")&gt;=3),"",VALUE(LEFT('Base Encuesta'!S129,1)))</f>
        <v/>
      </c>
      <c r="N155" t="str">
        <f>IF(OR('Base Encuesta'!T129="",IFERROR(VALUE(LEFT('Base Encuesta'!K129,1)),"")&gt;=3),"",VALUE(LEFT('Base Encuesta'!T129,1)))</f>
        <v/>
      </c>
      <c r="O155" t="str">
        <f>IF(OR('Base Encuesta'!V129="",IFERROR(VALUE(LEFT('Base Encuesta'!K129,1)),"")&gt;=3),"",VALUE(LEFT('Base Encuesta'!V129,1)))</f>
        <v/>
      </c>
      <c r="P155" t="str">
        <f>IF(OR('Base Encuesta'!W129="",IFERROR(VALUE(LEFT('Base Encuesta'!K129,1)),"")&gt;=3),"",VALUE(LEFT('Base Encuesta'!W129,1)))</f>
        <v/>
      </c>
      <c r="Q155" t="str">
        <f>IF(OR('Base Encuesta'!X129="",IFERROR(VALUE(LEFT('Base Encuesta'!K129,1)),"")&gt;=3),"",VALUE(LEFT('Base Encuesta'!X129,1)))</f>
        <v/>
      </c>
      <c r="R155" t="str">
        <f>IF(OR('Base Encuesta'!Y129="",IFERROR(VALUE(LEFT('Base Encuesta'!K129,1)),"")&gt;=3),"",VALUE(LEFT('Base Encuesta'!Y129,1)))</f>
        <v/>
      </c>
      <c r="S155" t="str">
        <f>IF(OR('Base Encuesta'!Z129="",IFERROR(VALUE(LEFT('Base Encuesta'!K129,1)),"")&gt;=3),"",VALUE(LEFT('Base Encuesta'!Z129,1)))</f>
        <v/>
      </c>
      <c r="T155" t="str">
        <f>IF(OR('Base Encuesta'!AA129="",IFERROR(VALUE(LEFT('Base Encuesta'!K129,1)),"")&gt;=3),"",VALUE(LEFT('Base Encuesta'!AA129,1)))</f>
        <v/>
      </c>
      <c r="U155" t="str">
        <f>IF(OR('Base Encuesta'!AB129="",IFERROR(VALUE(LEFT('Base Encuesta'!K129,1)),"")&gt;=3),"",VALUE(LEFT('Base Encuesta'!AB129,1)))</f>
        <v/>
      </c>
      <c r="V155" t="str">
        <f>IF(OR('Base Encuesta'!AC129="",IFERROR(VALUE(LEFT('Base Encuesta'!K129,1)),"")&gt;=3),"",VALUE(LEFT('Base Encuesta'!AC129,1)))</f>
        <v/>
      </c>
      <c r="W155" t="str">
        <f>IF(OR('Base Encuesta'!AE129="",IFERROR(VALUE(LEFT('Base Encuesta'!K129,1)),"")&gt;=3),"",VALUE(LEFT('Base Encuesta'!AE129,1)))</f>
        <v/>
      </c>
      <c r="X155" t="str">
        <f>IF(OR('Base Encuesta'!AF129="",IFERROR(VALUE(LEFT('Base Encuesta'!K129,1)),"")&gt;=3),"",IF(W155=1,VALUE(LEFT('Base Encuesta'!AF129,1)),""))</f>
        <v/>
      </c>
      <c r="Y155" t="str">
        <f>IF(OR('Base Encuesta'!AG129="",IFERROR(VALUE(LEFT('Base Encuesta'!K129,1)),"")&gt;=3),"",IF(W155=1,VALUE(LEFT('Base Encuesta'!AG129,1)),""))</f>
        <v/>
      </c>
      <c r="Z155" t="str">
        <f>IF(OR('Base Encuesta'!AH129="",IFERROR(VALUE(LEFT('Base Encuesta'!K129,1)),"")&gt;=3),"",IF(W155=1,VALUE(LEFT('Base Encuesta'!AH129,1)),""))</f>
        <v/>
      </c>
      <c r="AA155" t="str">
        <f>IF(OR('Base Encuesta'!AI129="",IFERROR(VALUE(LEFT('Base Encuesta'!K129,1)),"")&gt;=3),"",IF(W155=1,VALUE(LEFT('Base Encuesta'!AI129,1)),""))</f>
        <v/>
      </c>
      <c r="AB155" t="str">
        <f>IF(OR('Base Encuesta'!AJ129="",IFERROR(VALUE(LEFT('Base Encuesta'!K129,1)),"")&gt;=3),"",IF(W155=1,VALUE(LEFT('Base Encuesta'!AJ129,1)),""))</f>
        <v/>
      </c>
      <c r="AC155" t="str">
        <f>IF(OR('Base Encuesta'!AL129="",IFERROR(VALUE(LEFT('Base Encuesta'!K129,1)),"")&gt;=3),"",VALUE(LEFT('Base Encuesta'!AL129,1)))</f>
        <v/>
      </c>
      <c r="AD155" t="str">
        <f>IF(OR('Base Encuesta'!AM129="",IFERROR(VALUE(LEFT('Base Encuesta'!K129,1)),"")&gt;=3),"",VALUE(LEFT('Base Encuesta'!AM129,1)))</f>
        <v/>
      </c>
      <c r="AE155" t="str">
        <f>IF(OR('Base Encuesta'!AN129="",IFERROR(VALUE(LEFT('Base Encuesta'!K129,1)),"")&gt;=3),"",VALUE(LEFT('Base Encuesta'!AN129,1)))</f>
        <v/>
      </c>
      <c r="AF155" t="str">
        <f>IF(OR('Base Encuesta'!AO129="",IFERROR(VALUE(LEFT('Base Encuesta'!K129,1)),"")&gt;=3),"",VALUE(LEFT('Base Encuesta'!AO129,1)))</f>
        <v/>
      </c>
      <c r="AG155" t="str">
        <f>IF(OR('Base Encuesta'!AQ129="",IFERROR(VALUE(LEFT('Base Encuesta'!K129,1)),"")&gt;=3),"",VALUE(LEFT('Base Encuesta'!AQ129,1)))</f>
        <v/>
      </c>
      <c r="AH155" t="str">
        <f>IF(OR('Base Encuesta'!AR129="",IFERROR(VALUE(LEFT('Base Encuesta'!K129,1)),"")&gt;=3),"",VALUE(LEFT('Base Encuesta'!AR129,1)))</f>
        <v/>
      </c>
    </row>
    <row r="156" spans="1:34">
      <c r="A156" t="str">
        <f>IF('Base Encuesta'!C130="","",'Base Encuesta'!C130)</f>
        <v/>
      </c>
      <c r="B156" t="str">
        <f>IF('Base Encuesta'!D130="","",'Base Encuesta'!D130)</f>
        <v/>
      </c>
      <c r="C156" t="str">
        <f>IF('Base Encuesta'!E130="","",'Base Encuesta'!E130)</f>
        <v/>
      </c>
      <c r="D156" t="str">
        <f>IF('Base Encuesta'!F130="","",'Base Encuesta'!F130)</f>
        <v/>
      </c>
      <c r="E156" t="str">
        <f>IF('Base Encuesta'!G130="","",'Base Encuesta'!G130)</f>
        <v/>
      </c>
      <c r="F156" t="str">
        <f>IF('Base Encuesta'!H130="","",'Base Encuesta'!H130)</f>
        <v/>
      </c>
      <c r="G156" t="str">
        <f>IF('Base Encuesta'!I130="","",'Base Encuesta'!I130)</f>
        <v/>
      </c>
      <c r="H156" t="str">
        <f>IF('Base Encuesta'!J130="","",'Base Encuesta'!J130)</f>
        <v/>
      </c>
      <c r="I156" t="str">
        <f>IF('Base Encuesta'!K130="","",'Base Encuesta'!K130)</f>
        <v/>
      </c>
      <c r="J156" t="str">
        <f>IF(OR('Base Encuesta'!P130="",IFERROR(VALUE(LEFT('Base Encuesta'!K130,1)),"")&gt;=3),"",PROPER(TRIM('Base Encuesta'!P130)))</f>
        <v/>
      </c>
      <c r="K156" t="str">
        <f>IF(OR('Base Encuesta'!Q130="",IFERROR(VALUE(LEFT('Base Encuesta'!K130,1)),"")&gt;=3),"",'Base Encuesta'!Q130)</f>
        <v/>
      </c>
      <c r="L156" t="str">
        <f>IF(OR('Base Encuesta'!R130="",IFERROR(VALUE(LEFT('Base Encuesta'!K130,1)),"")&gt;=3),"",VALUE(LEFT('Base Encuesta'!R130,1)))</f>
        <v/>
      </c>
      <c r="M156" t="str">
        <f>IF(OR('Base Encuesta'!S130="",IFERROR(VALUE(LEFT('Base Encuesta'!K130,1)),"")&gt;=3),"",VALUE(LEFT('Base Encuesta'!S130,1)))</f>
        <v/>
      </c>
      <c r="N156" t="str">
        <f>IF(OR('Base Encuesta'!T130="",IFERROR(VALUE(LEFT('Base Encuesta'!K130,1)),"")&gt;=3),"",VALUE(LEFT('Base Encuesta'!T130,1)))</f>
        <v/>
      </c>
      <c r="O156" t="str">
        <f>IF(OR('Base Encuesta'!V130="",IFERROR(VALUE(LEFT('Base Encuesta'!K130,1)),"")&gt;=3),"",VALUE(LEFT('Base Encuesta'!V130,1)))</f>
        <v/>
      </c>
      <c r="P156" t="str">
        <f>IF(OR('Base Encuesta'!W130="",IFERROR(VALUE(LEFT('Base Encuesta'!K130,1)),"")&gt;=3),"",VALUE(LEFT('Base Encuesta'!W130,1)))</f>
        <v/>
      </c>
      <c r="Q156" t="str">
        <f>IF(OR('Base Encuesta'!X130="",IFERROR(VALUE(LEFT('Base Encuesta'!K130,1)),"")&gt;=3),"",VALUE(LEFT('Base Encuesta'!X130,1)))</f>
        <v/>
      </c>
      <c r="R156" t="str">
        <f>IF(OR('Base Encuesta'!Y130="",IFERROR(VALUE(LEFT('Base Encuesta'!K130,1)),"")&gt;=3),"",VALUE(LEFT('Base Encuesta'!Y130,1)))</f>
        <v/>
      </c>
      <c r="S156" t="str">
        <f>IF(OR('Base Encuesta'!Z130="",IFERROR(VALUE(LEFT('Base Encuesta'!K130,1)),"")&gt;=3),"",VALUE(LEFT('Base Encuesta'!Z130,1)))</f>
        <v/>
      </c>
      <c r="T156" t="str">
        <f>IF(OR('Base Encuesta'!AA130="",IFERROR(VALUE(LEFT('Base Encuesta'!K130,1)),"")&gt;=3),"",VALUE(LEFT('Base Encuesta'!AA130,1)))</f>
        <v/>
      </c>
      <c r="U156" t="str">
        <f>IF(OR('Base Encuesta'!AB130="",IFERROR(VALUE(LEFT('Base Encuesta'!K130,1)),"")&gt;=3),"",VALUE(LEFT('Base Encuesta'!AB130,1)))</f>
        <v/>
      </c>
      <c r="V156" t="str">
        <f>IF(OR('Base Encuesta'!AC130="",IFERROR(VALUE(LEFT('Base Encuesta'!K130,1)),"")&gt;=3),"",VALUE(LEFT('Base Encuesta'!AC130,1)))</f>
        <v/>
      </c>
      <c r="W156" t="str">
        <f>IF(OR('Base Encuesta'!AE130="",IFERROR(VALUE(LEFT('Base Encuesta'!K130,1)),"")&gt;=3),"",VALUE(LEFT('Base Encuesta'!AE130,1)))</f>
        <v/>
      </c>
      <c r="X156" t="str">
        <f>IF(OR('Base Encuesta'!AF130="",IFERROR(VALUE(LEFT('Base Encuesta'!K130,1)),"")&gt;=3),"",IF(W156=1,VALUE(LEFT('Base Encuesta'!AF130,1)),""))</f>
        <v/>
      </c>
      <c r="Y156" t="str">
        <f>IF(OR('Base Encuesta'!AG130="",IFERROR(VALUE(LEFT('Base Encuesta'!K130,1)),"")&gt;=3),"",IF(W156=1,VALUE(LEFT('Base Encuesta'!AG130,1)),""))</f>
        <v/>
      </c>
      <c r="Z156" t="str">
        <f>IF(OR('Base Encuesta'!AH130="",IFERROR(VALUE(LEFT('Base Encuesta'!K130,1)),"")&gt;=3),"",IF(W156=1,VALUE(LEFT('Base Encuesta'!AH130,1)),""))</f>
        <v/>
      </c>
      <c r="AA156" t="str">
        <f>IF(OR('Base Encuesta'!AI130="",IFERROR(VALUE(LEFT('Base Encuesta'!K130,1)),"")&gt;=3),"",IF(W156=1,VALUE(LEFT('Base Encuesta'!AI130,1)),""))</f>
        <v/>
      </c>
      <c r="AB156" t="str">
        <f>IF(OR('Base Encuesta'!AJ130="",IFERROR(VALUE(LEFT('Base Encuesta'!K130,1)),"")&gt;=3),"",IF(W156=1,VALUE(LEFT('Base Encuesta'!AJ130,1)),""))</f>
        <v/>
      </c>
      <c r="AC156" t="str">
        <f>IF(OR('Base Encuesta'!AL130="",IFERROR(VALUE(LEFT('Base Encuesta'!K130,1)),"")&gt;=3),"",VALUE(LEFT('Base Encuesta'!AL130,1)))</f>
        <v/>
      </c>
      <c r="AD156" t="str">
        <f>IF(OR('Base Encuesta'!AM130="",IFERROR(VALUE(LEFT('Base Encuesta'!K130,1)),"")&gt;=3),"",VALUE(LEFT('Base Encuesta'!AM130,1)))</f>
        <v/>
      </c>
      <c r="AE156" t="str">
        <f>IF(OR('Base Encuesta'!AN130="",IFERROR(VALUE(LEFT('Base Encuesta'!K130,1)),"")&gt;=3),"",VALUE(LEFT('Base Encuesta'!AN130,1)))</f>
        <v/>
      </c>
      <c r="AF156" t="str">
        <f>IF(OR('Base Encuesta'!AO130="",IFERROR(VALUE(LEFT('Base Encuesta'!K130,1)),"")&gt;=3),"",VALUE(LEFT('Base Encuesta'!AO130,1)))</f>
        <v/>
      </c>
      <c r="AG156" t="str">
        <f>IF(OR('Base Encuesta'!AQ130="",IFERROR(VALUE(LEFT('Base Encuesta'!K130,1)),"")&gt;=3),"",VALUE(LEFT('Base Encuesta'!AQ130,1)))</f>
        <v/>
      </c>
      <c r="AH156" t="str">
        <f>IF(OR('Base Encuesta'!AR130="",IFERROR(VALUE(LEFT('Base Encuesta'!K130,1)),"")&gt;=3),"",VALUE(LEFT('Base Encuesta'!AR130,1)))</f>
        <v/>
      </c>
    </row>
    <row r="157" spans="1:34">
      <c r="A157" t="str">
        <f>IF('Base Encuesta'!C131="","",'Base Encuesta'!C131)</f>
        <v/>
      </c>
      <c r="B157" t="str">
        <f>IF('Base Encuesta'!D131="","",'Base Encuesta'!D131)</f>
        <v/>
      </c>
      <c r="C157" t="str">
        <f>IF('Base Encuesta'!E131="","",'Base Encuesta'!E131)</f>
        <v/>
      </c>
      <c r="D157" t="str">
        <f>IF('Base Encuesta'!F131="","",'Base Encuesta'!F131)</f>
        <v/>
      </c>
      <c r="E157" t="str">
        <f>IF('Base Encuesta'!G131="","",'Base Encuesta'!G131)</f>
        <v/>
      </c>
      <c r="F157" t="str">
        <f>IF('Base Encuesta'!H131="","",'Base Encuesta'!H131)</f>
        <v/>
      </c>
      <c r="G157" t="str">
        <f>IF('Base Encuesta'!I131="","",'Base Encuesta'!I131)</f>
        <v/>
      </c>
      <c r="H157" t="str">
        <f>IF('Base Encuesta'!J131="","",'Base Encuesta'!J131)</f>
        <v/>
      </c>
      <c r="I157" t="str">
        <f>IF('Base Encuesta'!K131="","",'Base Encuesta'!K131)</f>
        <v/>
      </c>
      <c r="J157" t="str">
        <f>IF(OR('Base Encuesta'!P131="",IFERROR(VALUE(LEFT('Base Encuesta'!K131,1)),"")&gt;=3),"",PROPER(TRIM('Base Encuesta'!P131)))</f>
        <v/>
      </c>
      <c r="K157" t="str">
        <f>IF(OR('Base Encuesta'!Q131="",IFERROR(VALUE(LEFT('Base Encuesta'!K131,1)),"")&gt;=3),"",'Base Encuesta'!Q131)</f>
        <v/>
      </c>
      <c r="L157" t="str">
        <f>IF(OR('Base Encuesta'!R131="",IFERROR(VALUE(LEFT('Base Encuesta'!K131,1)),"")&gt;=3),"",VALUE(LEFT('Base Encuesta'!R131,1)))</f>
        <v/>
      </c>
      <c r="M157" t="str">
        <f>IF(OR('Base Encuesta'!S131="",IFERROR(VALUE(LEFT('Base Encuesta'!K131,1)),"")&gt;=3),"",VALUE(LEFT('Base Encuesta'!S131,1)))</f>
        <v/>
      </c>
      <c r="N157" t="str">
        <f>IF(OR('Base Encuesta'!T131="",IFERROR(VALUE(LEFT('Base Encuesta'!K131,1)),"")&gt;=3),"",VALUE(LEFT('Base Encuesta'!T131,1)))</f>
        <v/>
      </c>
      <c r="O157" t="str">
        <f>IF(OR('Base Encuesta'!V131="",IFERROR(VALUE(LEFT('Base Encuesta'!K131,1)),"")&gt;=3),"",VALUE(LEFT('Base Encuesta'!V131,1)))</f>
        <v/>
      </c>
      <c r="P157" t="str">
        <f>IF(OR('Base Encuesta'!W131="",IFERROR(VALUE(LEFT('Base Encuesta'!K131,1)),"")&gt;=3),"",VALUE(LEFT('Base Encuesta'!W131,1)))</f>
        <v/>
      </c>
      <c r="Q157" t="str">
        <f>IF(OR('Base Encuesta'!X131="",IFERROR(VALUE(LEFT('Base Encuesta'!K131,1)),"")&gt;=3),"",VALUE(LEFT('Base Encuesta'!X131,1)))</f>
        <v/>
      </c>
      <c r="R157" t="str">
        <f>IF(OR('Base Encuesta'!Y131="",IFERROR(VALUE(LEFT('Base Encuesta'!K131,1)),"")&gt;=3),"",VALUE(LEFT('Base Encuesta'!Y131,1)))</f>
        <v/>
      </c>
      <c r="S157" t="str">
        <f>IF(OR('Base Encuesta'!Z131="",IFERROR(VALUE(LEFT('Base Encuesta'!K131,1)),"")&gt;=3),"",VALUE(LEFT('Base Encuesta'!Z131,1)))</f>
        <v/>
      </c>
      <c r="T157" t="str">
        <f>IF(OR('Base Encuesta'!AA131="",IFERROR(VALUE(LEFT('Base Encuesta'!K131,1)),"")&gt;=3),"",VALUE(LEFT('Base Encuesta'!AA131,1)))</f>
        <v/>
      </c>
      <c r="U157" t="str">
        <f>IF(OR('Base Encuesta'!AB131="",IFERROR(VALUE(LEFT('Base Encuesta'!K131,1)),"")&gt;=3),"",VALUE(LEFT('Base Encuesta'!AB131,1)))</f>
        <v/>
      </c>
      <c r="V157" t="str">
        <f>IF(OR('Base Encuesta'!AC131="",IFERROR(VALUE(LEFT('Base Encuesta'!K131,1)),"")&gt;=3),"",VALUE(LEFT('Base Encuesta'!AC131,1)))</f>
        <v/>
      </c>
      <c r="W157" t="str">
        <f>IF(OR('Base Encuesta'!AE131="",IFERROR(VALUE(LEFT('Base Encuesta'!K131,1)),"")&gt;=3),"",VALUE(LEFT('Base Encuesta'!AE131,1)))</f>
        <v/>
      </c>
      <c r="X157" t="str">
        <f>IF(OR('Base Encuesta'!AF131="",IFERROR(VALUE(LEFT('Base Encuesta'!K131,1)),"")&gt;=3),"",IF(W157=1,VALUE(LEFT('Base Encuesta'!AF131,1)),""))</f>
        <v/>
      </c>
      <c r="Y157" t="str">
        <f>IF(OR('Base Encuesta'!AG131="",IFERROR(VALUE(LEFT('Base Encuesta'!K131,1)),"")&gt;=3),"",IF(W157=1,VALUE(LEFT('Base Encuesta'!AG131,1)),""))</f>
        <v/>
      </c>
      <c r="Z157" t="str">
        <f>IF(OR('Base Encuesta'!AH131="",IFERROR(VALUE(LEFT('Base Encuesta'!K131,1)),"")&gt;=3),"",IF(W157=1,VALUE(LEFT('Base Encuesta'!AH131,1)),""))</f>
        <v/>
      </c>
      <c r="AA157" t="str">
        <f>IF(OR('Base Encuesta'!AI131="",IFERROR(VALUE(LEFT('Base Encuesta'!K131,1)),"")&gt;=3),"",IF(W157=1,VALUE(LEFT('Base Encuesta'!AI131,1)),""))</f>
        <v/>
      </c>
      <c r="AB157" t="str">
        <f>IF(OR('Base Encuesta'!AJ131="",IFERROR(VALUE(LEFT('Base Encuesta'!K131,1)),"")&gt;=3),"",IF(W157=1,VALUE(LEFT('Base Encuesta'!AJ131,1)),""))</f>
        <v/>
      </c>
      <c r="AC157" t="str">
        <f>IF(OR('Base Encuesta'!AL131="",IFERROR(VALUE(LEFT('Base Encuesta'!K131,1)),"")&gt;=3),"",VALUE(LEFT('Base Encuesta'!AL131,1)))</f>
        <v/>
      </c>
      <c r="AD157" t="str">
        <f>IF(OR('Base Encuesta'!AM131="",IFERROR(VALUE(LEFT('Base Encuesta'!K131,1)),"")&gt;=3),"",VALUE(LEFT('Base Encuesta'!AM131,1)))</f>
        <v/>
      </c>
      <c r="AE157" t="str">
        <f>IF(OR('Base Encuesta'!AN131="",IFERROR(VALUE(LEFT('Base Encuesta'!K131,1)),"")&gt;=3),"",VALUE(LEFT('Base Encuesta'!AN131,1)))</f>
        <v/>
      </c>
      <c r="AF157" t="str">
        <f>IF(OR('Base Encuesta'!AO131="",IFERROR(VALUE(LEFT('Base Encuesta'!K131,1)),"")&gt;=3),"",VALUE(LEFT('Base Encuesta'!AO131,1)))</f>
        <v/>
      </c>
      <c r="AG157" t="str">
        <f>IF(OR('Base Encuesta'!AQ131="",IFERROR(VALUE(LEFT('Base Encuesta'!K131,1)),"")&gt;=3),"",VALUE(LEFT('Base Encuesta'!AQ131,1)))</f>
        <v/>
      </c>
      <c r="AH157" t="str">
        <f>IF(OR('Base Encuesta'!AR131="",IFERROR(VALUE(LEFT('Base Encuesta'!K131,1)),"")&gt;=3),"",VALUE(LEFT('Base Encuesta'!AR131,1)))</f>
        <v/>
      </c>
    </row>
    <row r="158" spans="1:34">
      <c r="A158" t="str">
        <f>IF('Base Encuesta'!C132="","",'Base Encuesta'!C132)</f>
        <v/>
      </c>
      <c r="B158" t="str">
        <f>IF('Base Encuesta'!D132="","",'Base Encuesta'!D132)</f>
        <v/>
      </c>
      <c r="C158" t="str">
        <f>IF('Base Encuesta'!E132="","",'Base Encuesta'!E132)</f>
        <v/>
      </c>
      <c r="D158" t="str">
        <f>IF('Base Encuesta'!F132="","",'Base Encuesta'!F132)</f>
        <v/>
      </c>
      <c r="E158" t="str">
        <f>IF('Base Encuesta'!G132="","",'Base Encuesta'!G132)</f>
        <v/>
      </c>
      <c r="F158" t="str">
        <f>IF('Base Encuesta'!H132="","",'Base Encuesta'!H132)</f>
        <v/>
      </c>
      <c r="G158" t="str">
        <f>IF('Base Encuesta'!I132="","",'Base Encuesta'!I132)</f>
        <v/>
      </c>
      <c r="H158" t="str">
        <f>IF('Base Encuesta'!J132="","",'Base Encuesta'!J132)</f>
        <v/>
      </c>
      <c r="I158" t="str">
        <f>IF('Base Encuesta'!K132="","",'Base Encuesta'!K132)</f>
        <v/>
      </c>
      <c r="J158" t="str">
        <f>IF(OR('Base Encuesta'!P132="",IFERROR(VALUE(LEFT('Base Encuesta'!K132,1)),"")&gt;=3),"",PROPER(TRIM('Base Encuesta'!P132)))</f>
        <v/>
      </c>
      <c r="K158" t="str">
        <f>IF(OR('Base Encuesta'!Q132="",IFERROR(VALUE(LEFT('Base Encuesta'!K132,1)),"")&gt;=3),"",'Base Encuesta'!Q132)</f>
        <v/>
      </c>
      <c r="L158" t="str">
        <f>IF(OR('Base Encuesta'!R132="",IFERROR(VALUE(LEFT('Base Encuesta'!K132,1)),"")&gt;=3),"",VALUE(LEFT('Base Encuesta'!R132,1)))</f>
        <v/>
      </c>
      <c r="M158" t="str">
        <f>IF(OR('Base Encuesta'!S132="",IFERROR(VALUE(LEFT('Base Encuesta'!K132,1)),"")&gt;=3),"",VALUE(LEFT('Base Encuesta'!S132,1)))</f>
        <v/>
      </c>
      <c r="N158" t="str">
        <f>IF(OR('Base Encuesta'!T132="",IFERROR(VALUE(LEFT('Base Encuesta'!K132,1)),"")&gt;=3),"",VALUE(LEFT('Base Encuesta'!T132,1)))</f>
        <v/>
      </c>
      <c r="O158" t="str">
        <f>IF(OR('Base Encuesta'!V132="",IFERROR(VALUE(LEFT('Base Encuesta'!K132,1)),"")&gt;=3),"",VALUE(LEFT('Base Encuesta'!V132,1)))</f>
        <v/>
      </c>
      <c r="P158" t="str">
        <f>IF(OR('Base Encuesta'!W132="",IFERROR(VALUE(LEFT('Base Encuesta'!K132,1)),"")&gt;=3),"",VALUE(LEFT('Base Encuesta'!W132,1)))</f>
        <v/>
      </c>
      <c r="Q158" t="str">
        <f>IF(OR('Base Encuesta'!X132="",IFERROR(VALUE(LEFT('Base Encuesta'!K132,1)),"")&gt;=3),"",VALUE(LEFT('Base Encuesta'!X132,1)))</f>
        <v/>
      </c>
      <c r="R158" t="str">
        <f>IF(OR('Base Encuesta'!Y132="",IFERROR(VALUE(LEFT('Base Encuesta'!K132,1)),"")&gt;=3),"",VALUE(LEFT('Base Encuesta'!Y132,1)))</f>
        <v/>
      </c>
      <c r="S158" t="str">
        <f>IF(OR('Base Encuesta'!Z132="",IFERROR(VALUE(LEFT('Base Encuesta'!K132,1)),"")&gt;=3),"",VALUE(LEFT('Base Encuesta'!Z132,1)))</f>
        <v/>
      </c>
      <c r="T158" t="str">
        <f>IF(OR('Base Encuesta'!AA132="",IFERROR(VALUE(LEFT('Base Encuesta'!K132,1)),"")&gt;=3),"",VALUE(LEFT('Base Encuesta'!AA132,1)))</f>
        <v/>
      </c>
      <c r="U158" t="str">
        <f>IF(OR('Base Encuesta'!AB132="",IFERROR(VALUE(LEFT('Base Encuesta'!K132,1)),"")&gt;=3),"",VALUE(LEFT('Base Encuesta'!AB132,1)))</f>
        <v/>
      </c>
      <c r="V158" t="str">
        <f>IF(OR('Base Encuesta'!AC132="",IFERROR(VALUE(LEFT('Base Encuesta'!K132,1)),"")&gt;=3),"",VALUE(LEFT('Base Encuesta'!AC132,1)))</f>
        <v/>
      </c>
      <c r="W158" t="str">
        <f>IF(OR('Base Encuesta'!AE132="",IFERROR(VALUE(LEFT('Base Encuesta'!K132,1)),"")&gt;=3),"",VALUE(LEFT('Base Encuesta'!AE132,1)))</f>
        <v/>
      </c>
      <c r="X158" t="str">
        <f>IF(OR('Base Encuesta'!AF132="",IFERROR(VALUE(LEFT('Base Encuesta'!K132,1)),"")&gt;=3),"",IF(W158=1,VALUE(LEFT('Base Encuesta'!AF132,1)),""))</f>
        <v/>
      </c>
      <c r="Y158" t="str">
        <f>IF(OR('Base Encuesta'!AG132="",IFERROR(VALUE(LEFT('Base Encuesta'!K132,1)),"")&gt;=3),"",IF(W158=1,VALUE(LEFT('Base Encuesta'!AG132,1)),""))</f>
        <v/>
      </c>
      <c r="Z158" t="str">
        <f>IF(OR('Base Encuesta'!AH132="",IFERROR(VALUE(LEFT('Base Encuesta'!K132,1)),"")&gt;=3),"",IF(W158=1,VALUE(LEFT('Base Encuesta'!AH132,1)),""))</f>
        <v/>
      </c>
      <c r="AA158" t="str">
        <f>IF(OR('Base Encuesta'!AI132="",IFERROR(VALUE(LEFT('Base Encuesta'!K132,1)),"")&gt;=3),"",IF(W158=1,VALUE(LEFT('Base Encuesta'!AI132,1)),""))</f>
        <v/>
      </c>
      <c r="AB158" t="str">
        <f>IF(OR('Base Encuesta'!AJ132="",IFERROR(VALUE(LEFT('Base Encuesta'!K132,1)),"")&gt;=3),"",IF(W158=1,VALUE(LEFT('Base Encuesta'!AJ132,1)),""))</f>
        <v/>
      </c>
      <c r="AC158" t="str">
        <f>IF(OR('Base Encuesta'!AL132="",IFERROR(VALUE(LEFT('Base Encuesta'!K132,1)),"")&gt;=3),"",VALUE(LEFT('Base Encuesta'!AL132,1)))</f>
        <v/>
      </c>
      <c r="AD158" t="str">
        <f>IF(OR('Base Encuesta'!AM132="",IFERROR(VALUE(LEFT('Base Encuesta'!K132,1)),"")&gt;=3),"",VALUE(LEFT('Base Encuesta'!AM132,1)))</f>
        <v/>
      </c>
      <c r="AE158" t="str">
        <f>IF(OR('Base Encuesta'!AN132="",IFERROR(VALUE(LEFT('Base Encuesta'!K132,1)),"")&gt;=3),"",VALUE(LEFT('Base Encuesta'!AN132,1)))</f>
        <v/>
      </c>
      <c r="AF158" t="str">
        <f>IF(OR('Base Encuesta'!AO132="",IFERROR(VALUE(LEFT('Base Encuesta'!K132,1)),"")&gt;=3),"",VALUE(LEFT('Base Encuesta'!AO132,1)))</f>
        <v/>
      </c>
      <c r="AG158" t="str">
        <f>IF(OR('Base Encuesta'!AQ132="",IFERROR(VALUE(LEFT('Base Encuesta'!K132,1)),"")&gt;=3),"",VALUE(LEFT('Base Encuesta'!AQ132,1)))</f>
        <v/>
      </c>
      <c r="AH158" t="str">
        <f>IF(OR('Base Encuesta'!AR132="",IFERROR(VALUE(LEFT('Base Encuesta'!K132,1)),"")&gt;=3),"",VALUE(LEFT('Base Encuesta'!AR132,1)))</f>
        <v/>
      </c>
    </row>
    <row r="159" spans="1:34">
      <c r="A159" t="str">
        <f>IF('Base Encuesta'!C133="","",'Base Encuesta'!C133)</f>
        <v/>
      </c>
      <c r="B159" t="str">
        <f>IF('Base Encuesta'!D133="","",'Base Encuesta'!D133)</f>
        <v/>
      </c>
      <c r="C159" t="str">
        <f>IF('Base Encuesta'!E133="","",'Base Encuesta'!E133)</f>
        <v/>
      </c>
      <c r="D159" t="str">
        <f>IF('Base Encuesta'!F133="","",'Base Encuesta'!F133)</f>
        <v/>
      </c>
      <c r="E159" t="str">
        <f>IF('Base Encuesta'!G133="","",'Base Encuesta'!G133)</f>
        <v/>
      </c>
      <c r="F159" t="str">
        <f>IF('Base Encuesta'!H133="","",'Base Encuesta'!H133)</f>
        <v/>
      </c>
      <c r="G159" t="str">
        <f>IF('Base Encuesta'!I133="","",'Base Encuesta'!I133)</f>
        <v/>
      </c>
      <c r="H159" t="str">
        <f>IF('Base Encuesta'!J133="","",'Base Encuesta'!J133)</f>
        <v/>
      </c>
      <c r="I159" t="str">
        <f>IF('Base Encuesta'!K133="","",'Base Encuesta'!K133)</f>
        <v/>
      </c>
      <c r="J159" t="str">
        <f>IF(OR('Base Encuesta'!P133="",IFERROR(VALUE(LEFT('Base Encuesta'!K133,1)),"")&gt;=3),"",PROPER(TRIM('Base Encuesta'!P133)))</f>
        <v/>
      </c>
      <c r="K159" t="str">
        <f>IF(OR('Base Encuesta'!Q133="",IFERROR(VALUE(LEFT('Base Encuesta'!K133,1)),"")&gt;=3),"",'Base Encuesta'!Q133)</f>
        <v/>
      </c>
      <c r="L159" t="str">
        <f>IF(OR('Base Encuesta'!R133="",IFERROR(VALUE(LEFT('Base Encuesta'!K133,1)),"")&gt;=3),"",VALUE(LEFT('Base Encuesta'!R133,1)))</f>
        <v/>
      </c>
      <c r="M159" t="str">
        <f>IF(OR('Base Encuesta'!S133="",IFERROR(VALUE(LEFT('Base Encuesta'!K133,1)),"")&gt;=3),"",VALUE(LEFT('Base Encuesta'!S133,1)))</f>
        <v/>
      </c>
      <c r="N159" t="str">
        <f>IF(OR('Base Encuesta'!T133="",IFERROR(VALUE(LEFT('Base Encuesta'!K133,1)),"")&gt;=3),"",VALUE(LEFT('Base Encuesta'!T133,1)))</f>
        <v/>
      </c>
      <c r="O159" t="str">
        <f>IF(OR('Base Encuesta'!V133="",IFERROR(VALUE(LEFT('Base Encuesta'!K133,1)),"")&gt;=3),"",VALUE(LEFT('Base Encuesta'!V133,1)))</f>
        <v/>
      </c>
      <c r="P159" t="str">
        <f>IF(OR('Base Encuesta'!W133="",IFERROR(VALUE(LEFT('Base Encuesta'!K133,1)),"")&gt;=3),"",VALUE(LEFT('Base Encuesta'!W133,1)))</f>
        <v/>
      </c>
      <c r="Q159" t="str">
        <f>IF(OR('Base Encuesta'!X133="",IFERROR(VALUE(LEFT('Base Encuesta'!K133,1)),"")&gt;=3),"",VALUE(LEFT('Base Encuesta'!X133,1)))</f>
        <v/>
      </c>
      <c r="R159" t="str">
        <f>IF(OR('Base Encuesta'!Y133="",IFERROR(VALUE(LEFT('Base Encuesta'!K133,1)),"")&gt;=3),"",VALUE(LEFT('Base Encuesta'!Y133,1)))</f>
        <v/>
      </c>
      <c r="S159" t="str">
        <f>IF(OR('Base Encuesta'!Z133="",IFERROR(VALUE(LEFT('Base Encuesta'!K133,1)),"")&gt;=3),"",VALUE(LEFT('Base Encuesta'!Z133,1)))</f>
        <v/>
      </c>
      <c r="T159" t="str">
        <f>IF(OR('Base Encuesta'!AA133="",IFERROR(VALUE(LEFT('Base Encuesta'!K133,1)),"")&gt;=3),"",VALUE(LEFT('Base Encuesta'!AA133,1)))</f>
        <v/>
      </c>
      <c r="U159" t="str">
        <f>IF(OR('Base Encuesta'!AB133="",IFERROR(VALUE(LEFT('Base Encuesta'!K133,1)),"")&gt;=3),"",VALUE(LEFT('Base Encuesta'!AB133,1)))</f>
        <v/>
      </c>
      <c r="V159" t="str">
        <f>IF(OR('Base Encuesta'!AC133="",IFERROR(VALUE(LEFT('Base Encuesta'!K133,1)),"")&gt;=3),"",VALUE(LEFT('Base Encuesta'!AC133,1)))</f>
        <v/>
      </c>
      <c r="W159" t="str">
        <f>IF(OR('Base Encuesta'!AE133="",IFERROR(VALUE(LEFT('Base Encuesta'!K133,1)),"")&gt;=3),"",VALUE(LEFT('Base Encuesta'!AE133,1)))</f>
        <v/>
      </c>
      <c r="X159" t="str">
        <f>IF(OR('Base Encuesta'!AF133="",IFERROR(VALUE(LEFT('Base Encuesta'!K133,1)),"")&gt;=3),"",IF(W159=1,VALUE(LEFT('Base Encuesta'!AF133,1)),""))</f>
        <v/>
      </c>
      <c r="Y159" t="str">
        <f>IF(OR('Base Encuesta'!AG133="",IFERROR(VALUE(LEFT('Base Encuesta'!K133,1)),"")&gt;=3),"",IF(W159=1,VALUE(LEFT('Base Encuesta'!AG133,1)),""))</f>
        <v/>
      </c>
      <c r="Z159" t="str">
        <f>IF(OR('Base Encuesta'!AH133="",IFERROR(VALUE(LEFT('Base Encuesta'!K133,1)),"")&gt;=3),"",IF(W159=1,VALUE(LEFT('Base Encuesta'!AH133,1)),""))</f>
        <v/>
      </c>
      <c r="AA159" t="str">
        <f>IF(OR('Base Encuesta'!AI133="",IFERROR(VALUE(LEFT('Base Encuesta'!K133,1)),"")&gt;=3),"",IF(W159=1,VALUE(LEFT('Base Encuesta'!AI133,1)),""))</f>
        <v/>
      </c>
      <c r="AB159" t="str">
        <f>IF(OR('Base Encuesta'!AJ133="",IFERROR(VALUE(LEFT('Base Encuesta'!K133,1)),"")&gt;=3),"",IF(W159=1,VALUE(LEFT('Base Encuesta'!AJ133,1)),""))</f>
        <v/>
      </c>
      <c r="AC159" t="str">
        <f>IF(OR('Base Encuesta'!AL133="",IFERROR(VALUE(LEFT('Base Encuesta'!K133,1)),"")&gt;=3),"",VALUE(LEFT('Base Encuesta'!AL133,1)))</f>
        <v/>
      </c>
      <c r="AD159" t="str">
        <f>IF(OR('Base Encuesta'!AM133="",IFERROR(VALUE(LEFT('Base Encuesta'!K133,1)),"")&gt;=3),"",VALUE(LEFT('Base Encuesta'!AM133,1)))</f>
        <v/>
      </c>
      <c r="AE159" t="str">
        <f>IF(OR('Base Encuesta'!AN133="",IFERROR(VALUE(LEFT('Base Encuesta'!K133,1)),"")&gt;=3),"",VALUE(LEFT('Base Encuesta'!AN133,1)))</f>
        <v/>
      </c>
      <c r="AF159" t="str">
        <f>IF(OR('Base Encuesta'!AO133="",IFERROR(VALUE(LEFT('Base Encuesta'!K133,1)),"")&gt;=3),"",VALUE(LEFT('Base Encuesta'!AO133,1)))</f>
        <v/>
      </c>
      <c r="AG159" t="str">
        <f>IF(OR('Base Encuesta'!AQ133="",IFERROR(VALUE(LEFT('Base Encuesta'!K133,1)),"")&gt;=3),"",VALUE(LEFT('Base Encuesta'!AQ133,1)))</f>
        <v/>
      </c>
      <c r="AH159" t="str">
        <f>IF(OR('Base Encuesta'!AR133="",IFERROR(VALUE(LEFT('Base Encuesta'!K133,1)),"")&gt;=3),"",VALUE(LEFT('Base Encuesta'!AR133,1)))</f>
        <v/>
      </c>
    </row>
    <row r="160" spans="1:34">
      <c r="A160" t="str">
        <f>IF('Base Encuesta'!C134="","",'Base Encuesta'!C134)</f>
        <v/>
      </c>
      <c r="B160" t="str">
        <f>IF('Base Encuesta'!D134="","",'Base Encuesta'!D134)</f>
        <v/>
      </c>
      <c r="C160" t="str">
        <f>IF('Base Encuesta'!E134="","",'Base Encuesta'!E134)</f>
        <v/>
      </c>
      <c r="D160" t="str">
        <f>IF('Base Encuesta'!F134="","",'Base Encuesta'!F134)</f>
        <v/>
      </c>
      <c r="E160" t="str">
        <f>IF('Base Encuesta'!G134="","",'Base Encuesta'!G134)</f>
        <v/>
      </c>
      <c r="F160" t="str">
        <f>IF('Base Encuesta'!H134="","",'Base Encuesta'!H134)</f>
        <v/>
      </c>
      <c r="G160" t="str">
        <f>IF('Base Encuesta'!I134="","",'Base Encuesta'!I134)</f>
        <v/>
      </c>
      <c r="H160" t="str">
        <f>IF('Base Encuesta'!J134="","",'Base Encuesta'!J134)</f>
        <v/>
      </c>
      <c r="I160" t="str">
        <f>IF('Base Encuesta'!K134="","",'Base Encuesta'!K134)</f>
        <v/>
      </c>
      <c r="J160" t="str">
        <f>IF(OR('Base Encuesta'!P134="",IFERROR(VALUE(LEFT('Base Encuesta'!K134,1)),"")&gt;=3),"",PROPER(TRIM('Base Encuesta'!P134)))</f>
        <v/>
      </c>
      <c r="K160" t="str">
        <f>IF(OR('Base Encuesta'!Q134="",IFERROR(VALUE(LEFT('Base Encuesta'!K134,1)),"")&gt;=3),"",'Base Encuesta'!Q134)</f>
        <v/>
      </c>
      <c r="L160" t="str">
        <f>IF(OR('Base Encuesta'!R134="",IFERROR(VALUE(LEFT('Base Encuesta'!K134,1)),"")&gt;=3),"",VALUE(LEFT('Base Encuesta'!R134,1)))</f>
        <v/>
      </c>
      <c r="M160" t="str">
        <f>IF(OR('Base Encuesta'!S134="",IFERROR(VALUE(LEFT('Base Encuesta'!K134,1)),"")&gt;=3),"",VALUE(LEFT('Base Encuesta'!S134,1)))</f>
        <v/>
      </c>
      <c r="N160" t="str">
        <f>IF(OR('Base Encuesta'!T134="",IFERROR(VALUE(LEFT('Base Encuesta'!K134,1)),"")&gt;=3),"",VALUE(LEFT('Base Encuesta'!T134,1)))</f>
        <v/>
      </c>
      <c r="O160" t="str">
        <f>IF(OR('Base Encuesta'!V134="",IFERROR(VALUE(LEFT('Base Encuesta'!K134,1)),"")&gt;=3),"",VALUE(LEFT('Base Encuesta'!V134,1)))</f>
        <v/>
      </c>
      <c r="P160" t="str">
        <f>IF(OR('Base Encuesta'!W134="",IFERROR(VALUE(LEFT('Base Encuesta'!K134,1)),"")&gt;=3),"",VALUE(LEFT('Base Encuesta'!W134,1)))</f>
        <v/>
      </c>
      <c r="Q160" t="str">
        <f>IF(OR('Base Encuesta'!X134="",IFERROR(VALUE(LEFT('Base Encuesta'!K134,1)),"")&gt;=3),"",VALUE(LEFT('Base Encuesta'!X134,1)))</f>
        <v/>
      </c>
      <c r="R160" t="str">
        <f>IF(OR('Base Encuesta'!Y134="",IFERROR(VALUE(LEFT('Base Encuesta'!K134,1)),"")&gt;=3),"",VALUE(LEFT('Base Encuesta'!Y134,1)))</f>
        <v/>
      </c>
      <c r="S160" t="str">
        <f>IF(OR('Base Encuesta'!Z134="",IFERROR(VALUE(LEFT('Base Encuesta'!K134,1)),"")&gt;=3),"",VALUE(LEFT('Base Encuesta'!Z134,1)))</f>
        <v/>
      </c>
      <c r="T160" t="str">
        <f>IF(OR('Base Encuesta'!AA134="",IFERROR(VALUE(LEFT('Base Encuesta'!K134,1)),"")&gt;=3),"",VALUE(LEFT('Base Encuesta'!AA134,1)))</f>
        <v/>
      </c>
      <c r="U160" t="str">
        <f>IF(OR('Base Encuesta'!AB134="",IFERROR(VALUE(LEFT('Base Encuesta'!K134,1)),"")&gt;=3),"",VALUE(LEFT('Base Encuesta'!AB134,1)))</f>
        <v/>
      </c>
      <c r="V160" t="str">
        <f>IF(OR('Base Encuesta'!AC134="",IFERROR(VALUE(LEFT('Base Encuesta'!K134,1)),"")&gt;=3),"",VALUE(LEFT('Base Encuesta'!AC134,1)))</f>
        <v/>
      </c>
      <c r="W160" t="str">
        <f>IF(OR('Base Encuesta'!AE134="",IFERROR(VALUE(LEFT('Base Encuesta'!K134,1)),"")&gt;=3),"",VALUE(LEFT('Base Encuesta'!AE134,1)))</f>
        <v/>
      </c>
      <c r="X160" t="str">
        <f>IF(OR('Base Encuesta'!AF134="",IFERROR(VALUE(LEFT('Base Encuesta'!K134,1)),"")&gt;=3),"",IF(W160=1,VALUE(LEFT('Base Encuesta'!AF134,1)),""))</f>
        <v/>
      </c>
      <c r="Y160" t="str">
        <f>IF(OR('Base Encuesta'!AG134="",IFERROR(VALUE(LEFT('Base Encuesta'!K134,1)),"")&gt;=3),"",IF(W160=1,VALUE(LEFT('Base Encuesta'!AG134,1)),""))</f>
        <v/>
      </c>
      <c r="Z160" t="str">
        <f>IF(OR('Base Encuesta'!AH134="",IFERROR(VALUE(LEFT('Base Encuesta'!K134,1)),"")&gt;=3),"",IF(W160=1,VALUE(LEFT('Base Encuesta'!AH134,1)),""))</f>
        <v/>
      </c>
      <c r="AA160" t="str">
        <f>IF(OR('Base Encuesta'!AI134="",IFERROR(VALUE(LEFT('Base Encuesta'!K134,1)),"")&gt;=3),"",IF(W160=1,VALUE(LEFT('Base Encuesta'!AI134,1)),""))</f>
        <v/>
      </c>
      <c r="AB160" t="str">
        <f>IF(OR('Base Encuesta'!AJ134="",IFERROR(VALUE(LEFT('Base Encuesta'!K134,1)),"")&gt;=3),"",IF(W160=1,VALUE(LEFT('Base Encuesta'!AJ134,1)),""))</f>
        <v/>
      </c>
      <c r="AC160" t="str">
        <f>IF(OR('Base Encuesta'!AL134="",IFERROR(VALUE(LEFT('Base Encuesta'!K134,1)),"")&gt;=3),"",VALUE(LEFT('Base Encuesta'!AL134,1)))</f>
        <v/>
      </c>
      <c r="AD160" t="str">
        <f>IF(OR('Base Encuesta'!AM134="",IFERROR(VALUE(LEFT('Base Encuesta'!K134,1)),"")&gt;=3),"",VALUE(LEFT('Base Encuesta'!AM134,1)))</f>
        <v/>
      </c>
      <c r="AE160" t="str">
        <f>IF(OR('Base Encuesta'!AN134="",IFERROR(VALUE(LEFT('Base Encuesta'!K134,1)),"")&gt;=3),"",VALUE(LEFT('Base Encuesta'!AN134,1)))</f>
        <v/>
      </c>
      <c r="AF160" t="str">
        <f>IF(OR('Base Encuesta'!AO134="",IFERROR(VALUE(LEFT('Base Encuesta'!K134,1)),"")&gt;=3),"",VALUE(LEFT('Base Encuesta'!AO134,1)))</f>
        <v/>
      </c>
      <c r="AG160" t="str">
        <f>IF(OR('Base Encuesta'!AQ134="",IFERROR(VALUE(LEFT('Base Encuesta'!K134,1)),"")&gt;=3),"",VALUE(LEFT('Base Encuesta'!AQ134,1)))</f>
        <v/>
      </c>
      <c r="AH160" t="str">
        <f>IF(OR('Base Encuesta'!AR134="",IFERROR(VALUE(LEFT('Base Encuesta'!K134,1)),"")&gt;=3),"",VALUE(LEFT('Base Encuesta'!AR134,1)))</f>
        <v/>
      </c>
    </row>
    <row r="161" spans="1:34">
      <c r="A161" t="str">
        <f>IF('Base Encuesta'!C135="","",'Base Encuesta'!C135)</f>
        <v/>
      </c>
      <c r="B161" t="str">
        <f>IF('Base Encuesta'!D135="","",'Base Encuesta'!D135)</f>
        <v/>
      </c>
      <c r="C161" t="str">
        <f>IF('Base Encuesta'!E135="","",'Base Encuesta'!E135)</f>
        <v/>
      </c>
      <c r="D161" t="str">
        <f>IF('Base Encuesta'!F135="","",'Base Encuesta'!F135)</f>
        <v/>
      </c>
      <c r="E161" t="str">
        <f>IF('Base Encuesta'!G135="","",'Base Encuesta'!G135)</f>
        <v/>
      </c>
      <c r="F161" t="str">
        <f>IF('Base Encuesta'!H135="","",'Base Encuesta'!H135)</f>
        <v/>
      </c>
      <c r="G161" t="str">
        <f>IF('Base Encuesta'!I135="","",'Base Encuesta'!I135)</f>
        <v/>
      </c>
      <c r="H161" t="str">
        <f>IF('Base Encuesta'!J135="","",'Base Encuesta'!J135)</f>
        <v/>
      </c>
      <c r="I161" t="str">
        <f>IF('Base Encuesta'!K135="","",'Base Encuesta'!K135)</f>
        <v/>
      </c>
      <c r="J161" t="str">
        <f>IF(OR('Base Encuesta'!P135="",IFERROR(VALUE(LEFT('Base Encuesta'!K135,1)),"")&gt;=3),"",PROPER(TRIM('Base Encuesta'!P135)))</f>
        <v/>
      </c>
      <c r="K161" t="str">
        <f>IF(OR('Base Encuesta'!Q135="",IFERROR(VALUE(LEFT('Base Encuesta'!K135,1)),"")&gt;=3),"",'Base Encuesta'!Q135)</f>
        <v/>
      </c>
      <c r="L161" t="str">
        <f>IF(OR('Base Encuesta'!R135="",IFERROR(VALUE(LEFT('Base Encuesta'!K135,1)),"")&gt;=3),"",VALUE(LEFT('Base Encuesta'!R135,1)))</f>
        <v/>
      </c>
      <c r="M161" t="str">
        <f>IF(OR('Base Encuesta'!S135="",IFERROR(VALUE(LEFT('Base Encuesta'!K135,1)),"")&gt;=3),"",VALUE(LEFT('Base Encuesta'!S135,1)))</f>
        <v/>
      </c>
      <c r="N161" t="str">
        <f>IF(OR('Base Encuesta'!T135="",IFERROR(VALUE(LEFT('Base Encuesta'!K135,1)),"")&gt;=3),"",VALUE(LEFT('Base Encuesta'!T135,1)))</f>
        <v/>
      </c>
      <c r="O161" t="str">
        <f>IF(OR('Base Encuesta'!V135="",IFERROR(VALUE(LEFT('Base Encuesta'!K135,1)),"")&gt;=3),"",VALUE(LEFT('Base Encuesta'!V135,1)))</f>
        <v/>
      </c>
      <c r="P161" t="str">
        <f>IF(OR('Base Encuesta'!W135="",IFERROR(VALUE(LEFT('Base Encuesta'!K135,1)),"")&gt;=3),"",VALUE(LEFT('Base Encuesta'!W135,1)))</f>
        <v/>
      </c>
      <c r="Q161" t="str">
        <f>IF(OR('Base Encuesta'!X135="",IFERROR(VALUE(LEFT('Base Encuesta'!K135,1)),"")&gt;=3),"",VALUE(LEFT('Base Encuesta'!X135,1)))</f>
        <v/>
      </c>
      <c r="R161" t="str">
        <f>IF(OR('Base Encuesta'!Y135="",IFERROR(VALUE(LEFT('Base Encuesta'!K135,1)),"")&gt;=3),"",VALUE(LEFT('Base Encuesta'!Y135,1)))</f>
        <v/>
      </c>
      <c r="S161" t="str">
        <f>IF(OR('Base Encuesta'!Z135="",IFERROR(VALUE(LEFT('Base Encuesta'!K135,1)),"")&gt;=3),"",VALUE(LEFT('Base Encuesta'!Z135,1)))</f>
        <v/>
      </c>
      <c r="T161" t="str">
        <f>IF(OR('Base Encuesta'!AA135="",IFERROR(VALUE(LEFT('Base Encuesta'!K135,1)),"")&gt;=3),"",VALUE(LEFT('Base Encuesta'!AA135,1)))</f>
        <v/>
      </c>
      <c r="U161" t="str">
        <f>IF(OR('Base Encuesta'!AB135="",IFERROR(VALUE(LEFT('Base Encuesta'!K135,1)),"")&gt;=3),"",VALUE(LEFT('Base Encuesta'!AB135,1)))</f>
        <v/>
      </c>
      <c r="V161" t="str">
        <f>IF(OR('Base Encuesta'!AC135="",IFERROR(VALUE(LEFT('Base Encuesta'!K135,1)),"")&gt;=3),"",VALUE(LEFT('Base Encuesta'!AC135,1)))</f>
        <v/>
      </c>
      <c r="W161" t="str">
        <f>IF(OR('Base Encuesta'!AE135="",IFERROR(VALUE(LEFT('Base Encuesta'!K135,1)),"")&gt;=3),"",VALUE(LEFT('Base Encuesta'!AE135,1)))</f>
        <v/>
      </c>
      <c r="X161" t="str">
        <f>IF(OR('Base Encuesta'!AF135="",IFERROR(VALUE(LEFT('Base Encuesta'!K135,1)),"")&gt;=3),"",IF(W161=1,VALUE(LEFT('Base Encuesta'!AF135,1)),""))</f>
        <v/>
      </c>
      <c r="Y161" t="str">
        <f>IF(OR('Base Encuesta'!AG135="",IFERROR(VALUE(LEFT('Base Encuesta'!K135,1)),"")&gt;=3),"",IF(W161=1,VALUE(LEFT('Base Encuesta'!AG135,1)),""))</f>
        <v/>
      </c>
      <c r="Z161" t="str">
        <f>IF(OR('Base Encuesta'!AH135="",IFERROR(VALUE(LEFT('Base Encuesta'!K135,1)),"")&gt;=3),"",IF(W161=1,VALUE(LEFT('Base Encuesta'!AH135,1)),""))</f>
        <v/>
      </c>
      <c r="AA161" t="str">
        <f>IF(OR('Base Encuesta'!AI135="",IFERROR(VALUE(LEFT('Base Encuesta'!K135,1)),"")&gt;=3),"",IF(W161=1,VALUE(LEFT('Base Encuesta'!AI135,1)),""))</f>
        <v/>
      </c>
      <c r="AB161" t="str">
        <f>IF(OR('Base Encuesta'!AJ135="",IFERROR(VALUE(LEFT('Base Encuesta'!K135,1)),"")&gt;=3),"",IF(W161=1,VALUE(LEFT('Base Encuesta'!AJ135,1)),""))</f>
        <v/>
      </c>
      <c r="AC161" t="str">
        <f>IF(OR('Base Encuesta'!AL135="",IFERROR(VALUE(LEFT('Base Encuesta'!K135,1)),"")&gt;=3),"",VALUE(LEFT('Base Encuesta'!AL135,1)))</f>
        <v/>
      </c>
      <c r="AD161" t="str">
        <f>IF(OR('Base Encuesta'!AM135="",IFERROR(VALUE(LEFT('Base Encuesta'!K135,1)),"")&gt;=3),"",VALUE(LEFT('Base Encuesta'!AM135,1)))</f>
        <v/>
      </c>
      <c r="AE161" t="str">
        <f>IF(OR('Base Encuesta'!AN135="",IFERROR(VALUE(LEFT('Base Encuesta'!K135,1)),"")&gt;=3),"",VALUE(LEFT('Base Encuesta'!AN135,1)))</f>
        <v/>
      </c>
      <c r="AF161" t="str">
        <f>IF(OR('Base Encuesta'!AO135="",IFERROR(VALUE(LEFT('Base Encuesta'!K135,1)),"")&gt;=3),"",VALUE(LEFT('Base Encuesta'!AO135,1)))</f>
        <v/>
      </c>
      <c r="AG161" t="str">
        <f>IF(OR('Base Encuesta'!AQ135="",IFERROR(VALUE(LEFT('Base Encuesta'!K135,1)),"")&gt;=3),"",VALUE(LEFT('Base Encuesta'!AQ135,1)))</f>
        <v/>
      </c>
      <c r="AH161" t="str">
        <f>IF(OR('Base Encuesta'!AR135="",IFERROR(VALUE(LEFT('Base Encuesta'!K135,1)),"")&gt;=3),"",VALUE(LEFT('Base Encuesta'!AR135,1)))</f>
        <v/>
      </c>
    </row>
    <row r="162" spans="1:34">
      <c r="A162" t="str">
        <f>IF('Base Encuesta'!C136="","",'Base Encuesta'!C136)</f>
        <v/>
      </c>
      <c r="B162" t="str">
        <f>IF('Base Encuesta'!D136="","",'Base Encuesta'!D136)</f>
        <v/>
      </c>
      <c r="C162" t="str">
        <f>IF('Base Encuesta'!E136="","",'Base Encuesta'!E136)</f>
        <v/>
      </c>
      <c r="D162" t="str">
        <f>IF('Base Encuesta'!F136="","",'Base Encuesta'!F136)</f>
        <v/>
      </c>
      <c r="E162" t="str">
        <f>IF('Base Encuesta'!G136="","",'Base Encuesta'!G136)</f>
        <v/>
      </c>
      <c r="F162" t="str">
        <f>IF('Base Encuesta'!H136="","",'Base Encuesta'!H136)</f>
        <v/>
      </c>
      <c r="G162" t="str">
        <f>IF('Base Encuesta'!I136="","",'Base Encuesta'!I136)</f>
        <v/>
      </c>
      <c r="H162" t="str">
        <f>IF('Base Encuesta'!J136="","",'Base Encuesta'!J136)</f>
        <v/>
      </c>
      <c r="I162" t="str">
        <f>IF('Base Encuesta'!K136="","",'Base Encuesta'!K136)</f>
        <v/>
      </c>
      <c r="J162" t="str">
        <f>IF(OR('Base Encuesta'!P136="",IFERROR(VALUE(LEFT('Base Encuesta'!K136,1)),"")&gt;=3),"",PROPER(TRIM('Base Encuesta'!P136)))</f>
        <v/>
      </c>
      <c r="K162" t="str">
        <f>IF(OR('Base Encuesta'!Q136="",IFERROR(VALUE(LEFT('Base Encuesta'!K136,1)),"")&gt;=3),"",'Base Encuesta'!Q136)</f>
        <v/>
      </c>
      <c r="L162" t="str">
        <f>IF(OR('Base Encuesta'!R136="",IFERROR(VALUE(LEFT('Base Encuesta'!K136,1)),"")&gt;=3),"",VALUE(LEFT('Base Encuesta'!R136,1)))</f>
        <v/>
      </c>
      <c r="M162" t="str">
        <f>IF(OR('Base Encuesta'!S136="",IFERROR(VALUE(LEFT('Base Encuesta'!K136,1)),"")&gt;=3),"",VALUE(LEFT('Base Encuesta'!S136,1)))</f>
        <v/>
      </c>
      <c r="N162" t="str">
        <f>IF(OR('Base Encuesta'!T136="",IFERROR(VALUE(LEFT('Base Encuesta'!K136,1)),"")&gt;=3),"",VALUE(LEFT('Base Encuesta'!T136,1)))</f>
        <v/>
      </c>
      <c r="O162" t="str">
        <f>IF(OR('Base Encuesta'!V136="",IFERROR(VALUE(LEFT('Base Encuesta'!K136,1)),"")&gt;=3),"",VALUE(LEFT('Base Encuesta'!V136,1)))</f>
        <v/>
      </c>
      <c r="P162" t="str">
        <f>IF(OR('Base Encuesta'!W136="",IFERROR(VALUE(LEFT('Base Encuesta'!K136,1)),"")&gt;=3),"",VALUE(LEFT('Base Encuesta'!W136,1)))</f>
        <v/>
      </c>
      <c r="Q162" t="str">
        <f>IF(OR('Base Encuesta'!X136="",IFERROR(VALUE(LEFT('Base Encuesta'!K136,1)),"")&gt;=3),"",VALUE(LEFT('Base Encuesta'!X136,1)))</f>
        <v/>
      </c>
      <c r="R162" t="str">
        <f>IF(OR('Base Encuesta'!Y136="",IFERROR(VALUE(LEFT('Base Encuesta'!K136,1)),"")&gt;=3),"",VALUE(LEFT('Base Encuesta'!Y136,1)))</f>
        <v/>
      </c>
      <c r="S162" t="str">
        <f>IF(OR('Base Encuesta'!Z136="",IFERROR(VALUE(LEFT('Base Encuesta'!K136,1)),"")&gt;=3),"",VALUE(LEFT('Base Encuesta'!Z136,1)))</f>
        <v/>
      </c>
      <c r="T162" t="str">
        <f>IF(OR('Base Encuesta'!AA136="",IFERROR(VALUE(LEFT('Base Encuesta'!K136,1)),"")&gt;=3),"",VALUE(LEFT('Base Encuesta'!AA136,1)))</f>
        <v/>
      </c>
      <c r="U162" t="str">
        <f>IF(OR('Base Encuesta'!AB136="",IFERROR(VALUE(LEFT('Base Encuesta'!K136,1)),"")&gt;=3),"",VALUE(LEFT('Base Encuesta'!AB136,1)))</f>
        <v/>
      </c>
      <c r="V162" t="str">
        <f>IF(OR('Base Encuesta'!AC136="",IFERROR(VALUE(LEFT('Base Encuesta'!K136,1)),"")&gt;=3),"",VALUE(LEFT('Base Encuesta'!AC136,1)))</f>
        <v/>
      </c>
      <c r="W162" t="str">
        <f>IF(OR('Base Encuesta'!AE136="",IFERROR(VALUE(LEFT('Base Encuesta'!K136,1)),"")&gt;=3),"",VALUE(LEFT('Base Encuesta'!AE136,1)))</f>
        <v/>
      </c>
      <c r="X162" t="str">
        <f>IF(OR('Base Encuesta'!AF136="",IFERROR(VALUE(LEFT('Base Encuesta'!K136,1)),"")&gt;=3),"",IF(W162=1,VALUE(LEFT('Base Encuesta'!AF136,1)),""))</f>
        <v/>
      </c>
      <c r="Y162" t="str">
        <f>IF(OR('Base Encuesta'!AG136="",IFERROR(VALUE(LEFT('Base Encuesta'!K136,1)),"")&gt;=3),"",IF(W162=1,VALUE(LEFT('Base Encuesta'!AG136,1)),""))</f>
        <v/>
      </c>
      <c r="Z162" t="str">
        <f>IF(OR('Base Encuesta'!AH136="",IFERROR(VALUE(LEFT('Base Encuesta'!K136,1)),"")&gt;=3),"",IF(W162=1,VALUE(LEFT('Base Encuesta'!AH136,1)),""))</f>
        <v/>
      </c>
      <c r="AA162" t="str">
        <f>IF(OR('Base Encuesta'!AI136="",IFERROR(VALUE(LEFT('Base Encuesta'!K136,1)),"")&gt;=3),"",IF(W162=1,VALUE(LEFT('Base Encuesta'!AI136,1)),""))</f>
        <v/>
      </c>
      <c r="AB162" t="str">
        <f>IF(OR('Base Encuesta'!AJ136="",IFERROR(VALUE(LEFT('Base Encuesta'!K136,1)),"")&gt;=3),"",IF(W162=1,VALUE(LEFT('Base Encuesta'!AJ136,1)),""))</f>
        <v/>
      </c>
      <c r="AC162" t="str">
        <f>IF(OR('Base Encuesta'!AL136="",IFERROR(VALUE(LEFT('Base Encuesta'!K136,1)),"")&gt;=3),"",VALUE(LEFT('Base Encuesta'!AL136,1)))</f>
        <v/>
      </c>
      <c r="AD162" t="str">
        <f>IF(OR('Base Encuesta'!AM136="",IFERROR(VALUE(LEFT('Base Encuesta'!K136,1)),"")&gt;=3),"",VALUE(LEFT('Base Encuesta'!AM136,1)))</f>
        <v/>
      </c>
      <c r="AE162" t="str">
        <f>IF(OR('Base Encuesta'!AN136="",IFERROR(VALUE(LEFT('Base Encuesta'!K136,1)),"")&gt;=3),"",VALUE(LEFT('Base Encuesta'!AN136,1)))</f>
        <v/>
      </c>
      <c r="AF162" t="str">
        <f>IF(OR('Base Encuesta'!AO136="",IFERROR(VALUE(LEFT('Base Encuesta'!K136,1)),"")&gt;=3),"",VALUE(LEFT('Base Encuesta'!AO136,1)))</f>
        <v/>
      </c>
      <c r="AG162" t="str">
        <f>IF(OR('Base Encuesta'!AQ136="",IFERROR(VALUE(LEFT('Base Encuesta'!K136,1)),"")&gt;=3),"",VALUE(LEFT('Base Encuesta'!AQ136,1)))</f>
        <v/>
      </c>
      <c r="AH162" t="str">
        <f>IF(OR('Base Encuesta'!AR136="",IFERROR(VALUE(LEFT('Base Encuesta'!K136,1)),"")&gt;=3),"",VALUE(LEFT('Base Encuesta'!AR136,1)))</f>
        <v/>
      </c>
    </row>
    <row r="163" spans="1:34">
      <c r="A163" t="str">
        <f>IF('Base Encuesta'!C137="","",'Base Encuesta'!C137)</f>
        <v/>
      </c>
      <c r="B163" t="str">
        <f>IF('Base Encuesta'!D137="","",'Base Encuesta'!D137)</f>
        <v/>
      </c>
      <c r="C163" t="str">
        <f>IF('Base Encuesta'!E137="","",'Base Encuesta'!E137)</f>
        <v/>
      </c>
      <c r="D163" t="str">
        <f>IF('Base Encuesta'!F137="","",'Base Encuesta'!F137)</f>
        <v/>
      </c>
      <c r="E163" t="str">
        <f>IF('Base Encuesta'!G137="","",'Base Encuesta'!G137)</f>
        <v/>
      </c>
      <c r="F163" t="str">
        <f>IF('Base Encuesta'!H137="","",'Base Encuesta'!H137)</f>
        <v/>
      </c>
      <c r="G163" t="str">
        <f>IF('Base Encuesta'!I137="","",'Base Encuesta'!I137)</f>
        <v/>
      </c>
      <c r="H163" t="str">
        <f>IF('Base Encuesta'!J137="","",'Base Encuesta'!J137)</f>
        <v/>
      </c>
      <c r="I163" t="str">
        <f>IF('Base Encuesta'!K137="","",'Base Encuesta'!K137)</f>
        <v/>
      </c>
      <c r="J163" t="str">
        <f>IF(OR('Base Encuesta'!P137="",IFERROR(VALUE(LEFT('Base Encuesta'!K137,1)),"")&gt;=3),"",PROPER(TRIM('Base Encuesta'!P137)))</f>
        <v/>
      </c>
      <c r="K163" t="str">
        <f>IF(OR('Base Encuesta'!Q137="",IFERROR(VALUE(LEFT('Base Encuesta'!K137,1)),"")&gt;=3),"",'Base Encuesta'!Q137)</f>
        <v/>
      </c>
      <c r="L163" t="str">
        <f>IF(OR('Base Encuesta'!R137="",IFERROR(VALUE(LEFT('Base Encuesta'!K137,1)),"")&gt;=3),"",VALUE(LEFT('Base Encuesta'!R137,1)))</f>
        <v/>
      </c>
      <c r="M163" t="str">
        <f>IF(OR('Base Encuesta'!S137="",IFERROR(VALUE(LEFT('Base Encuesta'!K137,1)),"")&gt;=3),"",VALUE(LEFT('Base Encuesta'!S137,1)))</f>
        <v/>
      </c>
      <c r="N163" t="str">
        <f>IF(OR('Base Encuesta'!T137="",IFERROR(VALUE(LEFT('Base Encuesta'!K137,1)),"")&gt;=3),"",VALUE(LEFT('Base Encuesta'!T137,1)))</f>
        <v/>
      </c>
      <c r="O163" t="str">
        <f>IF(OR('Base Encuesta'!V137="",IFERROR(VALUE(LEFT('Base Encuesta'!K137,1)),"")&gt;=3),"",VALUE(LEFT('Base Encuesta'!V137,1)))</f>
        <v/>
      </c>
      <c r="P163" t="str">
        <f>IF(OR('Base Encuesta'!W137="",IFERROR(VALUE(LEFT('Base Encuesta'!K137,1)),"")&gt;=3),"",VALUE(LEFT('Base Encuesta'!W137,1)))</f>
        <v/>
      </c>
      <c r="Q163" t="str">
        <f>IF(OR('Base Encuesta'!X137="",IFERROR(VALUE(LEFT('Base Encuesta'!K137,1)),"")&gt;=3),"",VALUE(LEFT('Base Encuesta'!X137,1)))</f>
        <v/>
      </c>
      <c r="R163" t="str">
        <f>IF(OR('Base Encuesta'!Y137="",IFERROR(VALUE(LEFT('Base Encuesta'!K137,1)),"")&gt;=3),"",VALUE(LEFT('Base Encuesta'!Y137,1)))</f>
        <v/>
      </c>
      <c r="S163" t="str">
        <f>IF(OR('Base Encuesta'!Z137="",IFERROR(VALUE(LEFT('Base Encuesta'!K137,1)),"")&gt;=3),"",VALUE(LEFT('Base Encuesta'!Z137,1)))</f>
        <v/>
      </c>
      <c r="T163" t="str">
        <f>IF(OR('Base Encuesta'!AA137="",IFERROR(VALUE(LEFT('Base Encuesta'!K137,1)),"")&gt;=3),"",VALUE(LEFT('Base Encuesta'!AA137,1)))</f>
        <v/>
      </c>
      <c r="U163" t="str">
        <f>IF(OR('Base Encuesta'!AB137="",IFERROR(VALUE(LEFT('Base Encuesta'!K137,1)),"")&gt;=3),"",VALUE(LEFT('Base Encuesta'!AB137,1)))</f>
        <v/>
      </c>
      <c r="V163" t="str">
        <f>IF(OR('Base Encuesta'!AC137="",IFERROR(VALUE(LEFT('Base Encuesta'!K137,1)),"")&gt;=3),"",VALUE(LEFT('Base Encuesta'!AC137,1)))</f>
        <v/>
      </c>
      <c r="W163" t="str">
        <f>IF(OR('Base Encuesta'!AE137="",IFERROR(VALUE(LEFT('Base Encuesta'!K137,1)),"")&gt;=3),"",VALUE(LEFT('Base Encuesta'!AE137,1)))</f>
        <v/>
      </c>
      <c r="X163" t="str">
        <f>IF(OR('Base Encuesta'!AF137="",IFERROR(VALUE(LEFT('Base Encuesta'!K137,1)),"")&gt;=3),"",IF(W163=1,VALUE(LEFT('Base Encuesta'!AF137,1)),""))</f>
        <v/>
      </c>
      <c r="Y163" t="str">
        <f>IF(OR('Base Encuesta'!AG137="",IFERROR(VALUE(LEFT('Base Encuesta'!K137,1)),"")&gt;=3),"",IF(W163=1,VALUE(LEFT('Base Encuesta'!AG137,1)),""))</f>
        <v/>
      </c>
      <c r="Z163" t="str">
        <f>IF(OR('Base Encuesta'!AH137="",IFERROR(VALUE(LEFT('Base Encuesta'!K137,1)),"")&gt;=3),"",IF(W163=1,VALUE(LEFT('Base Encuesta'!AH137,1)),""))</f>
        <v/>
      </c>
      <c r="AA163" t="str">
        <f>IF(OR('Base Encuesta'!AI137="",IFERROR(VALUE(LEFT('Base Encuesta'!K137,1)),"")&gt;=3),"",IF(W163=1,VALUE(LEFT('Base Encuesta'!AI137,1)),""))</f>
        <v/>
      </c>
      <c r="AB163" t="str">
        <f>IF(OR('Base Encuesta'!AJ137="",IFERROR(VALUE(LEFT('Base Encuesta'!K137,1)),"")&gt;=3),"",IF(W163=1,VALUE(LEFT('Base Encuesta'!AJ137,1)),""))</f>
        <v/>
      </c>
      <c r="AC163" t="str">
        <f>IF(OR('Base Encuesta'!AL137="",IFERROR(VALUE(LEFT('Base Encuesta'!K137,1)),"")&gt;=3),"",VALUE(LEFT('Base Encuesta'!AL137,1)))</f>
        <v/>
      </c>
      <c r="AD163" t="str">
        <f>IF(OR('Base Encuesta'!AM137="",IFERROR(VALUE(LEFT('Base Encuesta'!K137,1)),"")&gt;=3),"",VALUE(LEFT('Base Encuesta'!AM137,1)))</f>
        <v/>
      </c>
      <c r="AE163" t="str">
        <f>IF(OR('Base Encuesta'!AN137="",IFERROR(VALUE(LEFT('Base Encuesta'!K137,1)),"")&gt;=3),"",VALUE(LEFT('Base Encuesta'!AN137,1)))</f>
        <v/>
      </c>
      <c r="AF163" t="str">
        <f>IF(OR('Base Encuesta'!AO137="",IFERROR(VALUE(LEFT('Base Encuesta'!K137,1)),"")&gt;=3),"",VALUE(LEFT('Base Encuesta'!AO137,1)))</f>
        <v/>
      </c>
      <c r="AG163" t="str">
        <f>IF(OR('Base Encuesta'!AQ137="",IFERROR(VALUE(LEFT('Base Encuesta'!K137,1)),"")&gt;=3),"",VALUE(LEFT('Base Encuesta'!AQ137,1)))</f>
        <v/>
      </c>
      <c r="AH163" t="str">
        <f>IF(OR('Base Encuesta'!AR137="",IFERROR(VALUE(LEFT('Base Encuesta'!K137,1)),"")&gt;=3),"",VALUE(LEFT('Base Encuesta'!AR137,1)))</f>
        <v/>
      </c>
    </row>
    <row r="164" spans="1:34">
      <c r="A164" t="str">
        <f>IF('Base Encuesta'!C138="","",'Base Encuesta'!C138)</f>
        <v/>
      </c>
      <c r="B164" t="str">
        <f>IF('Base Encuesta'!D138="","",'Base Encuesta'!D138)</f>
        <v/>
      </c>
      <c r="C164" t="str">
        <f>IF('Base Encuesta'!E138="","",'Base Encuesta'!E138)</f>
        <v/>
      </c>
      <c r="D164" t="str">
        <f>IF('Base Encuesta'!F138="","",'Base Encuesta'!F138)</f>
        <v/>
      </c>
      <c r="E164" t="str">
        <f>IF('Base Encuesta'!G138="","",'Base Encuesta'!G138)</f>
        <v/>
      </c>
      <c r="F164" t="str">
        <f>IF('Base Encuesta'!H138="","",'Base Encuesta'!H138)</f>
        <v/>
      </c>
      <c r="G164" t="str">
        <f>IF('Base Encuesta'!I138="","",'Base Encuesta'!I138)</f>
        <v/>
      </c>
      <c r="H164" t="str">
        <f>IF('Base Encuesta'!J138="","",'Base Encuesta'!J138)</f>
        <v/>
      </c>
      <c r="I164" t="str">
        <f>IF('Base Encuesta'!K138="","",'Base Encuesta'!K138)</f>
        <v/>
      </c>
      <c r="J164" t="str">
        <f>IF(OR('Base Encuesta'!P138="",IFERROR(VALUE(LEFT('Base Encuesta'!K138,1)),"")&gt;=3),"",PROPER(TRIM('Base Encuesta'!P138)))</f>
        <v/>
      </c>
      <c r="K164" t="str">
        <f>IF(OR('Base Encuesta'!Q138="",IFERROR(VALUE(LEFT('Base Encuesta'!K138,1)),"")&gt;=3),"",'Base Encuesta'!Q138)</f>
        <v/>
      </c>
      <c r="L164" t="str">
        <f>IF(OR('Base Encuesta'!R138="",IFERROR(VALUE(LEFT('Base Encuesta'!K138,1)),"")&gt;=3),"",VALUE(LEFT('Base Encuesta'!R138,1)))</f>
        <v/>
      </c>
      <c r="M164" t="str">
        <f>IF(OR('Base Encuesta'!S138="",IFERROR(VALUE(LEFT('Base Encuesta'!K138,1)),"")&gt;=3),"",VALUE(LEFT('Base Encuesta'!S138,1)))</f>
        <v/>
      </c>
      <c r="N164" t="str">
        <f>IF(OR('Base Encuesta'!T138="",IFERROR(VALUE(LEFT('Base Encuesta'!K138,1)),"")&gt;=3),"",VALUE(LEFT('Base Encuesta'!T138,1)))</f>
        <v/>
      </c>
      <c r="O164" t="str">
        <f>IF(OR('Base Encuesta'!V138="",IFERROR(VALUE(LEFT('Base Encuesta'!K138,1)),"")&gt;=3),"",VALUE(LEFT('Base Encuesta'!V138,1)))</f>
        <v/>
      </c>
      <c r="P164" t="str">
        <f>IF(OR('Base Encuesta'!W138="",IFERROR(VALUE(LEFT('Base Encuesta'!K138,1)),"")&gt;=3),"",VALUE(LEFT('Base Encuesta'!W138,1)))</f>
        <v/>
      </c>
      <c r="Q164" t="str">
        <f>IF(OR('Base Encuesta'!X138="",IFERROR(VALUE(LEFT('Base Encuesta'!K138,1)),"")&gt;=3),"",VALUE(LEFT('Base Encuesta'!X138,1)))</f>
        <v/>
      </c>
      <c r="R164" t="str">
        <f>IF(OR('Base Encuesta'!Y138="",IFERROR(VALUE(LEFT('Base Encuesta'!K138,1)),"")&gt;=3),"",VALUE(LEFT('Base Encuesta'!Y138,1)))</f>
        <v/>
      </c>
      <c r="S164" t="str">
        <f>IF(OR('Base Encuesta'!Z138="",IFERROR(VALUE(LEFT('Base Encuesta'!K138,1)),"")&gt;=3),"",VALUE(LEFT('Base Encuesta'!Z138,1)))</f>
        <v/>
      </c>
      <c r="T164" t="str">
        <f>IF(OR('Base Encuesta'!AA138="",IFERROR(VALUE(LEFT('Base Encuesta'!K138,1)),"")&gt;=3),"",VALUE(LEFT('Base Encuesta'!AA138,1)))</f>
        <v/>
      </c>
      <c r="U164" t="str">
        <f>IF(OR('Base Encuesta'!AB138="",IFERROR(VALUE(LEFT('Base Encuesta'!K138,1)),"")&gt;=3),"",VALUE(LEFT('Base Encuesta'!AB138,1)))</f>
        <v/>
      </c>
      <c r="V164" t="str">
        <f>IF(OR('Base Encuesta'!AC138="",IFERROR(VALUE(LEFT('Base Encuesta'!K138,1)),"")&gt;=3),"",VALUE(LEFT('Base Encuesta'!AC138,1)))</f>
        <v/>
      </c>
      <c r="W164" t="str">
        <f>IF(OR('Base Encuesta'!AE138="",IFERROR(VALUE(LEFT('Base Encuesta'!K138,1)),"")&gt;=3),"",VALUE(LEFT('Base Encuesta'!AE138,1)))</f>
        <v/>
      </c>
      <c r="X164" t="str">
        <f>IF(OR('Base Encuesta'!AF138="",IFERROR(VALUE(LEFT('Base Encuesta'!K138,1)),"")&gt;=3),"",IF(W164=1,VALUE(LEFT('Base Encuesta'!AF138,1)),""))</f>
        <v/>
      </c>
      <c r="Y164" t="str">
        <f>IF(OR('Base Encuesta'!AG138="",IFERROR(VALUE(LEFT('Base Encuesta'!K138,1)),"")&gt;=3),"",IF(W164=1,VALUE(LEFT('Base Encuesta'!AG138,1)),""))</f>
        <v/>
      </c>
      <c r="Z164" t="str">
        <f>IF(OR('Base Encuesta'!AH138="",IFERROR(VALUE(LEFT('Base Encuesta'!K138,1)),"")&gt;=3),"",IF(W164=1,VALUE(LEFT('Base Encuesta'!AH138,1)),""))</f>
        <v/>
      </c>
      <c r="AA164" t="str">
        <f>IF(OR('Base Encuesta'!AI138="",IFERROR(VALUE(LEFT('Base Encuesta'!K138,1)),"")&gt;=3),"",IF(W164=1,VALUE(LEFT('Base Encuesta'!AI138,1)),""))</f>
        <v/>
      </c>
      <c r="AB164" t="str">
        <f>IF(OR('Base Encuesta'!AJ138="",IFERROR(VALUE(LEFT('Base Encuesta'!K138,1)),"")&gt;=3),"",IF(W164=1,VALUE(LEFT('Base Encuesta'!AJ138,1)),""))</f>
        <v/>
      </c>
      <c r="AC164" t="str">
        <f>IF(OR('Base Encuesta'!AL138="",IFERROR(VALUE(LEFT('Base Encuesta'!K138,1)),"")&gt;=3),"",VALUE(LEFT('Base Encuesta'!AL138,1)))</f>
        <v/>
      </c>
      <c r="AD164" t="str">
        <f>IF(OR('Base Encuesta'!AM138="",IFERROR(VALUE(LEFT('Base Encuesta'!K138,1)),"")&gt;=3),"",VALUE(LEFT('Base Encuesta'!AM138,1)))</f>
        <v/>
      </c>
      <c r="AE164" t="str">
        <f>IF(OR('Base Encuesta'!AN138="",IFERROR(VALUE(LEFT('Base Encuesta'!K138,1)),"")&gt;=3),"",VALUE(LEFT('Base Encuesta'!AN138,1)))</f>
        <v/>
      </c>
      <c r="AF164" t="str">
        <f>IF(OR('Base Encuesta'!AO138="",IFERROR(VALUE(LEFT('Base Encuesta'!K138,1)),"")&gt;=3),"",VALUE(LEFT('Base Encuesta'!AO138,1)))</f>
        <v/>
      </c>
      <c r="AG164" t="str">
        <f>IF(OR('Base Encuesta'!AQ138="",IFERROR(VALUE(LEFT('Base Encuesta'!K138,1)),"")&gt;=3),"",VALUE(LEFT('Base Encuesta'!AQ138,1)))</f>
        <v/>
      </c>
      <c r="AH164" t="str">
        <f>IF(OR('Base Encuesta'!AR138="",IFERROR(VALUE(LEFT('Base Encuesta'!K138,1)),"")&gt;=3),"",VALUE(LEFT('Base Encuesta'!AR138,1)))</f>
        <v/>
      </c>
    </row>
    <row r="165" spans="1:34">
      <c r="A165" t="str">
        <f>IF('Base Encuesta'!C139="","",'Base Encuesta'!C139)</f>
        <v/>
      </c>
      <c r="B165" t="str">
        <f>IF('Base Encuesta'!D139="","",'Base Encuesta'!D139)</f>
        <v/>
      </c>
      <c r="C165" t="str">
        <f>IF('Base Encuesta'!E139="","",'Base Encuesta'!E139)</f>
        <v/>
      </c>
      <c r="D165" t="str">
        <f>IF('Base Encuesta'!F139="","",'Base Encuesta'!F139)</f>
        <v/>
      </c>
      <c r="E165" t="str">
        <f>IF('Base Encuesta'!G139="","",'Base Encuesta'!G139)</f>
        <v/>
      </c>
      <c r="F165" t="str">
        <f>IF('Base Encuesta'!H139="","",'Base Encuesta'!H139)</f>
        <v/>
      </c>
      <c r="G165" t="str">
        <f>IF('Base Encuesta'!I139="","",'Base Encuesta'!I139)</f>
        <v/>
      </c>
      <c r="H165" t="str">
        <f>IF('Base Encuesta'!J139="","",'Base Encuesta'!J139)</f>
        <v/>
      </c>
      <c r="I165" t="str">
        <f>IF('Base Encuesta'!K139="","",'Base Encuesta'!K139)</f>
        <v/>
      </c>
      <c r="J165" t="str">
        <f>IF(OR('Base Encuesta'!P139="",IFERROR(VALUE(LEFT('Base Encuesta'!K139,1)),"")&gt;=3),"",PROPER(TRIM('Base Encuesta'!P139)))</f>
        <v/>
      </c>
      <c r="K165" t="str">
        <f>IF(OR('Base Encuesta'!Q139="",IFERROR(VALUE(LEFT('Base Encuesta'!K139,1)),"")&gt;=3),"",'Base Encuesta'!Q139)</f>
        <v/>
      </c>
      <c r="L165" t="str">
        <f>IF(OR('Base Encuesta'!R139="",IFERROR(VALUE(LEFT('Base Encuesta'!K139,1)),"")&gt;=3),"",VALUE(LEFT('Base Encuesta'!R139,1)))</f>
        <v/>
      </c>
      <c r="M165" t="str">
        <f>IF(OR('Base Encuesta'!S139="",IFERROR(VALUE(LEFT('Base Encuesta'!K139,1)),"")&gt;=3),"",VALUE(LEFT('Base Encuesta'!S139,1)))</f>
        <v/>
      </c>
      <c r="N165" t="str">
        <f>IF(OR('Base Encuesta'!T139="",IFERROR(VALUE(LEFT('Base Encuesta'!K139,1)),"")&gt;=3),"",VALUE(LEFT('Base Encuesta'!T139,1)))</f>
        <v/>
      </c>
      <c r="O165" t="str">
        <f>IF(OR('Base Encuesta'!V139="",IFERROR(VALUE(LEFT('Base Encuesta'!K139,1)),"")&gt;=3),"",VALUE(LEFT('Base Encuesta'!V139,1)))</f>
        <v/>
      </c>
      <c r="P165" t="str">
        <f>IF(OR('Base Encuesta'!W139="",IFERROR(VALUE(LEFT('Base Encuesta'!K139,1)),"")&gt;=3),"",VALUE(LEFT('Base Encuesta'!W139,1)))</f>
        <v/>
      </c>
      <c r="Q165" t="str">
        <f>IF(OR('Base Encuesta'!X139="",IFERROR(VALUE(LEFT('Base Encuesta'!K139,1)),"")&gt;=3),"",VALUE(LEFT('Base Encuesta'!X139,1)))</f>
        <v/>
      </c>
      <c r="R165" t="str">
        <f>IF(OR('Base Encuesta'!Y139="",IFERROR(VALUE(LEFT('Base Encuesta'!K139,1)),"")&gt;=3),"",VALUE(LEFT('Base Encuesta'!Y139,1)))</f>
        <v/>
      </c>
      <c r="S165" t="str">
        <f>IF(OR('Base Encuesta'!Z139="",IFERROR(VALUE(LEFT('Base Encuesta'!K139,1)),"")&gt;=3),"",VALUE(LEFT('Base Encuesta'!Z139,1)))</f>
        <v/>
      </c>
      <c r="T165" t="str">
        <f>IF(OR('Base Encuesta'!AA139="",IFERROR(VALUE(LEFT('Base Encuesta'!K139,1)),"")&gt;=3),"",VALUE(LEFT('Base Encuesta'!AA139,1)))</f>
        <v/>
      </c>
      <c r="U165" t="str">
        <f>IF(OR('Base Encuesta'!AB139="",IFERROR(VALUE(LEFT('Base Encuesta'!K139,1)),"")&gt;=3),"",VALUE(LEFT('Base Encuesta'!AB139,1)))</f>
        <v/>
      </c>
      <c r="V165" t="str">
        <f>IF(OR('Base Encuesta'!AC139="",IFERROR(VALUE(LEFT('Base Encuesta'!K139,1)),"")&gt;=3),"",VALUE(LEFT('Base Encuesta'!AC139,1)))</f>
        <v/>
      </c>
      <c r="W165" t="str">
        <f>IF(OR('Base Encuesta'!AE139="",IFERROR(VALUE(LEFT('Base Encuesta'!K139,1)),"")&gt;=3),"",VALUE(LEFT('Base Encuesta'!AE139,1)))</f>
        <v/>
      </c>
      <c r="X165" t="str">
        <f>IF(OR('Base Encuesta'!AF139="",IFERROR(VALUE(LEFT('Base Encuesta'!K139,1)),"")&gt;=3),"",IF(W165=1,VALUE(LEFT('Base Encuesta'!AF139,1)),""))</f>
        <v/>
      </c>
      <c r="Y165" t="str">
        <f>IF(OR('Base Encuesta'!AG139="",IFERROR(VALUE(LEFT('Base Encuesta'!K139,1)),"")&gt;=3),"",IF(W165=1,VALUE(LEFT('Base Encuesta'!AG139,1)),""))</f>
        <v/>
      </c>
      <c r="Z165" t="str">
        <f>IF(OR('Base Encuesta'!AH139="",IFERROR(VALUE(LEFT('Base Encuesta'!K139,1)),"")&gt;=3),"",IF(W165=1,VALUE(LEFT('Base Encuesta'!AH139,1)),""))</f>
        <v/>
      </c>
      <c r="AA165" t="str">
        <f>IF(OR('Base Encuesta'!AI139="",IFERROR(VALUE(LEFT('Base Encuesta'!K139,1)),"")&gt;=3),"",IF(W165=1,VALUE(LEFT('Base Encuesta'!AI139,1)),""))</f>
        <v/>
      </c>
      <c r="AB165" t="str">
        <f>IF(OR('Base Encuesta'!AJ139="",IFERROR(VALUE(LEFT('Base Encuesta'!K139,1)),"")&gt;=3),"",IF(W165=1,VALUE(LEFT('Base Encuesta'!AJ139,1)),""))</f>
        <v/>
      </c>
      <c r="AC165" t="str">
        <f>IF(OR('Base Encuesta'!AL139="",IFERROR(VALUE(LEFT('Base Encuesta'!K139,1)),"")&gt;=3),"",VALUE(LEFT('Base Encuesta'!AL139,1)))</f>
        <v/>
      </c>
      <c r="AD165" t="str">
        <f>IF(OR('Base Encuesta'!AM139="",IFERROR(VALUE(LEFT('Base Encuesta'!K139,1)),"")&gt;=3),"",VALUE(LEFT('Base Encuesta'!AM139,1)))</f>
        <v/>
      </c>
      <c r="AE165" t="str">
        <f>IF(OR('Base Encuesta'!AN139="",IFERROR(VALUE(LEFT('Base Encuesta'!K139,1)),"")&gt;=3),"",VALUE(LEFT('Base Encuesta'!AN139,1)))</f>
        <v/>
      </c>
      <c r="AF165" t="str">
        <f>IF(OR('Base Encuesta'!AO139="",IFERROR(VALUE(LEFT('Base Encuesta'!K139,1)),"")&gt;=3),"",VALUE(LEFT('Base Encuesta'!AO139,1)))</f>
        <v/>
      </c>
      <c r="AG165" t="str">
        <f>IF(OR('Base Encuesta'!AQ139="",IFERROR(VALUE(LEFT('Base Encuesta'!K139,1)),"")&gt;=3),"",VALUE(LEFT('Base Encuesta'!AQ139,1)))</f>
        <v/>
      </c>
      <c r="AH165" t="str">
        <f>IF(OR('Base Encuesta'!AR139="",IFERROR(VALUE(LEFT('Base Encuesta'!K139,1)),"")&gt;=3),"",VALUE(LEFT('Base Encuesta'!AR139,1)))</f>
        <v/>
      </c>
    </row>
    <row r="166" spans="1:34">
      <c r="A166" t="str">
        <f>IF('Base Encuesta'!C140="","",'Base Encuesta'!C140)</f>
        <v/>
      </c>
      <c r="B166" t="str">
        <f>IF('Base Encuesta'!D140="","",'Base Encuesta'!D140)</f>
        <v/>
      </c>
      <c r="C166" t="str">
        <f>IF('Base Encuesta'!E140="","",'Base Encuesta'!E140)</f>
        <v/>
      </c>
      <c r="D166" t="str">
        <f>IF('Base Encuesta'!F140="","",'Base Encuesta'!F140)</f>
        <v/>
      </c>
      <c r="E166" t="str">
        <f>IF('Base Encuesta'!G140="","",'Base Encuesta'!G140)</f>
        <v/>
      </c>
      <c r="F166" t="str">
        <f>IF('Base Encuesta'!H140="","",'Base Encuesta'!H140)</f>
        <v/>
      </c>
      <c r="G166" t="str">
        <f>IF('Base Encuesta'!I140="","",'Base Encuesta'!I140)</f>
        <v/>
      </c>
      <c r="H166" t="str">
        <f>IF('Base Encuesta'!J140="","",'Base Encuesta'!J140)</f>
        <v/>
      </c>
      <c r="I166" t="str">
        <f>IF('Base Encuesta'!K140="","",'Base Encuesta'!K140)</f>
        <v/>
      </c>
      <c r="J166" t="str">
        <f>IF(OR('Base Encuesta'!P140="",IFERROR(VALUE(LEFT('Base Encuesta'!K140,1)),"")&gt;=3),"",PROPER(TRIM('Base Encuesta'!P140)))</f>
        <v/>
      </c>
      <c r="K166" t="str">
        <f>IF(OR('Base Encuesta'!Q140="",IFERROR(VALUE(LEFT('Base Encuesta'!K140,1)),"")&gt;=3),"",'Base Encuesta'!Q140)</f>
        <v/>
      </c>
      <c r="L166" t="str">
        <f>IF(OR('Base Encuesta'!R140="",IFERROR(VALUE(LEFT('Base Encuesta'!K140,1)),"")&gt;=3),"",VALUE(LEFT('Base Encuesta'!R140,1)))</f>
        <v/>
      </c>
      <c r="M166" t="str">
        <f>IF(OR('Base Encuesta'!S140="",IFERROR(VALUE(LEFT('Base Encuesta'!K140,1)),"")&gt;=3),"",VALUE(LEFT('Base Encuesta'!S140,1)))</f>
        <v/>
      </c>
      <c r="N166" t="str">
        <f>IF(OR('Base Encuesta'!T140="",IFERROR(VALUE(LEFT('Base Encuesta'!K140,1)),"")&gt;=3),"",VALUE(LEFT('Base Encuesta'!T140,1)))</f>
        <v/>
      </c>
      <c r="O166" t="str">
        <f>IF(OR('Base Encuesta'!V140="",IFERROR(VALUE(LEFT('Base Encuesta'!K140,1)),"")&gt;=3),"",VALUE(LEFT('Base Encuesta'!V140,1)))</f>
        <v/>
      </c>
      <c r="P166" t="str">
        <f>IF(OR('Base Encuesta'!W140="",IFERROR(VALUE(LEFT('Base Encuesta'!K140,1)),"")&gt;=3),"",VALUE(LEFT('Base Encuesta'!W140,1)))</f>
        <v/>
      </c>
      <c r="Q166" t="str">
        <f>IF(OR('Base Encuesta'!X140="",IFERROR(VALUE(LEFT('Base Encuesta'!K140,1)),"")&gt;=3),"",VALUE(LEFT('Base Encuesta'!X140,1)))</f>
        <v/>
      </c>
      <c r="R166" t="str">
        <f>IF(OR('Base Encuesta'!Y140="",IFERROR(VALUE(LEFT('Base Encuesta'!K140,1)),"")&gt;=3),"",VALUE(LEFT('Base Encuesta'!Y140,1)))</f>
        <v/>
      </c>
      <c r="S166" t="str">
        <f>IF(OR('Base Encuesta'!Z140="",IFERROR(VALUE(LEFT('Base Encuesta'!K140,1)),"")&gt;=3),"",VALUE(LEFT('Base Encuesta'!Z140,1)))</f>
        <v/>
      </c>
      <c r="T166" t="str">
        <f>IF(OR('Base Encuesta'!AA140="",IFERROR(VALUE(LEFT('Base Encuesta'!K140,1)),"")&gt;=3),"",VALUE(LEFT('Base Encuesta'!AA140,1)))</f>
        <v/>
      </c>
      <c r="U166" t="str">
        <f>IF(OR('Base Encuesta'!AB140="",IFERROR(VALUE(LEFT('Base Encuesta'!K140,1)),"")&gt;=3),"",VALUE(LEFT('Base Encuesta'!AB140,1)))</f>
        <v/>
      </c>
      <c r="V166" t="str">
        <f>IF(OR('Base Encuesta'!AC140="",IFERROR(VALUE(LEFT('Base Encuesta'!K140,1)),"")&gt;=3),"",VALUE(LEFT('Base Encuesta'!AC140,1)))</f>
        <v/>
      </c>
      <c r="W166" t="str">
        <f>IF(OR('Base Encuesta'!AE140="",IFERROR(VALUE(LEFT('Base Encuesta'!K140,1)),"")&gt;=3),"",VALUE(LEFT('Base Encuesta'!AE140,1)))</f>
        <v/>
      </c>
      <c r="X166" t="str">
        <f>IF(OR('Base Encuesta'!AF140="",IFERROR(VALUE(LEFT('Base Encuesta'!K140,1)),"")&gt;=3),"",IF(W166=1,VALUE(LEFT('Base Encuesta'!AF140,1)),""))</f>
        <v/>
      </c>
      <c r="Y166" t="str">
        <f>IF(OR('Base Encuesta'!AG140="",IFERROR(VALUE(LEFT('Base Encuesta'!K140,1)),"")&gt;=3),"",IF(W166=1,VALUE(LEFT('Base Encuesta'!AG140,1)),""))</f>
        <v/>
      </c>
      <c r="Z166" t="str">
        <f>IF(OR('Base Encuesta'!AH140="",IFERROR(VALUE(LEFT('Base Encuesta'!K140,1)),"")&gt;=3),"",IF(W166=1,VALUE(LEFT('Base Encuesta'!AH140,1)),""))</f>
        <v/>
      </c>
      <c r="AA166" t="str">
        <f>IF(OR('Base Encuesta'!AI140="",IFERROR(VALUE(LEFT('Base Encuesta'!K140,1)),"")&gt;=3),"",IF(W166=1,VALUE(LEFT('Base Encuesta'!AI140,1)),""))</f>
        <v/>
      </c>
      <c r="AB166" t="str">
        <f>IF(OR('Base Encuesta'!AJ140="",IFERROR(VALUE(LEFT('Base Encuesta'!K140,1)),"")&gt;=3),"",IF(W166=1,VALUE(LEFT('Base Encuesta'!AJ140,1)),""))</f>
        <v/>
      </c>
      <c r="AC166" t="str">
        <f>IF(OR('Base Encuesta'!AL140="",IFERROR(VALUE(LEFT('Base Encuesta'!K140,1)),"")&gt;=3),"",VALUE(LEFT('Base Encuesta'!AL140,1)))</f>
        <v/>
      </c>
      <c r="AD166" t="str">
        <f>IF(OR('Base Encuesta'!AM140="",IFERROR(VALUE(LEFT('Base Encuesta'!K140,1)),"")&gt;=3),"",VALUE(LEFT('Base Encuesta'!AM140,1)))</f>
        <v/>
      </c>
      <c r="AE166" t="str">
        <f>IF(OR('Base Encuesta'!AN140="",IFERROR(VALUE(LEFT('Base Encuesta'!K140,1)),"")&gt;=3),"",VALUE(LEFT('Base Encuesta'!AN140,1)))</f>
        <v/>
      </c>
      <c r="AF166" t="str">
        <f>IF(OR('Base Encuesta'!AO140="",IFERROR(VALUE(LEFT('Base Encuesta'!K140,1)),"")&gt;=3),"",VALUE(LEFT('Base Encuesta'!AO140,1)))</f>
        <v/>
      </c>
      <c r="AG166" t="str">
        <f>IF(OR('Base Encuesta'!AQ140="",IFERROR(VALUE(LEFT('Base Encuesta'!K140,1)),"")&gt;=3),"",VALUE(LEFT('Base Encuesta'!AQ140,1)))</f>
        <v/>
      </c>
      <c r="AH166" t="str">
        <f>IF(OR('Base Encuesta'!AR140="",IFERROR(VALUE(LEFT('Base Encuesta'!K140,1)),"")&gt;=3),"",VALUE(LEFT('Base Encuesta'!AR140,1)))</f>
        <v/>
      </c>
    </row>
    <row r="167" spans="1:34">
      <c r="A167" t="str">
        <f>IF('Base Encuesta'!C141="","",'Base Encuesta'!C141)</f>
        <v/>
      </c>
      <c r="B167" t="str">
        <f>IF('Base Encuesta'!D141="","",'Base Encuesta'!D141)</f>
        <v/>
      </c>
      <c r="C167" t="str">
        <f>IF('Base Encuesta'!E141="","",'Base Encuesta'!E141)</f>
        <v/>
      </c>
      <c r="D167" t="str">
        <f>IF('Base Encuesta'!F141="","",'Base Encuesta'!F141)</f>
        <v/>
      </c>
      <c r="E167" t="str">
        <f>IF('Base Encuesta'!G141="","",'Base Encuesta'!G141)</f>
        <v/>
      </c>
      <c r="F167" t="str">
        <f>IF('Base Encuesta'!H141="","",'Base Encuesta'!H141)</f>
        <v/>
      </c>
      <c r="G167" t="str">
        <f>IF('Base Encuesta'!I141="","",'Base Encuesta'!I141)</f>
        <v/>
      </c>
      <c r="H167" t="str">
        <f>IF('Base Encuesta'!J141="","",'Base Encuesta'!J141)</f>
        <v/>
      </c>
      <c r="I167" t="str">
        <f>IF('Base Encuesta'!K141="","",'Base Encuesta'!K141)</f>
        <v/>
      </c>
      <c r="J167" t="str">
        <f>IF(OR('Base Encuesta'!P141="",IFERROR(VALUE(LEFT('Base Encuesta'!K141,1)),"")&gt;=3),"",PROPER(TRIM('Base Encuesta'!P141)))</f>
        <v/>
      </c>
      <c r="K167" t="str">
        <f>IF(OR('Base Encuesta'!Q141="",IFERROR(VALUE(LEFT('Base Encuesta'!K141,1)),"")&gt;=3),"",'Base Encuesta'!Q141)</f>
        <v/>
      </c>
      <c r="L167" t="str">
        <f>IF(OR('Base Encuesta'!R141="",IFERROR(VALUE(LEFT('Base Encuesta'!K141,1)),"")&gt;=3),"",VALUE(LEFT('Base Encuesta'!R141,1)))</f>
        <v/>
      </c>
      <c r="M167" t="str">
        <f>IF(OR('Base Encuesta'!S141="",IFERROR(VALUE(LEFT('Base Encuesta'!K141,1)),"")&gt;=3),"",VALUE(LEFT('Base Encuesta'!S141,1)))</f>
        <v/>
      </c>
      <c r="N167" t="str">
        <f>IF(OR('Base Encuesta'!T141="",IFERROR(VALUE(LEFT('Base Encuesta'!K141,1)),"")&gt;=3),"",VALUE(LEFT('Base Encuesta'!T141,1)))</f>
        <v/>
      </c>
      <c r="O167" t="str">
        <f>IF(OR('Base Encuesta'!V141="",IFERROR(VALUE(LEFT('Base Encuesta'!K141,1)),"")&gt;=3),"",VALUE(LEFT('Base Encuesta'!V141,1)))</f>
        <v/>
      </c>
      <c r="P167" t="str">
        <f>IF(OR('Base Encuesta'!W141="",IFERROR(VALUE(LEFT('Base Encuesta'!K141,1)),"")&gt;=3),"",VALUE(LEFT('Base Encuesta'!W141,1)))</f>
        <v/>
      </c>
      <c r="Q167" t="str">
        <f>IF(OR('Base Encuesta'!X141="",IFERROR(VALUE(LEFT('Base Encuesta'!K141,1)),"")&gt;=3),"",VALUE(LEFT('Base Encuesta'!X141,1)))</f>
        <v/>
      </c>
      <c r="R167" t="str">
        <f>IF(OR('Base Encuesta'!Y141="",IFERROR(VALUE(LEFT('Base Encuesta'!K141,1)),"")&gt;=3),"",VALUE(LEFT('Base Encuesta'!Y141,1)))</f>
        <v/>
      </c>
      <c r="S167" t="str">
        <f>IF(OR('Base Encuesta'!Z141="",IFERROR(VALUE(LEFT('Base Encuesta'!K141,1)),"")&gt;=3),"",VALUE(LEFT('Base Encuesta'!Z141,1)))</f>
        <v/>
      </c>
      <c r="T167" t="str">
        <f>IF(OR('Base Encuesta'!AA141="",IFERROR(VALUE(LEFT('Base Encuesta'!K141,1)),"")&gt;=3),"",VALUE(LEFT('Base Encuesta'!AA141,1)))</f>
        <v/>
      </c>
      <c r="U167" t="str">
        <f>IF(OR('Base Encuesta'!AB141="",IFERROR(VALUE(LEFT('Base Encuesta'!K141,1)),"")&gt;=3),"",VALUE(LEFT('Base Encuesta'!AB141,1)))</f>
        <v/>
      </c>
      <c r="V167" t="str">
        <f>IF(OR('Base Encuesta'!AC141="",IFERROR(VALUE(LEFT('Base Encuesta'!K141,1)),"")&gt;=3),"",VALUE(LEFT('Base Encuesta'!AC141,1)))</f>
        <v/>
      </c>
      <c r="W167" t="str">
        <f>IF(OR('Base Encuesta'!AE141="",IFERROR(VALUE(LEFT('Base Encuesta'!K141,1)),"")&gt;=3),"",VALUE(LEFT('Base Encuesta'!AE141,1)))</f>
        <v/>
      </c>
      <c r="X167" t="str">
        <f>IF(OR('Base Encuesta'!AF141="",IFERROR(VALUE(LEFT('Base Encuesta'!K141,1)),"")&gt;=3),"",IF(W167=1,VALUE(LEFT('Base Encuesta'!AF141,1)),""))</f>
        <v/>
      </c>
      <c r="Y167" t="str">
        <f>IF(OR('Base Encuesta'!AG141="",IFERROR(VALUE(LEFT('Base Encuesta'!K141,1)),"")&gt;=3),"",IF(W167=1,VALUE(LEFT('Base Encuesta'!AG141,1)),""))</f>
        <v/>
      </c>
      <c r="Z167" t="str">
        <f>IF(OR('Base Encuesta'!AH141="",IFERROR(VALUE(LEFT('Base Encuesta'!K141,1)),"")&gt;=3),"",IF(W167=1,VALUE(LEFT('Base Encuesta'!AH141,1)),""))</f>
        <v/>
      </c>
      <c r="AA167" t="str">
        <f>IF(OR('Base Encuesta'!AI141="",IFERROR(VALUE(LEFT('Base Encuesta'!K141,1)),"")&gt;=3),"",IF(W167=1,VALUE(LEFT('Base Encuesta'!AI141,1)),""))</f>
        <v/>
      </c>
      <c r="AB167" t="str">
        <f>IF(OR('Base Encuesta'!AJ141="",IFERROR(VALUE(LEFT('Base Encuesta'!K141,1)),"")&gt;=3),"",IF(W167=1,VALUE(LEFT('Base Encuesta'!AJ141,1)),""))</f>
        <v/>
      </c>
      <c r="AC167" t="str">
        <f>IF(OR('Base Encuesta'!AL141="",IFERROR(VALUE(LEFT('Base Encuesta'!K141,1)),"")&gt;=3),"",VALUE(LEFT('Base Encuesta'!AL141,1)))</f>
        <v/>
      </c>
      <c r="AD167" t="str">
        <f>IF(OR('Base Encuesta'!AM141="",IFERROR(VALUE(LEFT('Base Encuesta'!K141,1)),"")&gt;=3),"",VALUE(LEFT('Base Encuesta'!AM141,1)))</f>
        <v/>
      </c>
      <c r="AE167" t="str">
        <f>IF(OR('Base Encuesta'!AN141="",IFERROR(VALUE(LEFT('Base Encuesta'!K141,1)),"")&gt;=3),"",VALUE(LEFT('Base Encuesta'!AN141,1)))</f>
        <v/>
      </c>
      <c r="AF167" t="str">
        <f>IF(OR('Base Encuesta'!AO141="",IFERROR(VALUE(LEFT('Base Encuesta'!K141,1)),"")&gt;=3),"",VALUE(LEFT('Base Encuesta'!AO141,1)))</f>
        <v/>
      </c>
      <c r="AG167" t="str">
        <f>IF(OR('Base Encuesta'!AQ141="",IFERROR(VALUE(LEFT('Base Encuesta'!K141,1)),"")&gt;=3),"",VALUE(LEFT('Base Encuesta'!AQ141,1)))</f>
        <v/>
      </c>
      <c r="AH167" t="str">
        <f>IF(OR('Base Encuesta'!AR141="",IFERROR(VALUE(LEFT('Base Encuesta'!K141,1)),"")&gt;=3),"",VALUE(LEFT('Base Encuesta'!AR141,1)))</f>
        <v/>
      </c>
    </row>
    <row r="168" spans="1:34">
      <c r="A168" t="str">
        <f>IF('Base Encuesta'!C142="","",'Base Encuesta'!C142)</f>
        <v/>
      </c>
      <c r="B168" t="str">
        <f>IF('Base Encuesta'!D142="","",'Base Encuesta'!D142)</f>
        <v/>
      </c>
      <c r="C168" t="str">
        <f>IF('Base Encuesta'!E142="","",'Base Encuesta'!E142)</f>
        <v/>
      </c>
      <c r="D168" t="str">
        <f>IF('Base Encuesta'!F142="","",'Base Encuesta'!F142)</f>
        <v/>
      </c>
      <c r="E168" t="str">
        <f>IF('Base Encuesta'!G142="","",'Base Encuesta'!G142)</f>
        <v/>
      </c>
      <c r="F168" t="str">
        <f>IF('Base Encuesta'!H142="","",'Base Encuesta'!H142)</f>
        <v/>
      </c>
      <c r="G168" t="str">
        <f>IF('Base Encuesta'!I142="","",'Base Encuesta'!I142)</f>
        <v/>
      </c>
      <c r="H168" t="str">
        <f>IF('Base Encuesta'!J142="","",'Base Encuesta'!J142)</f>
        <v/>
      </c>
      <c r="I168" t="str">
        <f>IF('Base Encuesta'!K142="","",'Base Encuesta'!K142)</f>
        <v/>
      </c>
      <c r="J168" t="str">
        <f>IF(OR('Base Encuesta'!P142="",IFERROR(VALUE(LEFT('Base Encuesta'!K142,1)),"")&gt;=3),"",PROPER(TRIM('Base Encuesta'!P142)))</f>
        <v/>
      </c>
      <c r="K168" t="str">
        <f>IF(OR('Base Encuesta'!Q142="",IFERROR(VALUE(LEFT('Base Encuesta'!K142,1)),"")&gt;=3),"",'Base Encuesta'!Q142)</f>
        <v/>
      </c>
      <c r="L168" t="str">
        <f>IF(OR('Base Encuesta'!R142="",IFERROR(VALUE(LEFT('Base Encuesta'!K142,1)),"")&gt;=3),"",VALUE(LEFT('Base Encuesta'!R142,1)))</f>
        <v/>
      </c>
      <c r="M168" t="str">
        <f>IF(OR('Base Encuesta'!S142="",IFERROR(VALUE(LEFT('Base Encuesta'!K142,1)),"")&gt;=3),"",VALUE(LEFT('Base Encuesta'!S142,1)))</f>
        <v/>
      </c>
      <c r="N168" t="str">
        <f>IF(OR('Base Encuesta'!T142="",IFERROR(VALUE(LEFT('Base Encuesta'!K142,1)),"")&gt;=3),"",VALUE(LEFT('Base Encuesta'!T142,1)))</f>
        <v/>
      </c>
      <c r="O168" t="str">
        <f>IF(OR('Base Encuesta'!V142="",IFERROR(VALUE(LEFT('Base Encuesta'!K142,1)),"")&gt;=3),"",VALUE(LEFT('Base Encuesta'!V142,1)))</f>
        <v/>
      </c>
      <c r="P168" t="str">
        <f>IF(OR('Base Encuesta'!W142="",IFERROR(VALUE(LEFT('Base Encuesta'!K142,1)),"")&gt;=3),"",VALUE(LEFT('Base Encuesta'!W142,1)))</f>
        <v/>
      </c>
      <c r="Q168" t="str">
        <f>IF(OR('Base Encuesta'!X142="",IFERROR(VALUE(LEFT('Base Encuesta'!K142,1)),"")&gt;=3),"",VALUE(LEFT('Base Encuesta'!X142,1)))</f>
        <v/>
      </c>
      <c r="R168" t="str">
        <f>IF(OR('Base Encuesta'!Y142="",IFERROR(VALUE(LEFT('Base Encuesta'!K142,1)),"")&gt;=3),"",VALUE(LEFT('Base Encuesta'!Y142,1)))</f>
        <v/>
      </c>
      <c r="S168" t="str">
        <f>IF(OR('Base Encuesta'!Z142="",IFERROR(VALUE(LEFT('Base Encuesta'!K142,1)),"")&gt;=3),"",VALUE(LEFT('Base Encuesta'!Z142,1)))</f>
        <v/>
      </c>
      <c r="T168" t="str">
        <f>IF(OR('Base Encuesta'!AA142="",IFERROR(VALUE(LEFT('Base Encuesta'!K142,1)),"")&gt;=3),"",VALUE(LEFT('Base Encuesta'!AA142,1)))</f>
        <v/>
      </c>
      <c r="U168" t="str">
        <f>IF(OR('Base Encuesta'!AB142="",IFERROR(VALUE(LEFT('Base Encuesta'!K142,1)),"")&gt;=3),"",VALUE(LEFT('Base Encuesta'!AB142,1)))</f>
        <v/>
      </c>
      <c r="V168" t="str">
        <f>IF(OR('Base Encuesta'!AC142="",IFERROR(VALUE(LEFT('Base Encuesta'!K142,1)),"")&gt;=3),"",VALUE(LEFT('Base Encuesta'!AC142,1)))</f>
        <v/>
      </c>
      <c r="W168" t="str">
        <f>IF(OR('Base Encuesta'!AE142="",IFERROR(VALUE(LEFT('Base Encuesta'!K142,1)),"")&gt;=3),"",VALUE(LEFT('Base Encuesta'!AE142,1)))</f>
        <v/>
      </c>
      <c r="X168" t="str">
        <f>IF(OR('Base Encuesta'!AF142="",IFERROR(VALUE(LEFT('Base Encuesta'!K142,1)),"")&gt;=3),"",IF(W168=1,VALUE(LEFT('Base Encuesta'!AF142,1)),""))</f>
        <v/>
      </c>
      <c r="Y168" t="str">
        <f>IF(OR('Base Encuesta'!AG142="",IFERROR(VALUE(LEFT('Base Encuesta'!K142,1)),"")&gt;=3),"",IF(W168=1,VALUE(LEFT('Base Encuesta'!AG142,1)),""))</f>
        <v/>
      </c>
      <c r="Z168" t="str">
        <f>IF(OR('Base Encuesta'!AH142="",IFERROR(VALUE(LEFT('Base Encuesta'!K142,1)),"")&gt;=3),"",IF(W168=1,VALUE(LEFT('Base Encuesta'!AH142,1)),""))</f>
        <v/>
      </c>
      <c r="AA168" t="str">
        <f>IF(OR('Base Encuesta'!AI142="",IFERROR(VALUE(LEFT('Base Encuesta'!K142,1)),"")&gt;=3),"",IF(W168=1,VALUE(LEFT('Base Encuesta'!AI142,1)),""))</f>
        <v/>
      </c>
      <c r="AB168" t="str">
        <f>IF(OR('Base Encuesta'!AJ142="",IFERROR(VALUE(LEFT('Base Encuesta'!K142,1)),"")&gt;=3),"",IF(W168=1,VALUE(LEFT('Base Encuesta'!AJ142,1)),""))</f>
        <v/>
      </c>
      <c r="AC168" t="str">
        <f>IF(OR('Base Encuesta'!AL142="",IFERROR(VALUE(LEFT('Base Encuesta'!K142,1)),"")&gt;=3),"",VALUE(LEFT('Base Encuesta'!AL142,1)))</f>
        <v/>
      </c>
      <c r="AD168" t="str">
        <f>IF(OR('Base Encuesta'!AM142="",IFERROR(VALUE(LEFT('Base Encuesta'!K142,1)),"")&gt;=3),"",VALUE(LEFT('Base Encuesta'!AM142,1)))</f>
        <v/>
      </c>
      <c r="AE168" t="str">
        <f>IF(OR('Base Encuesta'!AN142="",IFERROR(VALUE(LEFT('Base Encuesta'!K142,1)),"")&gt;=3),"",VALUE(LEFT('Base Encuesta'!AN142,1)))</f>
        <v/>
      </c>
      <c r="AF168" t="str">
        <f>IF(OR('Base Encuesta'!AO142="",IFERROR(VALUE(LEFT('Base Encuesta'!K142,1)),"")&gt;=3),"",VALUE(LEFT('Base Encuesta'!AO142,1)))</f>
        <v/>
      </c>
      <c r="AG168" t="str">
        <f>IF(OR('Base Encuesta'!AQ142="",IFERROR(VALUE(LEFT('Base Encuesta'!K142,1)),"")&gt;=3),"",VALUE(LEFT('Base Encuesta'!AQ142,1)))</f>
        <v/>
      </c>
      <c r="AH168" t="str">
        <f>IF(OR('Base Encuesta'!AR142="",IFERROR(VALUE(LEFT('Base Encuesta'!K142,1)),"")&gt;=3),"",VALUE(LEFT('Base Encuesta'!AR142,1)))</f>
        <v/>
      </c>
    </row>
    <row r="169" spans="1:34">
      <c r="A169" t="str">
        <f>IF('Base Encuesta'!C143="","",'Base Encuesta'!C143)</f>
        <v/>
      </c>
      <c r="B169" t="str">
        <f>IF('Base Encuesta'!D143="","",'Base Encuesta'!D143)</f>
        <v/>
      </c>
      <c r="C169" t="str">
        <f>IF('Base Encuesta'!E143="","",'Base Encuesta'!E143)</f>
        <v/>
      </c>
      <c r="D169" t="str">
        <f>IF('Base Encuesta'!F143="","",'Base Encuesta'!F143)</f>
        <v/>
      </c>
      <c r="E169" t="str">
        <f>IF('Base Encuesta'!G143="","",'Base Encuesta'!G143)</f>
        <v/>
      </c>
      <c r="F169" t="str">
        <f>IF('Base Encuesta'!H143="","",'Base Encuesta'!H143)</f>
        <v/>
      </c>
      <c r="G169" t="str">
        <f>IF('Base Encuesta'!I143="","",'Base Encuesta'!I143)</f>
        <v/>
      </c>
      <c r="H169" t="str">
        <f>IF('Base Encuesta'!J143="","",'Base Encuesta'!J143)</f>
        <v/>
      </c>
      <c r="I169" t="str">
        <f>IF('Base Encuesta'!K143="","",'Base Encuesta'!K143)</f>
        <v/>
      </c>
      <c r="J169" t="str">
        <f>IF(OR('Base Encuesta'!P143="",IFERROR(VALUE(LEFT('Base Encuesta'!K143,1)),"")&gt;=3),"",PROPER(TRIM('Base Encuesta'!P143)))</f>
        <v/>
      </c>
      <c r="K169" t="str">
        <f>IF(OR('Base Encuesta'!Q143="",IFERROR(VALUE(LEFT('Base Encuesta'!K143,1)),"")&gt;=3),"",'Base Encuesta'!Q143)</f>
        <v/>
      </c>
      <c r="L169" t="str">
        <f>IF(OR('Base Encuesta'!R143="",IFERROR(VALUE(LEFT('Base Encuesta'!K143,1)),"")&gt;=3),"",VALUE(LEFT('Base Encuesta'!R143,1)))</f>
        <v/>
      </c>
      <c r="M169" t="str">
        <f>IF(OR('Base Encuesta'!S143="",IFERROR(VALUE(LEFT('Base Encuesta'!K143,1)),"")&gt;=3),"",VALUE(LEFT('Base Encuesta'!S143,1)))</f>
        <v/>
      </c>
      <c r="N169" t="str">
        <f>IF(OR('Base Encuesta'!T143="",IFERROR(VALUE(LEFT('Base Encuesta'!K143,1)),"")&gt;=3),"",VALUE(LEFT('Base Encuesta'!T143,1)))</f>
        <v/>
      </c>
      <c r="O169" t="str">
        <f>IF(OR('Base Encuesta'!V143="",IFERROR(VALUE(LEFT('Base Encuesta'!K143,1)),"")&gt;=3),"",VALUE(LEFT('Base Encuesta'!V143,1)))</f>
        <v/>
      </c>
      <c r="P169" t="str">
        <f>IF(OR('Base Encuesta'!W143="",IFERROR(VALUE(LEFT('Base Encuesta'!K143,1)),"")&gt;=3),"",VALUE(LEFT('Base Encuesta'!W143,1)))</f>
        <v/>
      </c>
      <c r="Q169" t="str">
        <f>IF(OR('Base Encuesta'!X143="",IFERROR(VALUE(LEFT('Base Encuesta'!K143,1)),"")&gt;=3),"",VALUE(LEFT('Base Encuesta'!X143,1)))</f>
        <v/>
      </c>
      <c r="R169" t="str">
        <f>IF(OR('Base Encuesta'!Y143="",IFERROR(VALUE(LEFT('Base Encuesta'!K143,1)),"")&gt;=3),"",VALUE(LEFT('Base Encuesta'!Y143,1)))</f>
        <v/>
      </c>
      <c r="S169" t="str">
        <f>IF(OR('Base Encuesta'!Z143="",IFERROR(VALUE(LEFT('Base Encuesta'!K143,1)),"")&gt;=3),"",VALUE(LEFT('Base Encuesta'!Z143,1)))</f>
        <v/>
      </c>
      <c r="T169" t="str">
        <f>IF(OR('Base Encuesta'!AA143="",IFERROR(VALUE(LEFT('Base Encuesta'!K143,1)),"")&gt;=3),"",VALUE(LEFT('Base Encuesta'!AA143,1)))</f>
        <v/>
      </c>
      <c r="U169" t="str">
        <f>IF(OR('Base Encuesta'!AB143="",IFERROR(VALUE(LEFT('Base Encuesta'!K143,1)),"")&gt;=3),"",VALUE(LEFT('Base Encuesta'!AB143,1)))</f>
        <v/>
      </c>
      <c r="V169" t="str">
        <f>IF(OR('Base Encuesta'!AC143="",IFERROR(VALUE(LEFT('Base Encuesta'!K143,1)),"")&gt;=3),"",VALUE(LEFT('Base Encuesta'!AC143,1)))</f>
        <v/>
      </c>
      <c r="W169" t="str">
        <f>IF(OR('Base Encuesta'!AE143="",IFERROR(VALUE(LEFT('Base Encuesta'!K143,1)),"")&gt;=3),"",VALUE(LEFT('Base Encuesta'!AE143,1)))</f>
        <v/>
      </c>
      <c r="X169" t="str">
        <f>IF(OR('Base Encuesta'!AF143="",IFERROR(VALUE(LEFT('Base Encuesta'!K143,1)),"")&gt;=3),"",IF(W169=1,VALUE(LEFT('Base Encuesta'!AF143,1)),""))</f>
        <v/>
      </c>
      <c r="Y169" t="str">
        <f>IF(OR('Base Encuesta'!AG143="",IFERROR(VALUE(LEFT('Base Encuesta'!K143,1)),"")&gt;=3),"",IF(W169=1,VALUE(LEFT('Base Encuesta'!AG143,1)),""))</f>
        <v/>
      </c>
      <c r="Z169" t="str">
        <f>IF(OR('Base Encuesta'!AH143="",IFERROR(VALUE(LEFT('Base Encuesta'!K143,1)),"")&gt;=3),"",IF(W169=1,VALUE(LEFT('Base Encuesta'!AH143,1)),""))</f>
        <v/>
      </c>
      <c r="AA169" t="str">
        <f>IF(OR('Base Encuesta'!AI143="",IFERROR(VALUE(LEFT('Base Encuesta'!K143,1)),"")&gt;=3),"",IF(W169=1,VALUE(LEFT('Base Encuesta'!AI143,1)),""))</f>
        <v/>
      </c>
      <c r="AB169" t="str">
        <f>IF(OR('Base Encuesta'!AJ143="",IFERROR(VALUE(LEFT('Base Encuesta'!K143,1)),"")&gt;=3),"",IF(W169=1,VALUE(LEFT('Base Encuesta'!AJ143,1)),""))</f>
        <v/>
      </c>
      <c r="AC169" t="str">
        <f>IF(OR('Base Encuesta'!AL143="",IFERROR(VALUE(LEFT('Base Encuesta'!K143,1)),"")&gt;=3),"",VALUE(LEFT('Base Encuesta'!AL143,1)))</f>
        <v/>
      </c>
      <c r="AD169" t="str">
        <f>IF(OR('Base Encuesta'!AM143="",IFERROR(VALUE(LEFT('Base Encuesta'!K143,1)),"")&gt;=3),"",VALUE(LEFT('Base Encuesta'!AM143,1)))</f>
        <v/>
      </c>
      <c r="AE169" t="str">
        <f>IF(OR('Base Encuesta'!AN143="",IFERROR(VALUE(LEFT('Base Encuesta'!K143,1)),"")&gt;=3),"",VALUE(LEFT('Base Encuesta'!AN143,1)))</f>
        <v/>
      </c>
      <c r="AF169" t="str">
        <f>IF(OR('Base Encuesta'!AO143="",IFERROR(VALUE(LEFT('Base Encuesta'!K143,1)),"")&gt;=3),"",VALUE(LEFT('Base Encuesta'!AO143,1)))</f>
        <v/>
      </c>
      <c r="AG169" t="str">
        <f>IF(OR('Base Encuesta'!AQ143="",IFERROR(VALUE(LEFT('Base Encuesta'!K143,1)),"")&gt;=3),"",VALUE(LEFT('Base Encuesta'!AQ143,1)))</f>
        <v/>
      </c>
      <c r="AH169" t="str">
        <f>IF(OR('Base Encuesta'!AR143="",IFERROR(VALUE(LEFT('Base Encuesta'!K143,1)),"")&gt;=3),"",VALUE(LEFT('Base Encuesta'!AR143,1)))</f>
        <v/>
      </c>
    </row>
    <row r="170" spans="1:34">
      <c r="A170" t="str">
        <f>IF('Base Encuesta'!C144="","",'Base Encuesta'!C144)</f>
        <v/>
      </c>
      <c r="B170" t="str">
        <f>IF('Base Encuesta'!D144="","",'Base Encuesta'!D144)</f>
        <v/>
      </c>
      <c r="C170" t="str">
        <f>IF('Base Encuesta'!E144="","",'Base Encuesta'!E144)</f>
        <v/>
      </c>
      <c r="D170" t="str">
        <f>IF('Base Encuesta'!F144="","",'Base Encuesta'!F144)</f>
        <v/>
      </c>
      <c r="E170" t="str">
        <f>IF('Base Encuesta'!G144="","",'Base Encuesta'!G144)</f>
        <v/>
      </c>
      <c r="F170" t="str">
        <f>IF('Base Encuesta'!H144="","",'Base Encuesta'!H144)</f>
        <v/>
      </c>
      <c r="G170" t="str">
        <f>IF('Base Encuesta'!I144="","",'Base Encuesta'!I144)</f>
        <v/>
      </c>
      <c r="H170" t="str">
        <f>IF('Base Encuesta'!J144="","",'Base Encuesta'!J144)</f>
        <v/>
      </c>
      <c r="I170" t="str">
        <f>IF('Base Encuesta'!K144="","",'Base Encuesta'!K144)</f>
        <v/>
      </c>
      <c r="J170" t="str">
        <f>IF(OR('Base Encuesta'!P144="",IFERROR(VALUE(LEFT('Base Encuesta'!K144,1)),"")&gt;=3),"",PROPER(TRIM('Base Encuesta'!P144)))</f>
        <v/>
      </c>
      <c r="K170" t="str">
        <f>IF(OR('Base Encuesta'!Q144="",IFERROR(VALUE(LEFT('Base Encuesta'!K144,1)),"")&gt;=3),"",'Base Encuesta'!Q144)</f>
        <v/>
      </c>
      <c r="L170" t="str">
        <f>IF(OR('Base Encuesta'!R144="",IFERROR(VALUE(LEFT('Base Encuesta'!K144,1)),"")&gt;=3),"",VALUE(LEFT('Base Encuesta'!R144,1)))</f>
        <v/>
      </c>
      <c r="M170" t="str">
        <f>IF(OR('Base Encuesta'!S144="",IFERROR(VALUE(LEFT('Base Encuesta'!K144,1)),"")&gt;=3),"",VALUE(LEFT('Base Encuesta'!S144,1)))</f>
        <v/>
      </c>
      <c r="N170" t="str">
        <f>IF(OR('Base Encuesta'!T144="",IFERROR(VALUE(LEFT('Base Encuesta'!K144,1)),"")&gt;=3),"",VALUE(LEFT('Base Encuesta'!T144,1)))</f>
        <v/>
      </c>
      <c r="O170" t="str">
        <f>IF(OR('Base Encuesta'!V144="",IFERROR(VALUE(LEFT('Base Encuesta'!K144,1)),"")&gt;=3),"",VALUE(LEFT('Base Encuesta'!V144,1)))</f>
        <v/>
      </c>
      <c r="P170" t="str">
        <f>IF(OR('Base Encuesta'!W144="",IFERROR(VALUE(LEFT('Base Encuesta'!K144,1)),"")&gt;=3),"",VALUE(LEFT('Base Encuesta'!W144,1)))</f>
        <v/>
      </c>
      <c r="Q170" t="str">
        <f>IF(OR('Base Encuesta'!X144="",IFERROR(VALUE(LEFT('Base Encuesta'!K144,1)),"")&gt;=3),"",VALUE(LEFT('Base Encuesta'!X144,1)))</f>
        <v/>
      </c>
      <c r="R170" t="str">
        <f>IF(OR('Base Encuesta'!Y144="",IFERROR(VALUE(LEFT('Base Encuesta'!K144,1)),"")&gt;=3),"",VALUE(LEFT('Base Encuesta'!Y144,1)))</f>
        <v/>
      </c>
      <c r="S170" t="str">
        <f>IF(OR('Base Encuesta'!Z144="",IFERROR(VALUE(LEFT('Base Encuesta'!K144,1)),"")&gt;=3),"",VALUE(LEFT('Base Encuesta'!Z144,1)))</f>
        <v/>
      </c>
      <c r="T170" t="str">
        <f>IF(OR('Base Encuesta'!AA144="",IFERROR(VALUE(LEFT('Base Encuesta'!K144,1)),"")&gt;=3),"",VALUE(LEFT('Base Encuesta'!AA144,1)))</f>
        <v/>
      </c>
      <c r="U170" t="str">
        <f>IF(OR('Base Encuesta'!AB144="",IFERROR(VALUE(LEFT('Base Encuesta'!K144,1)),"")&gt;=3),"",VALUE(LEFT('Base Encuesta'!AB144,1)))</f>
        <v/>
      </c>
      <c r="V170" t="str">
        <f>IF(OR('Base Encuesta'!AC144="",IFERROR(VALUE(LEFT('Base Encuesta'!K144,1)),"")&gt;=3),"",VALUE(LEFT('Base Encuesta'!AC144,1)))</f>
        <v/>
      </c>
      <c r="W170" t="str">
        <f>IF(OR('Base Encuesta'!AE144="",IFERROR(VALUE(LEFT('Base Encuesta'!K144,1)),"")&gt;=3),"",VALUE(LEFT('Base Encuesta'!AE144,1)))</f>
        <v/>
      </c>
      <c r="X170" t="str">
        <f>IF(OR('Base Encuesta'!AF144="",IFERROR(VALUE(LEFT('Base Encuesta'!K144,1)),"")&gt;=3),"",IF(W170=1,VALUE(LEFT('Base Encuesta'!AF144,1)),""))</f>
        <v/>
      </c>
      <c r="Y170" t="str">
        <f>IF(OR('Base Encuesta'!AG144="",IFERROR(VALUE(LEFT('Base Encuesta'!K144,1)),"")&gt;=3),"",IF(W170=1,VALUE(LEFT('Base Encuesta'!AG144,1)),""))</f>
        <v/>
      </c>
      <c r="Z170" t="str">
        <f>IF(OR('Base Encuesta'!AH144="",IFERROR(VALUE(LEFT('Base Encuesta'!K144,1)),"")&gt;=3),"",IF(W170=1,VALUE(LEFT('Base Encuesta'!AH144,1)),""))</f>
        <v/>
      </c>
      <c r="AA170" t="str">
        <f>IF(OR('Base Encuesta'!AI144="",IFERROR(VALUE(LEFT('Base Encuesta'!K144,1)),"")&gt;=3),"",IF(W170=1,VALUE(LEFT('Base Encuesta'!AI144,1)),""))</f>
        <v/>
      </c>
      <c r="AB170" t="str">
        <f>IF(OR('Base Encuesta'!AJ144="",IFERROR(VALUE(LEFT('Base Encuesta'!K144,1)),"")&gt;=3),"",IF(W170=1,VALUE(LEFT('Base Encuesta'!AJ144,1)),""))</f>
        <v/>
      </c>
      <c r="AC170" t="str">
        <f>IF(OR('Base Encuesta'!AL144="",IFERROR(VALUE(LEFT('Base Encuesta'!K144,1)),"")&gt;=3),"",VALUE(LEFT('Base Encuesta'!AL144,1)))</f>
        <v/>
      </c>
      <c r="AD170" t="str">
        <f>IF(OR('Base Encuesta'!AM144="",IFERROR(VALUE(LEFT('Base Encuesta'!K144,1)),"")&gt;=3),"",VALUE(LEFT('Base Encuesta'!AM144,1)))</f>
        <v/>
      </c>
      <c r="AE170" t="str">
        <f>IF(OR('Base Encuesta'!AN144="",IFERROR(VALUE(LEFT('Base Encuesta'!K144,1)),"")&gt;=3),"",VALUE(LEFT('Base Encuesta'!AN144,1)))</f>
        <v/>
      </c>
      <c r="AF170" t="str">
        <f>IF(OR('Base Encuesta'!AO144="",IFERROR(VALUE(LEFT('Base Encuesta'!K144,1)),"")&gt;=3),"",VALUE(LEFT('Base Encuesta'!AO144,1)))</f>
        <v/>
      </c>
      <c r="AG170" t="str">
        <f>IF(OR('Base Encuesta'!AQ144="",IFERROR(VALUE(LEFT('Base Encuesta'!K144,1)),"")&gt;=3),"",VALUE(LEFT('Base Encuesta'!AQ144,1)))</f>
        <v/>
      </c>
      <c r="AH170" t="str">
        <f>IF(OR('Base Encuesta'!AR144="",IFERROR(VALUE(LEFT('Base Encuesta'!K144,1)),"")&gt;=3),"",VALUE(LEFT('Base Encuesta'!AR144,1)))</f>
        <v/>
      </c>
    </row>
    <row r="171" spans="1:34">
      <c r="A171" t="str">
        <f>IF('Base Encuesta'!C145="","",'Base Encuesta'!C145)</f>
        <v/>
      </c>
      <c r="B171" t="str">
        <f>IF('Base Encuesta'!D145="","",'Base Encuesta'!D145)</f>
        <v/>
      </c>
      <c r="C171" t="str">
        <f>IF('Base Encuesta'!E145="","",'Base Encuesta'!E145)</f>
        <v/>
      </c>
      <c r="D171" t="str">
        <f>IF('Base Encuesta'!F145="","",'Base Encuesta'!F145)</f>
        <v/>
      </c>
      <c r="E171" t="str">
        <f>IF('Base Encuesta'!G145="","",'Base Encuesta'!G145)</f>
        <v/>
      </c>
      <c r="F171" t="str">
        <f>IF('Base Encuesta'!H145="","",'Base Encuesta'!H145)</f>
        <v/>
      </c>
      <c r="G171" t="str">
        <f>IF('Base Encuesta'!I145="","",'Base Encuesta'!I145)</f>
        <v/>
      </c>
      <c r="H171" t="str">
        <f>IF('Base Encuesta'!J145="","",'Base Encuesta'!J145)</f>
        <v/>
      </c>
      <c r="I171" t="str">
        <f>IF('Base Encuesta'!K145="","",'Base Encuesta'!K145)</f>
        <v/>
      </c>
      <c r="J171" t="str">
        <f>IF(OR('Base Encuesta'!P145="",IFERROR(VALUE(LEFT('Base Encuesta'!K145,1)),"")&gt;=3),"",PROPER(TRIM('Base Encuesta'!P145)))</f>
        <v/>
      </c>
      <c r="K171" t="str">
        <f>IF(OR('Base Encuesta'!Q145="",IFERROR(VALUE(LEFT('Base Encuesta'!K145,1)),"")&gt;=3),"",'Base Encuesta'!Q145)</f>
        <v/>
      </c>
      <c r="L171" t="str">
        <f>IF(OR('Base Encuesta'!R145="",IFERROR(VALUE(LEFT('Base Encuesta'!K145,1)),"")&gt;=3),"",VALUE(LEFT('Base Encuesta'!R145,1)))</f>
        <v/>
      </c>
      <c r="M171" t="str">
        <f>IF(OR('Base Encuesta'!S145="",IFERROR(VALUE(LEFT('Base Encuesta'!K145,1)),"")&gt;=3),"",VALUE(LEFT('Base Encuesta'!S145,1)))</f>
        <v/>
      </c>
      <c r="N171" t="str">
        <f>IF(OR('Base Encuesta'!T145="",IFERROR(VALUE(LEFT('Base Encuesta'!K145,1)),"")&gt;=3),"",VALUE(LEFT('Base Encuesta'!T145,1)))</f>
        <v/>
      </c>
      <c r="O171" t="str">
        <f>IF(OR('Base Encuesta'!V145="",IFERROR(VALUE(LEFT('Base Encuesta'!K145,1)),"")&gt;=3),"",VALUE(LEFT('Base Encuesta'!V145,1)))</f>
        <v/>
      </c>
      <c r="P171" t="str">
        <f>IF(OR('Base Encuesta'!W145="",IFERROR(VALUE(LEFT('Base Encuesta'!K145,1)),"")&gt;=3),"",VALUE(LEFT('Base Encuesta'!W145,1)))</f>
        <v/>
      </c>
      <c r="Q171" t="str">
        <f>IF(OR('Base Encuesta'!X145="",IFERROR(VALUE(LEFT('Base Encuesta'!K145,1)),"")&gt;=3),"",VALUE(LEFT('Base Encuesta'!X145,1)))</f>
        <v/>
      </c>
      <c r="R171" t="str">
        <f>IF(OR('Base Encuesta'!Y145="",IFERROR(VALUE(LEFT('Base Encuesta'!K145,1)),"")&gt;=3),"",VALUE(LEFT('Base Encuesta'!Y145,1)))</f>
        <v/>
      </c>
      <c r="S171" t="str">
        <f>IF(OR('Base Encuesta'!Z145="",IFERROR(VALUE(LEFT('Base Encuesta'!K145,1)),"")&gt;=3),"",VALUE(LEFT('Base Encuesta'!Z145,1)))</f>
        <v/>
      </c>
      <c r="T171" t="str">
        <f>IF(OR('Base Encuesta'!AA145="",IFERROR(VALUE(LEFT('Base Encuesta'!K145,1)),"")&gt;=3),"",VALUE(LEFT('Base Encuesta'!AA145,1)))</f>
        <v/>
      </c>
      <c r="U171" t="str">
        <f>IF(OR('Base Encuesta'!AB145="",IFERROR(VALUE(LEFT('Base Encuesta'!K145,1)),"")&gt;=3),"",VALUE(LEFT('Base Encuesta'!AB145,1)))</f>
        <v/>
      </c>
      <c r="V171" t="str">
        <f>IF(OR('Base Encuesta'!AC145="",IFERROR(VALUE(LEFT('Base Encuesta'!K145,1)),"")&gt;=3),"",VALUE(LEFT('Base Encuesta'!AC145,1)))</f>
        <v/>
      </c>
      <c r="W171" t="str">
        <f>IF(OR('Base Encuesta'!AE145="",IFERROR(VALUE(LEFT('Base Encuesta'!K145,1)),"")&gt;=3),"",VALUE(LEFT('Base Encuesta'!AE145,1)))</f>
        <v/>
      </c>
      <c r="X171" t="str">
        <f>IF(OR('Base Encuesta'!AF145="",IFERROR(VALUE(LEFT('Base Encuesta'!K145,1)),"")&gt;=3),"",IF(W171=1,VALUE(LEFT('Base Encuesta'!AF145,1)),""))</f>
        <v/>
      </c>
      <c r="Y171" t="str">
        <f>IF(OR('Base Encuesta'!AG145="",IFERROR(VALUE(LEFT('Base Encuesta'!K145,1)),"")&gt;=3),"",IF(W171=1,VALUE(LEFT('Base Encuesta'!AG145,1)),""))</f>
        <v/>
      </c>
      <c r="Z171" t="str">
        <f>IF(OR('Base Encuesta'!AH145="",IFERROR(VALUE(LEFT('Base Encuesta'!K145,1)),"")&gt;=3),"",IF(W171=1,VALUE(LEFT('Base Encuesta'!AH145,1)),""))</f>
        <v/>
      </c>
      <c r="AA171" t="str">
        <f>IF(OR('Base Encuesta'!AI145="",IFERROR(VALUE(LEFT('Base Encuesta'!K145,1)),"")&gt;=3),"",IF(W171=1,VALUE(LEFT('Base Encuesta'!AI145,1)),""))</f>
        <v/>
      </c>
      <c r="AB171" t="str">
        <f>IF(OR('Base Encuesta'!AJ145="",IFERROR(VALUE(LEFT('Base Encuesta'!K145,1)),"")&gt;=3),"",IF(W171=1,VALUE(LEFT('Base Encuesta'!AJ145,1)),""))</f>
        <v/>
      </c>
      <c r="AC171" t="str">
        <f>IF(OR('Base Encuesta'!AL145="",IFERROR(VALUE(LEFT('Base Encuesta'!K145,1)),"")&gt;=3),"",VALUE(LEFT('Base Encuesta'!AL145,1)))</f>
        <v/>
      </c>
      <c r="AD171" t="str">
        <f>IF(OR('Base Encuesta'!AM145="",IFERROR(VALUE(LEFT('Base Encuesta'!K145,1)),"")&gt;=3),"",VALUE(LEFT('Base Encuesta'!AM145,1)))</f>
        <v/>
      </c>
      <c r="AE171" t="str">
        <f>IF(OR('Base Encuesta'!AN145="",IFERROR(VALUE(LEFT('Base Encuesta'!K145,1)),"")&gt;=3),"",VALUE(LEFT('Base Encuesta'!AN145,1)))</f>
        <v/>
      </c>
      <c r="AF171" t="str">
        <f>IF(OR('Base Encuesta'!AO145="",IFERROR(VALUE(LEFT('Base Encuesta'!K145,1)),"")&gt;=3),"",VALUE(LEFT('Base Encuesta'!AO145,1)))</f>
        <v/>
      </c>
      <c r="AG171" t="str">
        <f>IF(OR('Base Encuesta'!AQ145="",IFERROR(VALUE(LEFT('Base Encuesta'!K145,1)),"")&gt;=3),"",VALUE(LEFT('Base Encuesta'!AQ145,1)))</f>
        <v/>
      </c>
      <c r="AH171" t="str">
        <f>IF(OR('Base Encuesta'!AR145="",IFERROR(VALUE(LEFT('Base Encuesta'!K145,1)),"")&gt;=3),"",VALUE(LEFT('Base Encuesta'!AR145,1)))</f>
        <v/>
      </c>
    </row>
    <row r="172" spans="1:34">
      <c r="A172" t="str">
        <f>IF('Base Encuesta'!C146="","",'Base Encuesta'!C146)</f>
        <v/>
      </c>
      <c r="B172" t="str">
        <f>IF('Base Encuesta'!D146="","",'Base Encuesta'!D146)</f>
        <v/>
      </c>
      <c r="C172" t="str">
        <f>IF('Base Encuesta'!E146="","",'Base Encuesta'!E146)</f>
        <v/>
      </c>
      <c r="D172" t="str">
        <f>IF('Base Encuesta'!F146="","",'Base Encuesta'!F146)</f>
        <v/>
      </c>
      <c r="E172" t="str">
        <f>IF('Base Encuesta'!G146="","",'Base Encuesta'!G146)</f>
        <v/>
      </c>
      <c r="F172" t="str">
        <f>IF('Base Encuesta'!H146="","",'Base Encuesta'!H146)</f>
        <v/>
      </c>
      <c r="G172" t="str">
        <f>IF('Base Encuesta'!I146="","",'Base Encuesta'!I146)</f>
        <v/>
      </c>
      <c r="H172" t="str">
        <f>IF('Base Encuesta'!J146="","",'Base Encuesta'!J146)</f>
        <v/>
      </c>
      <c r="I172" t="str">
        <f>IF('Base Encuesta'!K146="","",'Base Encuesta'!K146)</f>
        <v/>
      </c>
      <c r="J172" t="str">
        <f>IF(OR('Base Encuesta'!P146="",IFERROR(VALUE(LEFT('Base Encuesta'!K146,1)),"")&gt;=3),"",PROPER(TRIM('Base Encuesta'!P146)))</f>
        <v/>
      </c>
      <c r="K172" t="str">
        <f>IF(OR('Base Encuesta'!Q146="",IFERROR(VALUE(LEFT('Base Encuesta'!K146,1)),"")&gt;=3),"",'Base Encuesta'!Q146)</f>
        <v/>
      </c>
      <c r="L172" t="str">
        <f>IF(OR('Base Encuesta'!R146="",IFERROR(VALUE(LEFT('Base Encuesta'!K146,1)),"")&gt;=3),"",VALUE(LEFT('Base Encuesta'!R146,1)))</f>
        <v/>
      </c>
      <c r="M172" t="str">
        <f>IF(OR('Base Encuesta'!S146="",IFERROR(VALUE(LEFT('Base Encuesta'!K146,1)),"")&gt;=3),"",VALUE(LEFT('Base Encuesta'!S146,1)))</f>
        <v/>
      </c>
      <c r="N172" t="str">
        <f>IF(OR('Base Encuesta'!T146="",IFERROR(VALUE(LEFT('Base Encuesta'!K146,1)),"")&gt;=3),"",VALUE(LEFT('Base Encuesta'!T146,1)))</f>
        <v/>
      </c>
      <c r="O172" t="str">
        <f>IF(OR('Base Encuesta'!V146="",IFERROR(VALUE(LEFT('Base Encuesta'!K146,1)),"")&gt;=3),"",VALUE(LEFT('Base Encuesta'!V146,1)))</f>
        <v/>
      </c>
      <c r="P172" t="str">
        <f>IF(OR('Base Encuesta'!W146="",IFERROR(VALUE(LEFT('Base Encuesta'!K146,1)),"")&gt;=3),"",VALUE(LEFT('Base Encuesta'!W146,1)))</f>
        <v/>
      </c>
      <c r="Q172" t="str">
        <f>IF(OR('Base Encuesta'!X146="",IFERROR(VALUE(LEFT('Base Encuesta'!K146,1)),"")&gt;=3),"",VALUE(LEFT('Base Encuesta'!X146,1)))</f>
        <v/>
      </c>
      <c r="R172" t="str">
        <f>IF(OR('Base Encuesta'!Y146="",IFERROR(VALUE(LEFT('Base Encuesta'!K146,1)),"")&gt;=3),"",VALUE(LEFT('Base Encuesta'!Y146,1)))</f>
        <v/>
      </c>
      <c r="S172" t="str">
        <f>IF(OR('Base Encuesta'!Z146="",IFERROR(VALUE(LEFT('Base Encuesta'!K146,1)),"")&gt;=3),"",VALUE(LEFT('Base Encuesta'!Z146,1)))</f>
        <v/>
      </c>
      <c r="T172" t="str">
        <f>IF(OR('Base Encuesta'!AA146="",IFERROR(VALUE(LEFT('Base Encuesta'!K146,1)),"")&gt;=3),"",VALUE(LEFT('Base Encuesta'!AA146,1)))</f>
        <v/>
      </c>
      <c r="U172" t="str">
        <f>IF(OR('Base Encuesta'!AB146="",IFERROR(VALUE(LEFT('Base Encuesta'!K146,1)),"")&gt;=3),"",VALUE(LEFT('Base Encuesta'!AB146,1)))</f>
        <v/>
      </c>
      <c r="V172" t="str">
        <f>IF(OR('Base Encuesta'!AC146="",IFERROR(VALUE(LEFT('Base Encuesta'!K146,1)),"")&gt;=3),"",VALUE(LEFT('Base Encuesta'!AC146,1)))</f>
        <v/>
      </c>
      <c r="W172" t="str">
        <f>IF(OR('Base Encuesta'!AE146="",IFERROR(VALUE(LEFT('Base Encuesta'!K146,1)),"")&gt;=3),"",VALUE(LEFT('Base Encuesta'!AE146,1)))</f>
        <v/>
      </c>
      <c r="X172" t="str">
        <f>IF(OR('Base Encuesta'!AF146="",IFERROR(VALUE(LEFT('Base Encuesta'!K146,1)),"")&gt;=3),"",IF(W172=1,VALUE(LEFT('Base Encuesta'!AF146,1)),""))</f>
        <v/>
      </c>
      <c r="Y172" t="str">
        <f>IF(OR('Base Encuesta'!AG146="",IFERROR(VALUE(LEFT('Base Encuesta'!K146,1)),"")&gt;=3),"",IF(W172=1,VALUE(LEFT('Base Encuesta'!AG146,1)),""))</f>
        <v/>
      </c>
      <c r="Z172" t="str">
        <f>IF(OR('Base Encuesta'!AH146="",IFERROR(VALUE(LEFT('Base Encuesta'!K146,1)),"")&gt;=3),"",IF(W172=1,VALUE(LEFT('Base Encuesta'!AH146,1)),""))</f>
        <v/>
      </c>
      <c r="AA172" t="str">
        <f>IF(OR('Base Encuesta'!AI146="",IFERROR(VALUE(LEFT('Base Encuesta'!K146,1)),"")&gt;=3),"",IF(W172=1,VALUE(LEFT('Base Encuesta'!AI146,1)),""))</f>
        <v/>
      </c>
      <c r="AB172" t="str">
        <f>IF(OR('Base Encuesta'!AJ146="",IFERROR(VALUE(LEFT('Base Encuesta'!K146,1)),"")&gt;=3),"",IF(W172=1,VALUE(LEFT('Base Encuesta'!AJ146,1)),""))</f>
        <v/>
      </c>
      <c r="AC172" t="str">
        <f>IF(OR('Base Encuesta'!AL146="",IFERROR(VALUE(LEFT('Base Encuesta'!K146,1)),"")&gt;=3),"",VALUE(LEFT('Base Encuesta'!AL146,1)))</f>
        <v/>
      </c>
      <c r="AD172" t="str">
        <f>IF(OR('Base Encuesta'!AM146="",IFERROR(VALUE(LEFT('Base Encuesta'!K146,1)),"")&gt;=3),"",VALUE(LEFT('Base Encuesta'!AM146,1)))</f>
        <v/>
      </c>
      <c r="AE172" t="str">
        <f>IF(OR('Base Encuesta'!AN146="",IFERROR(VALUE(LEFT('Base Encuesta'!K146,1)),"")&gt;=3),"",VALUE(LEFT('Base Encuesta'!AN146,1)))</f>
        <v/>
      </c>
      <c r="AF172" t="str">
        <f>IF(OR('Base Encuesta'!AO146="",IFERROR(VALUE(LEFT('Base Encuesta'!K146,1)),"")&gt;=3),"",VALUE(LEFT('Base Encuesta'!AO146,1)))</f>
        <v/>
      </c>
      <c r="AG172" t="str">
        <f>IF(OR('Base Encuesta'!AQ146="",IFERROR(VALUE(LEFT('Base Encuesta'!K146,1)),"")&gt;=3),"",VALUE(LEFT('Base Encuesta'!AQ146,1)))</f>
        <v/>
      </c>
      <c r="AH172" t="str">
        <f>IF(OR('Base Encuesta'!AR146="",IFERROR(VALUE(LEFT('Base Encuesta'!K146,1)),"")&gt;=3),"",VALUE(LEFT('Base Encuesta'!AR146,1)))</f>
        <v/>
      </c>
    </row>
    <row r="173" spans="1:34">
      <c r="A173" t="str">
        <f>IF('Base Encuesta'!C147="","",'Base Encuesta'!C147)</f>
        <v/>
      </c>
      <c r="B173" t="str">
        <f>IF('Base Encuesta'!D147="","",'Base Encuesta'!D147)</f>
        <v/>
      </c>
      <c r="C173" t="str">
        <f>IF('Base Encuesta'!E147="","",'Base Encuesta'!E147)</f>
        <v/>
      </c>
      <c r="D173" t="str">
        <f>IF('Base Encuesta'!F147="","",'Base Encuesta'!F147)</f>
        <v/>
      </c>
      <c r="E173" t="str">
        <f>IF('Base Encuesta'!G147="","",'Base Encuesta'!G147)</f>
        <v/>
      </c>
      <c r="F173" t="str">
        <f>IF('Base Encuesta'!H147="","",'Base Encuesta'!H147)</f>
        <v/>
      </c>
      <c r="G173" t="str">
        <f>IF('Base Encuesta'!I147="","",'Base Encuesta'!I147)</f>
        <v/>
      </c>
      <c r="H173" t="str">
        <f>IF('Base Encuesta'!J147="","",'Base Encuesta'!J147)</f>
        <v/>
      </c>
      <c r="I173" t="str">
        <f>IF('Base Encuesta'!K147="","",'Base Encuesta'!K147)</f>
        <v/>
      </c>
      <c r="J173" t="str">
        <f>IF(OR('Base Encuesta'!P147="",IFERROR(VALUE(LEFT('Base Encuesta'!K147,1)),"")&gt;=3),"",PROPER(TRIM('Base Encuesta'!P147)))</f>
        <v/>
      </c>
      <c r="K173" t="str">
        <f>IF(OR('Base Encuesta'!Q147="",IFERROR(VALUE(LEFT('Base Encuesta'!K147,1)),"")&gt;=3),"",'Base Encuesta'!Q147)</f>
        <v/>
      </c>
      <c r="L173" t="str">
        <f>IF(OR('Base Encuesta'!R147="",IFERROR(VALUE(LEFT('Base Encuesta'!K147,1)),"")&gt;=3),"",VALUE(LEFT('Base Encuesta'!R147,1)))</f>
        <v/>
      </c>
      <c r="M173" t="str">
        <f>IF(OR('Base Encuesta'!S147="",IFERROR(VALUE(LEFT('Base Encuesta'!K147,1)),"")&gt;=3),"",VALUE(LEFT('Base Encuesta'!S147,1)))</f>
        <v/>
      </c>
      <c r="N173" t="str">
        <f>IF(OR('Base Encuesta'!T147="",IFERROR(VALUE(LEFT('Base Encuesta'!K147,1)),"")&gt;=3),"",VALUE(LEFT('Base Encuesta'!T147,1)))</f>
        <v/>
      </c>
      <c r="O173" t="str">
        <f>IF(OR('Base Encuesta'!V147="",IFERROR(VALUE(LEFT('Base Encuesta'!K147,1)),"")&gt;=3),"",VALUE(LEFT('Base Encuesta'!V147,1)))</f>
        <v/>
      </c>
      <c r="P173" t="str">
        <f>IF(OR('Base Encuesta'!W147="",IFERROR(VALUE(LEFT('Base Encuesta'!K147,1)),"")&gt;=3),"",VALUE(LEFT('Base Encuesta'!W147,1)))</f>
        <v/>
      </c>
      <c r="Q173" t="str">
        <f>IF(OR('Base Encuesta'!X147="",IFERROR(VALUE(LEFT('Base Encuesta'!K147,1)),"")&gt;=3),"",VALUE(LEFT('Base Encuesta'!X147,1)))</f>
        <v/>
      </c>
      <c r="R173" t="str">
        <f>IF(OR('Base Encuesta'!Y147="",IFERROR(VALUE(LEFT('Base Encuesta'!K147,1)),"")&gt;=3),"",VALUE(LEFT('Base Encuesta'!Y147,1)))</f>
        <v/>
      </c>
      <c r="S173" t="str">
        <f>IF(OR('Base Encuesta'!Z147="",IFERROR(VALUE(LEFT('Base Encuesta'!K147,1)),"")&gt;=3),"",VALUE(LEFT('Base Encuesta'!Z147,1)))</f>
        <v/>
      </c>
      <c r="T173" t="str">
        <f>IF(OR('Base Encuesta'!AA147="",IFERROR(VALUE(LEFT('Base Encuesta'!K147,1)),"")&gt;=3),"",VALUE(LEFT('Base Encuesta'!AA147,1)))</f>
        <v/>
      </c>
      <c r="U173" t="str">
        <f>IF(OR('Base Encuesta'!AB147="",IFERROR(VALUE(LEFT('Base Encuesta'!K147,1)),"")&gt;=3),"",VALUE(LEFT('Base Encuesta'!AB147,1)))</f>
        <v/>
      </c>
      <c r="V173" t="str">
        <f>IF(OR('Base Encuesta'!AC147="",IFERROR(VALUE(LEFT('Base Encuesta'!K147,1)),"")&gt;=3),"",VALUE(LEFT('Base Encuesta'!AC147,1)))</f>
        <v/>
      </c>
      <c r="W173" t="str">
        <f>IF(OR('Base Encuesta'!AE147="",IFERROR(VALUE(LEFT('Base Encuesta'!K147,1)),"")&gt;=3),"",VALUE(LEFT('Base Encuesta'!AE147,1)))</f>
        <v/>
      </c>
      <c r="X173" t="str">
        <f>IF(OR('Base Encuesta'!AF147="",IFERROR(VALUE(LEFT('Base Encuesta'!K147,1)),"")&gt;=3),"",IF(W173=1,VALUE(LEFT('Base Encuesta'!AF147,1)),""))</f>
        <v/>
      </c>
      <c r="Y173" t="str">
        <f>IF(OR('Base Encuesta'!AG147="",IFERROR(VALUE(LEFT('Base Encuesta'!K147,1)),"")&gt;=3),"",IF(W173=1,VALUE(LEFT('Base Encuesta'!AG147,1)),""))</f>
        <v/>
      </c>
      <c r="Z173" t="str">
        <f>IF(OR('Base Encuesta'!AH147="",IFERROR(VALUE(LEFT('Base Encuesta'!K147,1)),"")&gt;=3),"",IF(W173=1,VALUE(LEFT('Base Encuesta'!AH147,1)),""))</f>
        <v/>
      </c>
      <c r="AA173" t="str">
        <f>IF(OR('Base Encuesta'!AI147="",IFERROR(VALUE(LEFT('Base Encuesta'!K147,1)),"")&gt;=3),"",IF(W173=1,VALUE(LEFT('Base Encuesta'!AI147,1)),""))</f>
        <v/>
      </c>
      <c r="AB173" t="str">
        <f>IF(OR('Base Encuesta'!AJ147="",IFERROR(VALUE(LEFT('Base Encuesta'!K147,1)),"")&gt;=3),"",IF(W173=1,VALUE(LEFT('Base Encuesta'!AJ147,1)),""))</f>
        <v/>
      </c>
      <c r="AC173" t="str">
        <f>IF(OR('Base Encuesta'!AL147="",IFERROR(VALUE(LEFT('Base Encuesta'!K147,1)),"")&gt;=3),"",VALUE(LEFT('Base Encuesta'!AL147,1)))</f>
        <v/>
      </c>
      <c r="AD173" t="str">
        <f>IF(OR('Base Encuesta'!AM147="",IFERROR(VALUE(LEFT('Base Encuesta'!K147,1)),"")&gt;=3),"",VALUE(LEFT('Base Encuesta'!AM147,1)))</f>
        <v/>
      </c>
      <c r="AE173" t="str">
        <f>IF(OR('Base Encuesta'!AN147="",IFERROR(VALUE(LEFT('Base Encuesta'!K147,1)),"")&gt;=3),"",VALUE(LEFT('Base Encuesta'!AN147,1)))</f>
        <v/>
      </c>
      <c r="AF173" t="str">
        <f>IF(OR('Base Encuesta'!AO147="",IFERROR(VALUE(LEFT('Base Encuesta'!K147,1)),"")&gt;=3),"",VALUE(LEFT('Base Encuesta'!AO147,1)))</f>
        <v/>
      </c>
      <c r="AG173" t="str">
        <f>IF(OR('Base Encuesta'!AQ147="",IFERROR(VALUE(LEFT('Base Encuesta'!K147,1)),"")&gt;=3),"",VALUE(LEFT('Base Encuesta'!AQ147,1)))</f>
        <v/>
      </c>
      <c r="AH173" t="str">
        <f>IF(OR('Base Encuesta'!AR147="",IFERROR(VALUE(LEFT('Base Encuesta'!K147,1)),"")&gt;=3),"",VALUE(LEFT('Base Encuesta'!AR147,1)))</f>
        <v/>
      </c>
    </row>
    <row r="174" spans="1:34">
      <c r="A174" t="str">
        <f>IF('Base Encuesta'!C148="","",'Base Encuesta'!C148)</f>
        <v/>
      </c>
      <c r="B174" t="str">
        <f>IF('Base Encuesta'!D148="","",'Base Encuesta'!D148)</f>
        <v/>
      </c>
      <c r="C174" t="str">
        <f>IF('Base Encuesta'!E148="","",'Base Encuesta'!E148)</f>
        <v/>
      </c>
      <c r="D174" t="str">
        <f>IF('Base Encuesta'!F148="","",'Base Encuesta'!F148)</f>
        <v/>
      </c>
      <c r="E174" t="str">
        <f>IF('Base Encuesta'!G148="","",'Base Encuesta'!G148)</f>
        <v/>
      </c>
      <c r="F174" t="str">
        <f>IF('Base Encuesta'!H148="","",'Base Encuesta'!H148)</f>
        <v/>
      </c>
      <c r="G174" t="str">
        <f>IF('Base Encuesta'!I148="","",'Base Encuesta'!I148)</f>
        <v/>
      </c>
      <c r="H174" t="str">
        <f>IF('Base Encuesta'!J148="","",'Base Encuesta'!J148)</f>
        <v/>
      </c>
      <c r="I174" t="str">
        <f>IF('Base Encuesta'!K148="","",'Base Encuesta'!K148)</f>
        <v/>
      </c>
      <c r="J174" t="str">
        <f>IF(OR('Base Encuesta'!P148="",IFERROR(VALUE(LEFT('Base Encuesta'!K148,1)),"")&gt;=3),"",PROPER(TRIM('Base Encuesta'!P148)))</f>
        <v/>
      </c>
      <c r="K174" t="str">
        <f>IF(OR('Base Encuesta'!Q148="",IFERROR(VALUE(LEFT('Base Encuesta'!K148,1)),"")&gt;=3),"",'Base Encuesta'!Q148)</f>
        <v/>
      </c>
      <c r="L174" t="str">
        <f>IF(OR('Base Encuesta'!R148="",IFERROR(VALUE(LEFT('Base Encuesta'!K148,1)),"")&gt;=3),"",VALUE(LEFT('Base Encuesta'!R148,1)))</f>
        <v/>
      </c>
      <c r="M174" t="str">
        <f>IF(OR('Base Encuesta'!S148="",IFERROR(VALUE(LEFT('Base Encuesta'!K148,1)),"")&gt;=3),"",VALUE(LEFT('Base Encuesta'!S148,1)))</f>
        <v/>
      </c>
      <c r="N174" t="str">
        <f>IF(OR('Base Encuesta'!T148="",IFERROR(VALUE(LEFT('Base Encuesta'!K148,1)),"")&gt;=3),"",VALUE(LEFT('Base Encuesta'!T148,1)))</f>
        <v/>
      </c>
      <c r="O174" t="str">
        <f>IF(OR('Base Encuesta'!V148="",IFERROR(VALUE(LEFT('Base Encuesta'!K148,1)),"")&gt;=3),"",VALUE(LEFT('Base Encuesta'!V148,1)))</f>
        <v/>
      </c>
      <c r="P174" t="str">
        <f>IF(OR('Base Encuesta'!W148="",IFERROR(VALUE(LEFT('Base Encuesta'!K148,1)),"")&gt;=3),"",VALUE(LEFT('Base Encuesta'!W148,1)))</f>
        <v/>
      </c>
      <c r="Q174" t="str">
        <f>IF(OR('Base Encuesta'!X148="",IFERROR(VALUE(LEFT('Base Encuesta'!K148,1)),"")&gt;=3),"",VALUE(LEFT('Base Encuesta'!X148,1)))</f>
        <v/>
      </c>
      <c r="R174" t="str">
        <f>IF(OR('Base Encuesta'!Y148="",IFERROR(VALUE(LEFT('Base Encuesta'!K148,1)),"")&gt;=3),"",VALUE(LEFT('Base Encuesta'!Y148,1)))</f>
        <v/>
      </c>
      <c r="S174" t="str">
        <f>IF(OR('Base Encuesta'!Z148="",IFERROR(VALUE(LEFT('Base Encuesta'!K148,1)),"")&gt;=3),"",VALUE(LEFT('Base Encuesta'!Z148,1)))</f>
        <v/>
      </c>
      <c r="T174" t="str">
        <f>IF(OR('Base Encuesta'!AA148="",IFERROR(VALUE(LEFT('Base Encuesta'!K148,1)),"")&gt;=3),"",VALUE(LEFT('Base Encuesta'!AA148,1)))</f>
        <v/>
      </c>
      <c r="U174" t="str">
        <f>IF(OR('Base Encuesta'!AB148="",IFERROR(VALUE(LEFT('Base Encuesta'!K148,1)),"")&gt;=3),"",VALUE(LEFT('Base Encuesta'!AB148,1)))</f>
        <v/>
      </c>
      <c r="V174" t="str">
        <f>IF(OR('Base Encuesta'!AC148="",IFERROR(VALUE(LEFT('Base Encuesta'!K148,1)),"")&gt;=3),"",VALUE(LEFT('Base Encuesta'!AC148,1)))</f>
        <v/>
      </c>
      <c r="W174" t="str">
        <f>IF(OR('Base Encuesta'!AE148="",IFERROR(VALUE(LEFT('Base Encuesta'!K148,1)),"")&gt;=3),"",VALUE(LEFT('Base Encuesta'!AE148,1)))</f>
        <v/>
      </c>
      <c r="X174" t="str">
        <f>IF(OR('Base Encuesta'!AF148="",IFERROR(VALUE(LEFT('Base Encuesta'!K148,1)),"")&gt;=3),"",IF(W174=1,VALUE(LEFT('Base Encuesta'!AF148,1)),""))</f>
        <v/>
      </c>
      <c r="Y174" t="str">
        <f>IF(OR('Base Encuesta'!AG148="",IFERROR(VALUE(LEFT('Base Encuesta'!K148,1)),"")&gt;=3),"",IF(W174=1,VALUE(LEFT('Base Encuesta'!AG148,1)),""))</f>
        <v/>
      </c>
      <c r="Z174" t="str">
        <f>IF(OR('Base Encuesta'!AH148="",IFERROR(VALUE(LEFT('Base Encuesta'!K148,1)),"")&gt;=3),"",IF(W174=1,VALUE(LEFT('Base Encuesta'!AH148,1)),""))</f>
        <v/>
      </c>
      <c r="AA174" t="str">
        <f>IF(OR('Base Encuesta'!AI148="",IFERROR(VALUE(LEFT('Base Encuesta'!K148,1)),"")&gt;=3),"",IF(W174=1,VALUE(LEFT('Base Encuesta'!AI148,1)),""))</f>
        <v/>
      </c>
      <c r="AB174" t="str">
        <f>IF(OR('Base Encuesta'!AJ148="",IFERROR(VALUE(LEFT('Base Encuesta'!K148,1)),"")&gt;=3),"",IF(W174=1,VALUE(LEFT('Base Encuesta'!AJ148,1)),""))</f>
        <v/>
      </c>
      <c r="AC174" t="str">
        <f>IF(OR('Base Encuesta'!AL148="",IFERROR(VALUE(LEFT('Base Encuesta'!K148,1)),"")&gt;=3),"",VALUE(LEFT('Base Encuesta'!AL148,1)))</f>
        <v/>
      </c>
      <c r="AD174" t="str">
        <f>IF(OR('Base Encuesta'!AM148="",IFERROR(VALUE(LEFT('Base Encuesta'!K148,1)),"")&gt;=3),"",VALUE(LEFT('Base Encuesta'!AM148,1)))</f>
        <v/>
      </c>
      <c r="AE174" t="str">
        <f>IF(OR('Base Encuesta'!AN148="",IFERROR(VALUE(LEFT('Base Encuesta'!K148,1)),"")&gt;=3),"",VALUE(LEFT('Base Encuesta'!AN148,1)))</f>
        <v/>
      </c>
      <c r="AF174" t="str">
        <f>IF(OR('Base Encuesta'!AO148="",IFERROR(VALUE(LEFT('Base Encuesta'!K148,1)),"")&gt;=3),"",VALUE(LEFT('Base Encuesta'!AO148,1)))</f>
        <v/>
      </c>
      <c r="AG174" t="str">
        <f>IF(OR('Base Encuesta'!AQ148="",IFERROR(VALUE(LEFT('Base Encuesta'!K148,1)),"")&gt;=3),"",VALUE(LEFT('Base Encuesta'!AQ148,1)))</f>
        <v/>
      </c>
      <c r="AH174" t="str">
        <f>IF(OR('Base Encuesta'!AR148="",IFERROR(VALUE(LEFT('Base Encuesta'!K148,1)),"")&gt;=3),"",VALUE(LEFT('Base Encuesta'!AR148,1)))</f>
        <v/>
      </c>
    </row>
    <row r="175" spans="1:34">
      <c r="A175" t="str">
        <f>IF('Base Encuesta'!C149="","",'Base Encuesta'!C149)</f>
        <v/>
      </c>
      <c r="B175" t="str">
        <f>IF('Base Encuesta'!D149="","",'Base Encuesta'!D149)</f>
        <v/>
      </c>
      <c r="C175" t="str">
        <f>IF('Base Encuesta'!E149="","",'Base Encuesta'!E149)</f>
        <v/>
      </c>
      <c r="D175" t="str">
        <f>IF('Base Encuesta'!F149="","",'Base Encuesta'!F149)</f>
        <v/>
      </c>
      <c r="E175" t="str">
        <f>IF('Base Encuesta'!G149="","",'Base Encuesta'!G149)</f>
        <v/>
      </c>
      <c r="F175" t="str">
        <f>IF('Base Encuesta'!H149="","",'Base Encuesta'!H149)</f>
        <v/>
      </c>
      <c r="G175" t="str">
        <f>IF('Base Encuesta'!I149="","",'Base Encuesta'!I149)</f>
        <v/>
      </c>
      <c r="H175" t="str">
        <f>IF('Base Encuesta'!J149="","",'Base Encuesta'!J149)</f>
        <v/>
      </c>
      <c r="I175" t="str">
        <f>IF('Base Encuesta'!K149="","",'Base Encuesta'!K149)</f>
        <v/>
      </c>
      <c r="J175" t="str">
        <f>IF(OR('Base Encuesta'!P149="",IFERROR(VALUE(LEFT('Base Encuesta'!K149,1)),"")&gt;=3),"",PROPER(TRIM('Base Encuesta'!P149)))</f>
        <v/>
      </c>
      <c r="K175" t="str">
        <f>IF(OR('Base Encuesta'!Q149="",IFERROR(VALUE(LEFT('Base Encuesta'!K149,1)),"")&gt;=3),"",'Base Encuesta'!Q149)</f>
        <v/>
      </c>
      <c r="L175" t="str">
        <f>IF(OR('Base Encuesta'!R149="",IFERROR(VALUE(LEFT('Base Encuesta'!K149,1)),"")&gt;=3),"",VALUE(LEFT('Base Encuesta'!R149,1)))</f>
        <v/>
      </c>
      <c r="M175" t="str">
        <f>IF(OR('Base Encuesta'!S149="",IFERROR(VALUE(LEFT('Base Encuesta'!K149,1)),"")&gt;=3),"",VALUE(LEFT('Base Encuesta'!S149,1)))</f>
        <v/>
      </c>
      <c r="N175" t="str">
        <f>IF(OR('Base Encuesta'!T149="",IFERROR(VALUE(LEFT('Base Encuesta'!K149,1)),"")&gt;=3),"",VALUE(LEFT('Base Encuesta'!T149,1)))</f>
        <v/>
      </c>
      <c r="O175" t="str">
        <f>IF(OR('Base Encuesta'!V149="",IFERROR(VALUE(LEFT('Base Encuesta'!K149,1)),"")&gt;=3),"",VALUE(LEFT('Base Encuesta'!V149,1)))</f>
        <v/>
      </c>
      <c r="P175" t="str">
        <f>IF(OR('Base Encuesta'!W149="",IFERROR(VALUE(LEFT('Base Encuesta'!K149,1)),"")&gt;=3),"",VALUE(LEFT('Base Encuesta'!W149,1)))</f>
        <v/>
      </c>
      <c r="Q175" t="str">
        <f>IF(OR('Base Encuesta'!X149="",IFERROR(VALUE(LEFT('Base Encuesta'!K149,1)),"")&gt;=3),"",VALUE(LEFT('Base Encuesta'!X149,1)))</f>
        <v/>
      </c>
      <c r="R175" t="str">
        <f>IF(OR('Base Encuesta'!Y149="",IFERROR(VALUE(LEFT('Base Encuesta'!K149,1)),"")&gt;=3),"",VALUE(LEFT('Base Encuesta'!Y149,1)))</f>
        <v/>
      </c>
      <c r="S175" t="str">
        <f>IF(OR('Base Encuesta'!Z149="",IFERROR(VALUE(LEFT('Base Encuesta'!K149,1)),"")&gt;=3),"",VALUE(LEFT('Base Encuesta'!Z149,1)))</f>
        <v/>
      </c>
      <c r="T175" t="str">
        <f>IF(OR('Base Encuesta'!AA149="",IFERROR(VALUE(LEFT('Base Encuesta'!K149,1)),"")&gt;=3),"",VALUE(LEFT('Base Encuesta'!AA149,1)))</f>
        <v/>
      </c>
      <c r="U175" t="str">
        <f>IF(OR('Base Encuesta'!AB149="",IFERROR(VALUE(LEFT('Base Encuesta'!K149,1)),"")&gt;=3),"",VALUE(LEFT('Base Encuesta'!AB149,1)))</f>
        <v/>
      </c>
      <c r="V175" t="str">
        <f>IF(OR('Base Encuesta'!AC149="",IFERROR(VALUE(LEFT('Base Encuesta'!K149,1)),"")&gt;=3),"",VALUE(LEFT('Base Encuesta'!AC149,1)))</f>
        <v/>
      </c>
      <c r="W175" t="str">
        <f>IF(OR('Base Encuesta'!AE149="",IFERROR(VALUE(LEFT('Base Encuesta'!K149,1)),"")&gt;=3),"",VALUE(LEFT('Base Encuesta'!AE149,1)))</f>
        <v/>
      </c>
      <c r="X175" t="str">
        <f>IF(OR('Base Encuesta'!AF149="",IFERROR(VALUE(LEFT('Base Encuesta'!K149,1)),"")&gt;=3),"",IF(W175=1,VALUE(LEFT('Base Encuesta'!AF149,1)),""))</f>
        <v/>
      </c>
      <c r="Y175" t="str">
        <f>IF(OR('Base Encuesta'!AG149="",IFERROR(VALUE(LEFT('Base Encuesta'!K149,1)),"")&gt;=3),"",IF(W175=1,VALUE(LEFT('Base Encuesta'!AG149,1)),""))</f>
        <v/>
      </c>
      <c r="Z175" t="str">
        <f>IF(OR('Base Encuesta'!AH149="",IFERROR(VALUE(LEFT('Base Encuesta'!K149,1)),"")&gt;=3),"",IF(W175=1,VALUE(LEFT('Base Encuesta'!AH149,1)),""))</f>
        <v/>
      </c>
      <c r="AA175" t="str">
        <f>IF(OR('Base Encuesta'!AI149="",IFERROR(VALUE(LEFT('Base Encuesta'!K149,1)),"")&gt;=3),"",IF(W175=1,VALUE(LEFT('Base Encuesta'!AI149,1)),""))</f>
        <v/>
      </c>
      <c r="AB175" t="str">
        <f>IF(OR('Base Encuesta'!AJ149="",IFERROR(VALUE(LEFT('Base Encuesta'!K149,1)),"")&gt;=3),"",IF(W175=1,VALUE(LEFT('Base Encuesta'!AJ149,1)),""))</f>
        <v/>
      </c>
      <c r="AC175" t="str">
        <f>IF(OR('Base Encuesta'!AL149="",IFERROR(VALUE(LEFT('Base Encuesta'!K149,1)),"")&gt;=3),"",VALUE(LEFT('Base Encuesta'!AL149,1)))</f>
        <v/>
      </c>
      <c r="AD175" t="str">
        <f>IF(OR('Base Encuesta'!AM149="",IFERROR(VALUE(LEFT('Base Encuesta'!K149,1)),"")&gt;=3),"",VALUE(LEFT('Base Encuesta'!AM149,1)))</f>
        <v/>
      </c>
      <c r="AE175" t="str">
        <f>IF(OR('Base Encuesta'!AN149="",IFERROR(VALUE(LEFT('Base Encuesta'!K149,1)),"")&gt;=3),"",VALUE(LEFT('Base Encuesta'!AN149,1)))</f>
        <v/>
      </c>
      <c r="AF175" t="str">
        <f>IF(OR('Base Encuesta'!AO149="",IFERROR(VALUE(LEFT('Base Encuesta'!K149,1)),"")&gt;=3),"",VALUE(LEFT('Base Encuesta'!AO149,1)))</f>
        <v/>
      </c>
      <c r="AG175" t="str">
        <f>IF(OR('Base Encuesta'!AQ149="",IFERROR(VALUE(LEFT('Base Encuesta'!K149,1)),"")&gt;=3),"",VALUE(LEFT('Base Encuesta'!AQ149,1)))</f>
        <v/>
      </c>
      <c r="AH175" t="str">
        <f>IF(OR('Base Encuesta'!AR149="",IFERROR(VALUE(LEFT('Base Encuesta'!K149,1)),"")&gt;=3),"",VALUE(LEFT('Base Encuesta'!AR149,1)))</f>
        <v/>
      </c>
    </row>
    <row r="176" spans="1:34">
      <c r="A176" t="str">
        <f>IF('Base Encuesta'!C150="","",'Base Encuesta'!C150)</f>
        <v/>
      </c>
      <c r="B176" t="str">
        <f>IF('Base Encuesta'!D150="","",'Base Encuesta'!D150)</f>
        <v/>
      </c>
      <c r="C176" t="str">
        <f>IF('Base Encuesta'!E150="","",'Base Encuesta'!E150)</f>
        <v/>
      </c>
      <c r="D176" t="str">
        <f>IF('Base Encuesta'!F150="","",'Base Encuesta'!F150)</f>
        <v/>
      </c>
      <c r="E176" t="str">
        <f>IF('Base Encuesta'!G150="","",'Base Encuesta'!G150)</f>
        <v/>
      </c>
      <c r="F176" t="str">
        <f>IF('Base Encuesta'!H150="","",'Base Encuesta'!H150)</f>
        <v/>
      </c>
      <c r="G176" t="str">
        <f>IF('Base Encuesta'!I150="","",'Base Encuesta'!I150)</f>
        <v/>
      </c>
      <c r="H176" t="str">
        <f>IF('Base Encuesta'!J150="","",'Base Encuesta'!J150)</f>
        <v/>
      </c>
      <c r="I176" t="str">
        <f>IF('Base Encuesta'!K150="","",'Base Encuesta'!K150)</f>
        <v/>
      </c>
      <c r="J176" t="str">
        <f>IF(OR('Base Encuesta'!P150="",IFERROR(VALUE(LEFT('Base Encuesta'!K150,1)),"")&gt;=3),"",PROPER(TRIM('Base Encuesta'!P150)))</f>
        <v/>
      </c>
      <c r="K176" t="str">
        <f>IF(OR('Base Encuesta'!Q150="",IFERROR(VALUE(LEFT('Base Encuesta'!K150,1)),"")&gt;=3),"",'Base Encuesta'!Q150)</f>
        <v/>
      </c>
      <c r="L176" t="str">
        <f>IF(OR('Base Encuesta'!R150="",IFERROR(VALUE(LEFT('Base Encuesta'!K150,1)),"")&gt;=3),"",VALUE(LEFT('Base Encuesta'!R150,1)))</f>
        <v/>
      </c>
      <c r="M176" t="str">
        <f>IF(OR('Base Encuesta'!S150="",IFERROR(VALUE(LEFT('Base Encuesta'!K150,1)),"")&gt;=3),"",VALUE(LEFT('Base Encuesta'!S150,1)))</f>
        <v/>
      </c>
      <c r="N176" t="str">
        <f>IF(OR('Base Encuesta'!T150="",IFERROR(VALUE(LEFT('Base Encuesta'!K150,1)),"")&gt;=3),"",VALUE(LEFT('Base Encuesta'!T150,1)))</f>
        <v/>
      </c>
      <c r="O176" t="str">
        <f>IF(OR('Base Encuesta'!V150="",IFERROR(VALUE(LEFT('Base Encuesta'!K150,1)),"")&gt;=3),"",VALUE(LEFT('Base Encuesta'!V150,1)))</f>
        <v/>
      </c>
      <c r="P176" t="str">
        <f>IF(OR('Base Encuesta'!W150="",IFERROR(VALUE(LEFT('Base Encuesta'!K150,1)),"")&gt;=3),"",VALUE(LEFT('Base Encuesta'!W150,1)))</f>
        <v/>
      </c>
      <c r="Q176" t="str">
        <f>IF(OR('Base Encuesta'!X150="",IFERROR(VALUE(LEFT('Base Encuesta'!K150,1)),"")&gt;=3),"",VALUE(LEFT('Base Encuesta'!X150,1)))</f>
        <v/>
      </c>
      <c r="R176" t="str">
        <f>IF(OR('Base Encuesta'!Y150="",IFERROR(VALUE(LEFT('Base Encuesta'!K150,1)),"")&gt;=3),"",VALUE(LEFT('Base Encuesta'!Y150,1)))</f>
        <v/>
      </c>
      <c r="S176" t="str">
        <f>IF(OR('Base Encuesta'!Z150="",IFERROR(VALUE(LEFT('Base Encuesta'!K150,1)),"")&gt;=3),"",VALUE(LEFT('Base Encuesta'!Z150,1)))</f>
        <v/>
      </c>
      <c r="T176" t="str">
        <f>IF(OR('Base Encuesta'!AA150="",IFERROR(VALUE(LEFT('Base Encuesta'!K150,1)),"")&gt;=3),"",VALUE(LEFT('Base Encuesta'!AA150,1)))</f>
        <v/>
      </c>
      <c r="U176" t="str">
        <f>IF(OR('Base Encuesta'!AB150="",IFERROR(VALUE(LEFT('Base Encuesta'!K150,1)),"")&gt;=3),"",VALUE(LEFT('Base Encuesta'!AB150,1)))</f>
        <v/>
      </c>
      <c r="V176" t="str">
        <f>IF(OR('Base Encuesta'!AC150="",IFERROR(VALUE(LEFT('Base Encuesta'!K150,1)),"")&gt;=3),"",VALUE(LEFT('Base Encuesta'!AC150,1)))</f>
        <v/>
      </c>
      <c r="W176" t="str">
        <f>IF(OR('Base Encuesta'!AE150="",IFERROR(VALUE(LEFT('Base Encuesta'!K150,1)),"")&gt;=3),"",VALUE(LEFT('Base Encuesta'!AE150,1)))</f>
        <v/>
      </c>
      <c r="X176" t="str">
        <f>IF(OR('Base Encuesta'!AF150="",IFERROR(VALUE(LEFT('Base Encuesta'!K150,1)),"")&gt;=3),"",IF(W176=1,VALUE(LEFT('Base Encuesta'!AF150,1)),""))</f>
        <v/>
      </c>
      <c r="Y176" t="str">
        <f>IF(OR('Base Encuesta'!AG150="",IFERROR(VALUE(LEFT('Base Encuesta'!K150,1)),"")&gt;=3),"",IF(W176=1,VALUE(LEFT('Base Encuesta'!AG150,1)),""))</f>
        <v/>
      </c>
      <c r="Z176" t="str">
        <f>IF(OR('Base Encuesta'!AH150="",IFERROR(VALUE(LEFT('Base Encuesta'!K150,1)),"")&gt;=3),"",IF(W176=1,VALUE(LEFT('Base Encuesta'!AH150,1)),""))</f>
        <v/>
      </c>
      <c r="AA176" t="str">
        <f>IF(OR('Base Encuesta'!AI150="",IFERROR(VALUE(LEFT('Base Encuesta'!K150,1)),"")&gt;=3),"",IF(W176=1,VALUE(LEFT('Base Encuesta'!AI150,1)),""))</f>
        <v/>
      </c>
      <c r="AB176" t="str">
        <f>IF(OR('Base Encuesta'!AJ150="",IFERROR(VALUE(LEFT('Base Encuesta'!K150,1)),"")&gt;=3),"",IF(W176=1,VALUE(LEFT('Base Encuesta'!AJ150,1)),""))</f>
        <v/>
      </c>
      <c r="AC176" t="str">
        <f>IF(OR('Base Encuesta'!AL150="",IFERROR(VALUE(LEFT('Base Encuesta'!K150,1)),"")&gt;=3),"",VALUE(LEFT('Base Encuesta'!AL150,1)))</f>
        <v/>
      </c>
      <c r="AD176" t="str">
        <f>IF(OR('Base Encuesta'!AM150="",IFERROR(VALUE(LEFT('Base Encuesta'!K150,1)),"")&gt;=3),"",VALUE(LEFT('Base Encuesta'!AM150,1)))</f>
        <v/>
      </c>
      <c r="AE176" t="str">
        <f>IF(OR('Base Encuesta'!AN150="",IFERROR(VALUE(LEFT('Base Encuesta'!K150,1)),"")&gt;=3),"",VALUE(LEFT('Base Encuesta'!AN150,1)))</f>
        <v/>
      </c>
      <c r="AF176" t="str">
        <f>IF(OR('Base Encuesta'!AO150="",IFERROR(VALUE(LEFT('Base Encuesta'!K150,1)),"")&gt;=3),"",VALUE(LEFT('Base Encuesta'!AO150,1)))</f>
        <v/>
      </c>
      <c r="AG176" t="str">
        <f>IF(OR('Base Encuesta'!AQ150="",IFERROR(VALUE(LEFT('Base Encuesta'!K150,1)),"")&gt;=3),"",VALUE(LEFT('Base Encuesta'!AQ150,1)))</f>
        <v/>
      </c>
      <c r="AH176" t="str">
        <f>IF(OR('Base Encuesta'!AR150="",IFERROR(VALUE(LEFT('Base Encuesta'!K150,1)),"")&gt;=3),"",VALUE(LEFT('Base Encuesta'!AR150,1)))</f>
        <v/>
      </c>
    </row>
    <row r="177" spans="1:34">
      <c r="A177" t="str">
        <f>IF('Base Encuesta'!C151="","",'Base Encuesta'!C151)</f>
        <v/>
      </c>
      <c r="B177" t="str">
        <f>IF('Base Encuesta'!D151="","",'Base Encuesta'!D151)</f>
        <v/>
      </c>
      <c r="C177" t="str">
        <f>IF('Base Encuesta'!E151="","",'Base Encuesta'!E151)</f>
        <v/>
      </c>
      <c r="D177" t="str">
        <f>IF('Base Encuesta'!F151="","",'Base Encuesta'!F151)</f>
        <v/>
      </c>
      <c r="E177" t="str">
        <f>IF('Base Encuesta'!G151="","",'Base Encuesta'!G151)</f>
        <v/>
      </c>
      <c r="F177" t="str">
        <f>IF('Base Encuesta'!H151="","",'Base Encuesta'!H151)</f>
        <v/>
      </c>
      <c r="G177" t="str">
        <f>IF('Base Encuesta'!I151="","",'Base Encuesta'!I151)</f>
        <v/>
      </c>
      <c r="H177" t="str">
        <f>IF('Base Encuesta'!J151="","",'Base Encuesta'!J151)</f>
        <v/>
      </c>
      <c r="I177" t="str">
        <f>IF('Base Encuesta'!K151="","",'Base Encuesta'!K151)</f>
        <v/>
      </c>
      <c r="J177" t="str">
        <f>IF(OR('Base Encuesta'!P151="",IFERROR(VALUE(LEFT('Base Encuesta'!K151,1)),"")&gt;=3),"",PROPER(TRIM('Base Encuesta'!P151)))</f>
        <v/>
      </c>
      <c r="K177" t="str">
        <f>IF(OR('Base Encuesta'!Q151="",IFERROR(VALUE(LEFT('Base Encuesta'!K151,1)),"")&gt;=3),"",'Base Encuesta'!Q151)</f>
        <v/>
      </c>
      <c r="L177" t="str">
        <f>IF(OR('Base Encuesta'!R151="",IFERROR(VALUE(LEFT('Base Encuesta'!K151,1)),"")&gt;=3),"",VALUE(LEFT('Base Encuesta'!R151,1)))</f>
        <v/>
      </c>
      <c r="M177" t="str">
        <f>IF(OR('Base Encuesta'!S151="",IFERROR(VALUE(LEFT('Base Encuesta'!K151,1)),"")&gt;=3),"",VALUE(LEFT('Base Encuesta'!S151,1)))</f>
        <v/>
      </c>
      <c r="N177" t="str">
        <f>IF(OR('Base Encuesta'!T151="",IFERROR(VALUE(LEFT('Base Encuesta'!K151,1)),"")&gt;=3),"",VALUE(LEFT('Base Encuesta'!T151,1)))</f>
        <v/>
      </c>
      <c r="O177" t="str">
        <f>IF(OR('Base Encuesta'!V151="",IFERROR(VALUE(LEFT('Base Encuesta'!K151,1)),"")&gt;=3),"",VALUE(LEFT('Base Encuesta'!V151,1)))</f>
        <v/>
      </c>
      <c r="P177" t="str">
        <f>IF(OR('Base Encuesta'!W151="",IFERROR(VALUE(LEFT('Base Encuesta'!K151,1)),"")&gt;=3),"",VALUE(LEFT('Base Encuesta'!W151,1)))</f>
        <v/>
      </c>
      <c r="Q177" t="str">
        <f>IF(OR('Base Encuesta'!X151="",IFERROR(VALUE(LEFT('Base Encuesta'!K151,1)),"")&gt;=3),"",VALUE(LEFT('Base Encuesta'!X151,1)))</f>
        <v/>
      </c>
      <c r="R177" t="str">
        <f>IF(OR('Base Encuesta'!Y151="",IFERROR(VALUE(LEFT('Base Encuesta'!K151,1)),"")&gt;=3),"",VALUE(LEFT('Base Encuesta'!Y151,1)))</f>
        <v/>
      </c>
      <c r="S177" t="str">
        <f>IF(OR('Base Encuesta'!Z151="",IFERROR(VALUE(LEFT('Base Encuesta'!K151,1)),"")&gt;=3),"",VALUE(LEFT('Base Encuesta'!Z151,1)))</f>
        <v/>
      </c>
      <c r="T177" t="str">
        <f>IF(OR('Base Encuesta'!AA151="",IFERROR(VALUE(LEFT('Base Encuesta'!K151,1)),"")&gt;=3),"",VALUE(LEFT('Base Encuesta'!AA151,1)))</f>
        <v/>
      </c>
      <c r="U177" t="str">
        <f>IF(OR('Base Encuesta'!AB151="",IFERROR(VALUE(LEFT('Base Encuesta'!K151,1)),"")&gt;=3),"",VALUE(LEFT('Base Encuesta'!AB151,1)))</f>
        <v/>
      </c>
      <c r="V177" t="str">
        <f>IF(OR('Base Encuesta'!AC151="",IFERROR(VALUE(LEFT('Base Encuesta'!K151,1)),"")&gt;=3),"",VALUE(LEFT('Base Encuesta'!AC151,1)))</f>
        <v/>
      </c>
      <c r="W177" t="str">
        <f>IF(OR('Base Encuesta'!AE151="",IFERROR(VALUE(LEFT('Base Encuesta'!K151,1)),"")&gt;=3),"",VALUE(LEFT('Base Encuesta'!AE151,1)))</f>
        <v/>
      </c>
      <c r="X177" t="str">
        <f>IF(OR('Base Encuesta'!AF151="",IFERROR(VALUE(LEFT('Base Encuesta'!K151,1)),"")&gt;=3),"",IF(W177=1,VALUE(LEFT('Base Encuesta'!AF151,1)),""))</f>
        <v/>
      </c>
      <c r="Y177" t="str">
        <f>IF(OR('Base Encuesta'!AG151="",IFERROR(VALUE(LEFT('Base Encuesta'!K151,1)),"")&gt;=3),"",IF(W177=1,VALUE(LEFT('Base Encuesta'!AG151,1)),""))</f>
        <v/>
      </c>
      <c r="Z177" t="str">
        <f>IF(OR('Base Encuesta'!AH151="",IFERROR(VALUE(LEFT('Base Encuesta'!K151,1)),"")&gt;=3),"",IF(W177=1,VALUE(LEFT('Base Encuesta'!AH151,1)),""))</f>
        <v/>
      </c>
      <c r="AA177" t="str">
        <f>IF(OR('Base Encuesta'!AI151="",IFERROR(VALUE(LEFT('Base Encuesta'!K151,1)),"")&gt;=3),"",IF(W177=1,VALUE(LEFT('Base Encuesta'!AI151,1)),""))</f>
        <v/>
      </c>
      <c r="AB177" t="str">
        <f>IF(OR('Base Encuesta'!AJ151="",IFERROR(VALUE(LEFT('Base Encuesta'!K151,1)),"")&gt;=3),"",IF(W177=1,VALUE(LEFT('Base Encuesta'!AJ151,1)),""))</f>
        <v/>
      </c>
      <c r="AC177" t="str">
        <f>IF(OR('Base Encuesta'!AL151="",IFERROR(VALUE(LEFT('Base Encuesta'!K151,1)),"")&gt;=3),"",VALUE(LEFT('Base Encuesta'!AL151,1)))</f>
        <v/>
      </c>
      <c r="AD177" t="str">
        <f>IF(OR('Base Encuesta'!AM151="",IFERROR(VALUE(LEFT('Base Encuesta'!K151,1)),"")&gt;=3),"",VALUE(LEFT('Base Encuesta'!AM151,1)))</f>
        <v/>
      </c>
      <c r="AE177" t="str">
        <f>IF(OR('Base Encuesta'!AN151="",IFERROR(VALUE(LEFT('Base Encuesta'!K151,1)),"")&gt;=3),"",VALUE(LEFT('Base Encuesta'!AN151,1)))</f>
        <v/>
      </c>
      <c r="AF177" t="str">
        <f>IF(OR('Base Encuesta'!AO151="",IFERROR(VALUE(LEFT('Base Encuesta'!K151,1)),"")&gt;=3),"",VALUE(LEFT('Base Encuesta'!AO151,1)))</f>
        <v/>
      </c>
      <c r="AG177" t="str">
        <f>IF(OR('Base Encuesta'!AQ151="",IFERROR(VALUE(LEFT('Base Encuesta'!K151,1)),"")&gt;=3),"",VALUE(LEFT('Base Encuesta'!AQ151,1)))</f>
        <v/>
      </c>
      <c r="AH177" t="str">
        <f>IF(OR('Base Encuesta'!AR151="",IFERROR(VALUE(LEFT('Base Encuesta'!K151,1)),"")&gt;=3),"",VALUE(LEFT('Base Encuesta'!AR151,1)))</f>
        <v/>
      </c>
    </row>
    <row r="178" spans="1:34">
      <c r="A178" t="str">
        <f>IF('Base Encuesta'!C152="","",'Base Encuesta'!C152)</f>
        <v/>
      </c>
      <c r="B178" t="str">
        <f>IF('Base Encuesta'!D152="","",'Base Encuesta'!D152)</f>
        <v/>
      </c>
      <c r="C178" t="str">
        <f>IF('Base Encuesta'!E152="","",'Base Encuesta'!E152)</f>
        <v/>
      </c>
      <c r="D178" t="str">
        <f>IF('Base Encuesta'!F152="","",'Base Encuesta'!F152)</f>
        <v/>
      </c>
      <c r="E178" t="str">
        <f>IF('Base Encuesta'!G152="","",'Base Encuesta'!G152)</f>
        <v/>
      </c>
      <c r="F178" t="str">
        <f>IF('Base Encuesta'!H152="","",'Base Encuesta'!H152)</f>
        <v/>
      </c>
      <c r="G178" t="str">
        <f>IF('Base Encuesta'!I152="","",'Base Encuesta'!I152)</f>
        <v/>
      </c>
      <c r="H178" t="str">
        <f>IF('Base Encuesta'!J152="","",'Base Encuesta'!J152)</f>
        <v/>
      </c>
      <c r="I178" t="str">
        <f>IF('Base Encuesta'!K152="","",'Base Encuesta'!K152)</f>
        <v/>
      </c>
      <c r="J178" t="str">
        <f>IF(OR('Base Encuesta'!P152="",IFERROR(VALUE(LEFT('Base Encuesta'!K152,1)),"")&gt;=3),"",PROPER(TRIM('Base Encuesta'!P152)))</f>
        <v/>
      </c>
      <c r="K178" t="str">
        <f>IF(OR('Base Encuesta'!Q152="",IFERROR(VALUE(LEFT('Base Encuesta'!K152,1)),"")&gt;=3),"",'Base Encuesta'!Q152)</f>
        <v/>
      </c>
      <c r="L178" t="str">
        <f>IF(OR('Base Encuesta'!R152="",IFERROR(VALUE(LEFT('Base Encuesta'!K152,1)),"")&gt;=3),"",VALUE(LEFT('Base Encuesta'!R152,1)))</f>
        <v/>
      </c>
      <c r="M178" t="str">
        <f>IF(OR('Base Encuesta'!S152="",IFERROR(VALUE(LEFT('Base Encuesta'!K152,1)),"")&gt;=3),"",VALUE(LEFT('Base Encuesta'!S152,1)))</f>
        <v/>
      </c>
      <c r="N178" t="str">
        <f>IF(OR('Base Encuesta'!T152="",IFERROR(VALUE(LEFT('Base Encuesta'!K152,1)),"")&gt;=3),"",VALUE(LEFT('Base Encuesta'!T152,1)))</f>
        <v/>
      </c>
      <c r="O178" t="str">
        <f>IF(OR('Base Encuesta'!V152="",IFERROR(VALUE(LEFT('Base Encuesta'!K152,1)),"")&gt;=3),"",VALUE(LEFT('Base Encuesta'!V152,1)))</f>
        <v/>
      </c>
      <c r="P178" t="str">
        <f>IF(OR('Base Encuesta'!W152="",IFERROR(VALUE(LEFT('Base Encuesta'!K152,1)),"")&gt;=3),"",VALUE(LEFT('Base Encuesta'!W152,1)))</f>
        <v/>
      </c>
      <c r="Q178" t="str">
        <f>IF(OR('Base Encuesta'!X152="",IFERROR(VALUE(LEFT('Base Encuesta'!K152,1)),"")&gt;=3),"",VALUE(LEFT('Base Encuesta'!X152,1)))</f>
        <v/>
      </c>
      <c r="R178" t="str">
        <f>IF(OR('Base Encuesta'!Y152="",IFERROR(VALUE(LEFT('Base Encuesta'!K152,1)),"")&gt;=3),"",VALUE(LEFT('Base Encuesta'!Y152,1)))</f>
        <v/>
      </c>
      <c r="S178" t="str">
        <f>IF(OR('Base Encuesta'!Z152="",IFERROR(VALUE(LEFT('Base Encuesta'!K152,1)),"")&gt;=3),"",VALUE(LEFT('Base Encuesta'!Z152,1)))</f>
        <v/>
      </c>
      <c r="T178" t="str">
        <f>IF(OR('Base Encuesta'!AA152="",IFERROR(VALUE(LEFT('Base Encuesta'!K152,1)),"")&gt;=3),"",VALUE(LEFT('Base Encuesta'!AA152,1)))</f>
        <v/>
      </c>
      <c r="U178" t="str">
        <f>IF(OR('Base Encuesta'!AB152="",IFERROR(VALUE(LEFT('Base Encuesta'!K152,1)),"")&gt;=3),"",VALUE(LEFT('Base Encuesta'!AB152,1)))</f>
        <v/>
      </c>
      <c r="V178" t="str">
        <f>IF(OR('Base Encuesta'!AC152="",IFERROR(VALUE(LEFT('Base Encuesta'!K152,1)),"")&gt;=3),"",VALUE(LEFT('Base Encuesta'!AC152,1)))</f>
        <v/>
      </c>
      <c r="W178" t="str">
        <f>IF(OR('Base Encuesta'!AE152="",IFERROR(VALUE(LEFT('Base Encuesta'!K152,1)),"")&gt;=3),"",VALUE(LEFT('Base Encuesta'!AE152,1)))</f>
        <v/>
      </c>
      <c r="X178" t="str">
        <f>IF(OR('Base Encuesta'!AF152="",IFERROR(VALUE(LEFT('Base Encuesta'!K152,1)),"")&gt;=3),"",IF(W178=1,VALUE(LEFT('Base Encuesta'!AF152,1)),""))</f>
        <v/>
      </c>
      <c r="Y178" t="str">
        <f>IF(OR('Base Encuesta'!AG152="",IFERROR(VALUE(LEFT('Base Encuesta'!K152,1)),"")&gt;=3),"",IF(W178=1,VALUE(LEFT('Base Encuesta'!AG152,1)),""))</f>
        <v/>
      </c>
      <c r="Z178" t="str">
        <f>IF(OR('Base Encuesta'!AH152="",IFERROR(VALUE(LEFT('Base Encuesta'!K152,1)),"")&gt;=3),"",IF(W178=1,VALUE(LEFT('Base Encuesta'!AH152,1)),""))</f>
        <v/>
      </c>
      <c r="AA178" t="str">
        <f>IF(OR('Base Encuesta'!AI152="",IFERROR(VALUE(LEFT('Base Encuesta'!K152,1)),"")&gt;=3),"",IF(W178=1,VALUE(LEFT('Base Encuesta'!AI152,1)),""))</f>
        <v/>
      </c>
      <c r="AB178" t="str">
        <f>IF(OR('Base Encuesta'!AJ152="",IFERROR(VALUE(LEFT('Base Encuesta'!K152,1)),"")&gt;=3),"",IF(W178=1,VALUE(LEFT('Base Encuesta'!AJ152,1)),""))</f>
        <v/>
      </c>
      <c r="AC178" t="str">
        <f>IF(OR('Base Encuesta'!AL152="",IFERROR(VALUE(LEFT('Base Encuesta'!K152,1)),"")&gt;=3),"",VALUE(LEFT('Base Encuesta'!AL152,1)))</f>
        <v/>
      </c>
      <c r="AD178" t="str">
        <f>IF(OR('Base Encuesta'!AM152="",IFERROR(VALUE(LEFT('Base Encuesta'!K152,1)),"")&gt;=3),"",VALUE(LEFT('Base Encuesta'!AM152,1)))</f>
        <v/>
      </c>
      <c r="AE178" t="str">
        <f>IF(OR('Base Encuesta'!AN152="",IFERROR(VALUE(LEFT('Base Encuesta'!K152,1)),"")&gt;=3),"",VALUE(LEFT('Base Encuesta'!AN152,1)))</f>
        <v/>
      </c>
      <c r="AF178" t="str">
        <f>IF(OR('Base Encuesta'!AO152="",IFERROR(VALUE(LEFT('Base Encuesta'!K152,1)),"")&gt;=3),"",VALUE(LEFT('Base Encuesta'!AO152,1)))</f>
        <v/>
      </c>
      <c r="AG178" t="str">
        <f>IF(OR('Base Encuesta'!AQ152="",IFERROR(VALUE(LEFT('Base Encuesta'!K152,1)),"")&gt;=3),"",VALUE(LEFT('Base Encuesta'!AQ152,1)))</f>
        <v/>
      </c>
      <c r="AH178" t="str">
        <f>IF(OR('Base Encuesta'!AR152="",IFERROR(VALUE(LEFT('Base Encuesta'!K152,1)),"")&gt;=3),"",VALUE(LEFT('Base Encuesta'!AR152,1)))</f>
        <v/>
      </c>
    </row>
    <row r="179" spans="1:34">
      <c r="A179" t="str">
        <f>IF('Base Encuesta'!C153="","",'Base Encuesta'!C153)</f>
        <v/>
      </c>
      <c r="B179" t="str">
        <f>IF('Base Encuesta'!D153="","",'Base Encuesta'!D153)</f>
        <v/>
      </c>
      <c r="C179" t="str">
        <f>IF('Base Encuesta'!E153="","",'Base Encuesta'!E153)</f>
        <v/>
      </c>
      <c r="D179" t="str">
        <f>IF('Base Encuesta'!F153="","",'Base Encuesta'!F153)</f>
        <v/>
      </c>
      <c r="E179" t="str">
        <f>IF('Base Encuesta'!G153="","",'Base Encuesta'!G153)</f>
        <v/>
      </c>
      <c r="F179" t="str">
        <f>IF('Base Encuesta'!H153="","",'Base Encuesta'!H153)</f>
        <v/>
      </c>
      <c r="G179" t="str">
        <f>IF('Base Encuesta'!I153="","",'Base Encuesta'!I153)</f>
        <v/>
      </c>
      <c r="H179" t="str">
        <f>IF('Base Encuesta'!J153="","",'Base Encuesta'!J153)</f>
        <v/>
      </c>
      <c r="I179" t="str">
        <f>IF('Base Encuesta'!K153="","",'Base Encuesta'!K153)</f>
        <v/>
      </c>
      <c r="J179" t="str">
        <f>IF(OR('Base Encuesta'!P153="",IFERROR(VALUE(LEFT('Base Encuesta'!K153,1)),"")&gt;=3),"",PROPER(TRIM('Base Encuesta'!P153)))</f>
        <v/>
      </c>
      <c r="K179" t="str">
        <f>IF(OR('Base Encuesta'!Q153="",IFERROR(VALUE(LEFT('Base Encuesta'!K153,1)),"")&gt;=3),"",'Base Encuesta'!Q153)</f>
        <v/>
      </c>
      <c r="L179" t="str">
        <f>IF(OR('Base Encuesta'!R153="",IFERROR(VALUE(LEFT('Base Encuesta'!K153,1)),"")&gt;=3),"",VALUE(LEFT('Base Encuesta'!R153,1)))</f>
        <v/>
      </c>
      <c r="M179" t="str">
        <f>IF(OR('Base Encuesta'!S153="",IFERROR(VALUE(LEFT('Base Encuesta'!K153,1)),"")&gt;=3),"",VALUE(LEFT('Base Encuesta'!S153,1)))</f>
        <v/>
      </c>
      <c r="N179" t="str">
        <f>IF(OR('Base Encuesta'!T153="",IFERROR(VALUE(LEFT('Base Encuesta'!K153,1)),"")&gt;=3),"",VALUE(LEFT('Base Encuesta'!T153,1)))</f>
        <v/>
      </c>
      <c r="O179" t="str">
        <f>IF(OR('Base Encuesta'!V153="",IFERROR(VALUE(LEFT('Base Encuesta'!K153,1)),"")&gt;=3),"",VALUE(LEFT('Base Encuesta'!V153,1)))</f>
        <v/>
      </c>
      <c r="P179" t="str">
        <f>IF(OR('Base Encuesta'!W153="",IFERROR(VALUE(LEFT('Base Encuesta'!K153,1)),"")&gt;=3),"",VALUE(LEFT('Base Encuesta'!W153,1)))</f>
        <v/>
      </c>
      <c r="Q179" t="str">
        <f>IF(OR('Base Encuesta'!X153="",IFERROR(VALUE(LEFT('Base Encuesta'!K153,1)),"")&gt;=3),"",VALUE(LEFT('Base Encuesta'!X153,1)))</f>
        <v/>
      </c>
      <c r="R179" t="str">
        <f>IF(OR('Base Encuesta'!Y153="",IFERROR(VALUE(LEFT('Base Encuesta'!K153,1)),"")&gt;=3),"",VALUE(LEFT('Base Encuesta'!Y153,1)))</f>
        <v/>
      </c>
      <c r="S179" t="str">
        <f>IF(OR('Base Encuesta'!Z153="",IFERROR(VALUE(LEFT('Base Encuesta'!K153,1)),"")&gt;=3),"",VALUE(LEFT('Base Encuesta'!Z153,1)))</f>
        <v/>
      </c>
      <c r="T179" t="str">
        <f>IF(OR('Base Encuesta'!AA153="",IFERROR(VALUE(LEFT('Base Encuesta'!K153,1)),"")&gt;=3),"",VALUE(LEFT('Base Encuesta'!AA153,1)))</f>
        <v/>
      </c>
      <c r="U179" t="str">
        <f>IF(OR('Base Encuesta'!AB153="",IFERROR(VALUE(LEFT('Base Encuesta'!K153,1)),"")&gt;=3),"",VALUE(LEFT('Base Encuesta'!AB153,1)))</f>
        <v/>
      </c>
      <c r="V179" t="str">
        <f>IF(OR('Base Encuesta'!AC153="",IFERROR(VALUE(LEFT('Base Encuesta'!K153,1)),"")&gt;=3),"",VALUE(LEFT('Base Encuesta'!AC153,1)))</f>
        <v/>
      </c>
      <c r="W179" t="str">
        <f>IF(OR('Base Encuesta'!AE153="",IFERROR(VALUE(LEFT('Base Encuesta'!K153,1)),"")&gt;=3),"",VALUE(LEFT('Base Encuesta'!AE153,1)))</f>
        <v/>
      </c>
      <c r="X179" t="str">
        <f>IF(OR('Base Encuesta'!AF153="",IFERROR(VALUE(LEFT('Base Encuesta'!K153,1)),"")&gt;=3),"",IF(W179=1,VALUE(LEFT('Base Encuesta'!AF153,1)),""))</f>
        <v/>
      </c>
      <c r="Y179" t="str">
        <f>IF(OR('Base Encuesta'!AG153="",IFERROR(VALUE(LEFT('Base Encuesta'!K153,1)),"")&gt;=3),"",IF(W179=1,VALUE(LEFT('Base Encuesta'!AG153,1)),""))</f>
        <v/>
      </c>
      <c r="Z179" t="str">
        <f>IF(OR('Base Encuesta'!AH153="",IFERROR(VALUE(LEFT('Base Encuesta'!K153,1)),"")&gt;=3),"",IF(W179=1,VALUE(LEFT('Base Encuesta'!AH153,1)),""))</f>
        <v/>
      </c>
      <c r="AA179" t="str">
        <f>IF(OR('Base Encuesta'!AI153="",IFERROR(VALUE(LEFT('Base Encuesta'!K153,1)),"")&gt;=3),"",IF(W179=1,VALUE(LEFT('Base Encuesta'!AI153,1)),""))</f>
        <v/>
      </c>
      <c r="AB179" t="str">
        <f>IF(OR('Base Encuesta'!AJ153="",IFERROR(VALUE(LEFT('Base Encuesta'!K153,1)),"")&gt;=3),"",IF(W179=1,VALUE(LEFT('Base Encuesta'!AJ153,1)),""))</f>
        <v/>
      </c>
      <c r="AC179" t="str">
        <f>IF(OR('Base Encuesta'!AL153="",IFERROR(VALUE(LEFT('Base Encuesta'!K153,1)),"")&gt;=3),"",VALUE(LEFT('Base Encuesta'!AL153,1)))</f>
        <v/>
      </c>
      <c r="AD179" t="str">
        <f>IF(OR('Base Encuesta'!AM153="",IFERROR(VALUE(LEFT('Base Encuesta'!K153,1)),"")&gt;=3),"",VALUE(LEFT('Base Encuesta'!AM153,1)))</f>
        <v/>
      </c>
      <c r="AE179" t="str">
        <f>IF(OR('Base Encuesta'!AN153="",IFERROR(VALUE(LEFT('Base Encuesta'!K153,1)),"")&gt;=3),"",VALUE(LEFT('Base Encuesta'!AN153,1)))</f>
        <v/>
      </c>
      <c r="AF179" t="str">
        <f>IF(OR('Base Encuesta'!AO153="",IFERROR(VALUE(LEFT('Base Encuesta'!K153,1)),"")&gt;=3),"",VALUE(LEFT('Base Encuesta'!AO153,1)))</f>
        <v/>
      </c>
      <c r="AG179" t="str">
        <f>IF(OR('Base Encuesta'!AQ153="",IFERROR(VALUE(LEFT('Base Encuesta'!K153,1)),"")&gt;=3),"",VALUE(LEFT('Base Encuesta'!AQ153,1)))</f>
        <v/>
      </c>
      <c r="AH179" t="str">
        <f>IF(OR('Base Encuesta'!AR153="",IFERROR(VALUE(LEFT('Base Encuesta'!K153,1)),"")&gt;=3),"",VALUE(LEFT('Base Encuesta'!AR153,1)))</f>
        <v/>
      </c>
    </row>
    <row r="180" spans="1:34">
      <c r="A180" t="str">
        <f>IF('Base Encuesta'!C154="","",'Base Encuesta'!C154)</f>
        <v/>
      </c>
      <c r="B180" t="str">
        <f>IF('Base Encuesta'!D154="","",'Base Encuesta'!D154)</f>
        <v/>
      </c>
      <c r="C180" t="str">
        <f>IF('Base Encuesta'!E154="","",'Base Encuesta'!E154)</f>
        <v/>
      </c>
      <c r="D180" t="str">
        <f>IF('Base Encuesta'!F154="","",'Base Encuesta'!F154)</f>
        <v/>
      </c>
      <c r="E180" t="str">
        <f>IF('Base Encuesta'!G154="","",'Base Encuesta'!G154)</f>
        <v/>
      </c>
      <c r="F180" t="str">
        <f>IF('Base Encuesta'!H154="","",'Base Encuesta'!H154)</f>
        <v/>
      </c>
      <c r="G180" t="str">
        <f>IF('Base Encuesta'!I154="","",'Base Encuesta'!I154)</f>
        <v/>
      </c>
      <c r="H180" t="str">
        <f>IF('Base Encuesta'!J154="","",'Base Encuesta'!J154)</f>
        <v/>
      </c>
      <c r="I180" t="str">
        <f>IF('Base Encuesta'!K154="","",'Base Encuesta'!K154)</f>
        <v/>
      </c>
      <c r="J180" t="str">
        <f>IF(OR('Base Encuesta'!P154="",IFERROR(VALUE(LEFT('Base Encuesta'!K154,1)),"")&gt;=3),"",PROPER(TRIM('Base Encuesta'!P154)))</f>
        <v/>
      </c>
      <c r="K180" t="str">
        <f>IF(OR('Base Encuesta'!Q154="",IFERROR(VALUE(LEFT('Base Encuesta'!K154,1)),"")&gt;=3),"",'Base Encuesta'!Q154)</f>
        <v/>
      </c>
      <c r="L180" t="str">
        <f>IF(OR('Base Encuesta'!R154="",IFERROR(VALUE(LEFT('Base Encuesta'!K154,1)),"")&gt;=3),"",VALUE(LEFT('Base Encuesta'!R154,1)))</f>
        <v/>
      </c>
      <c r="M180" t="str">
        <f>IF(OR('Base Encuesta'!S154="",IFERROR(VALUE(LEFT('Base Encuesta'!K154,1)),"")&gt;=3),"",VALUE(LEFT('Base Encuesta'!S154,1)))</f>
        <v/>
      </c>
      <c r="N180" t="str">
        <f>IF(OR('Base Encuesta'!T154="",IFERROR(VALUE(LEFT('Base Encuesta'!K154,1)),"")&gt;=3),"",VALUE(LEFT('Base Encuesta'!T154,1)))</f>
        <v/>
      </c>
      <c r="O180" t="str">
        <f>IF(OR('Base Encuesta'!V154="",IFERROR(VALUE(LEFT('Base Encuesta'!K154,1)),"")&gt;=3),"",VALUE(LEFT('Base Encuesta'!V154,1)))</f>
        <v/>
      </c>
      <c r="P180" t="str">
        <f>IF(OR('Base Encuesta'!W154="",IFERROR(VALUE(LEFT('Base Encuesta'!K154,1)),"")&gt;=3),"",VALUE(LEFT('Base Encuesta'!W154,1)))</f>
        <v/>
      </c>
      <c r="Q180" t="str">
        <f>IF(OR('Base Encuesta'!X154="",IFERROR(VALUE(LEFT('Base Encuesta'!K154,1)),"")&gt;=3),"",VALUE(LEFT('Base Encuesta'!X154,1)))</f>
        <v/>
      </c>
      <c r="R180" t="str">
        <f>IF(OR('Base Encuesta'!Y154="",IFERROR(VALUE(LEFT('Base Encuesta'!K154,1)),"")&gt;=3),"",VALUE(LEFT('Base Encuesta'!Y154,1)))</f>
        <v/>
      </c>
      <c r="S180" t="str">
        <f>IF(OR('Base Encuesta'!Z154="",IFERROR(VALUE(LEFT('Base Encuesta'!K154,1)),"")&gt;=3),"",VALUE(LEFT('Base Encuesta'!Z154,1)))</f>
        <v/>
      </c>
      <c r="T180" t="str">
        <f>IF(OR('Base Encuesta'!AA154="",IFERROR(VALUE(LEFT('Base Encuesta'!K154,1)),"")&gt;=3),"",VALUE(LEFT('Base Encuesta'!AA154,1)))</f>
        <v/>
      </c>
      <c r="U180" t="str">
        <f>IF(OR('Base Encuesta'!AB154="",IFERROR(VALUE(LEFT('Base Encuesta'!K154,1)),"")&gt;=3),"",VALUE(LEFT('Base Encuesta'!AB154,1)))</f>
        <v/>
      </c>
      <c r="V180" t="str">
        <f>IF(OR('Base Encuesta'!AC154="",IFERROR(VALUE(LEFT('Base Encuesta'!K154,1)),"")&gt;=3),"",VALUE(LEFT('Base Encuesta'!AC154,1)))</f>
        <v/>
      </c>
      <c r="W180" t="str">
        <f>IF(OR('Base Encuesta'!AE154="",IFERROR(VALUE(LEFT('Base Encuesta'!K154,1)),"")&gt;=3),"",VALUE(LEFT('Base Encuesta'!AE154,1)))</f>
        <v/>
      </c>
      <c r="X180" t="str">
        <f>IF(OR('Base Encuesta'!AF154="",IFERROR(VALUE(LEFT('Base Encuesta'!K154,1)),"")&gt;=3),"",IF(W180=1,VALUE(LEFT('Base Encuesta'!AF154,1)),""))</f>
        <v/>
      </c>
      <c r="Y180" t="str">
        <f>IF(OR('Base Encuesta'!AG154="",IFERROR(VALUE(LEFT('Base Encuesta'!K154,1)),"")&gt;=3),"",IF(W180=1,VALUE(LEFT('Base Encuesta'!AG154,1)),""))</f>
        <v/>
      </c>
      <c r="Z180" t="str">
        <f>IF(OR('Base Encuesta'!AH154="",IFERROR(VALUE(LEFT('Base Encuesta'!K154,1)),"")&gt;=3),"",IF(W180=1,VALUE(LEFT('Base Encuesta'!AH154,1)),""))</f>
        <v/>
      </c>
      <c r="AA180" t="str">
        <f>IF(OR('Base Encuesta'!AI154="",IFERROR(VALUE(LEFT('Base Encuesta'!K154,1)),"")&gt;=3),"",IF(W180=1,VALUE(LEFT('Base Encuesta'!AI154,1)),""))</f>
        <v/>
      </c>
      <c r="AB180" t="str">
        <f>IF(OR('Base Encuesta'!AJ154="",IFERROR(VALUE(LEFT('Base Encuesta'!K154,1)),"")&gt;=3),"",IF(W180=1,VALUE(LEFT('Base Encuesta'!AJ154,1)),""))</f>
        <v/>
      </c>
      <c r="AC180" t="str">
        <f>IF(OR('Base Encuesta'!AL154="",IFERROR(VALUE(LEFT('Base Encuesta'!K154,1)),"")&gt;=3),"",VALUE(LEFT('Base Encuesta'!AL154,1)))</f>
        <v/>
      </c>
      <c r="AD180" t="str">
        <f>IF(OR('Base Encuesta'!AM154="",IFERROR(VALUE(LEFT('Base Encuesta'!K154,1)),"")&gt;=3),"",VALUE(LEFT('Base Encuesta'!AM154,1)))</f>
        <v/>
      </c>
      <c r="AE180" t="str">
        <f>IF(OR('Base Encuesta'!AN154="",IFERROR(VALUE(LEFT('Base Encuesta'!K154,1)),"")&gt;=3),"",VALUE(LEFT('Base Encuesta'!AN154,1)))</f>
        <v/>
      </c>
      <c r="AF180" t="str">
        <f>IF(OR('Base Encuesta'!AO154="",IFERROR(VALUE(LEFT('Base Encuesta'!K154,1)),"")&gt;=3),"",VALUE(LEFT('Base Encuesta'!AO154,1)))</f>
        <v/>
      </c>
      <c r="AG180" t="str">
        <f>IF(OR('Base Encuesta'!AQ154="",IFERROR(VALUE(LEFT('Base Encuesta'!K154,1)),"")&gt;=3),"",VALUE(LEFT('Base Encuesta'!AQ154,1)))</f>
        <v/>
      </c>
      <c r="AH180" t="str">
        <f>IF(OR('Base Encuesta'!AR154="",IFERROR(VALUE(LEFT('Base Encuesta'!K154,1)),"")&gt;=3),"",VALUE(LEFT('Base Encuesta'!AR154,1)))</f>
        <v/>
      </c>
    </row>
    <row r="181" spans="1:34">
      <c r="A181" t="str">
        <f>IF('Base Encuesta'!C155="","",'Base Encuesta'!C155)</f>
        <v/>
      </c>
      <c r="B181" t="str">
        <f>IF('Base Encuesta'!D155="","",'Base Encuesta'!D155)</f>
        <v/>
      </c>
      <c r="C181" t="str">
        <f>IF('Base Encuesta'!E155="","",'Base Encuesta'!E155)</f>
        <v/>
      </c>
      <c r="D181" t="str">
        <f>IF('Base Encuesta'!F155="","",'Base Encuesta'!F155)</f>
        <v/>
      </c>
      <c r="E181" t="str">
        <f>IF('Base Encuesta'!G155="","",'Base Encuesta'!G155)</f>
        <v/>
      </c>
      <c r="F181" t="str">
        <f>IF('Base Encuesta'!H155="","",'Base Encuesta'!H155)</f>
        <v/>
      </c>
      <c r="G181" t="str">
        <f>IF('Base Encuesta'!I155="","",'Base Encuesta'!I155)</f>
        <v/>
      </c>
      <c r="H181" t="str">
        <f>IF('Base Encuesta'!J155="","",'Base Encuesta'!J155)</f>
        <v/>
      </c>
      <c r="I181" t="str">
        <f>IF('Base Encuesta'!K155="","",'Base Encuesta'!K155)</f>
        <v/>
      </c>
      <c r="J181" t="str">
        <f>IF(OR('Base Encuesta'!P155="",IFERROR(VALUE(LEFT('Base Encuesta'!K155,1)),"")&gt;=3),"",PROPER(TRIM('Base Encuesta'!P155)))</f>
        <v/>
      </c>
      <c r="K181" t="str">
        <f>IF(OR('Base Encuesta'!Q155="",IFERROR(VALUE(LEFT('Base Encuesta'!K155,1)),"")&gt;=3),"",'Base Encuesta'!Q155)</f>
        <v/>
      </c>
      <c r="L181" t="str">
        <f>IF(OR('Base Encuesta'!R155="",IFERROR(VALUE(LEFT('Base Encuesta'!K155,1)),"")&gt;=3),"",VALUE(LEFT('Base Encuesta'!R155,1)))</f>
        <v/>
      </c>
      <c r="M181" t="str">
        <f>IF(OR('Base Encuesta'!S155="",IFERROR(VALUE(LEFT('Base Encuesta'!K155,1)),"")&gt;=3),"",VALUE(LEFT('Base Encuesta'!S155,1)))</f>
        <v/>
      </c>
      <c r="N181" t="str">
        <f>IF(OR('Base Encuesta'!T155="",IFERROR(VALUE(LEFT('Base Encuesta'!K155,1)),"")&gt;=3),"",VALUE(LEFT('Base Encuesta'!T155,1)))</f>
        <v/>
      </c>
      <c r="O181" t="str">
        <f>IF(OR('Base Encuesta'!V155="",IFERROR(VALUE(LEFT('Base Encuesta'!K155,1)),"")&gt;=3),"",VALUE(LEFT('Base Encuesta'!V155,1)))</f>
        <v/>
      </c>
      <c r="P181" t="str">
        <f>IF(OR('Base Encuesta'!W155="",IFERROR(VALUE(LEFT('Base Encuesta'!K155,1)),"")&gt;=3),"",VALUE(LEFT('Base Encuesta'!W155,1)))</f>
        <v/>
      </c>
      <c r="Q181" t="str">
        <f>IF(OR('Base Encuesta'!X155="",IFERROR(VALUE(LEFT('Base Encuesta'!K155,1)),"")&gt;=3),"",VALUE(LEFT('Base Encuesta'!X155,1)))</f>
        <v/>
      </c>
      <c r="R181" t="str">
        <f>IF(OR('Base Encuesta'!Y155="",IFERROR(VALUE(LEFT('Base Encuesta'!K155,1)),"")&gt;=3),"",VALUE(LEFT('Base Encuesta'!Y155,1)))</f>
        <v/>
      </c>
      <c r="S181" t="str">
        <f>IF(OR('Base Encuesta'!Z155="",IFERROR(VALUE(LEFT('Base Encuesta'!K155,1)),"")&gt;=3),"",VALUE(LEFT('Base Encuesta'!Z155,1)))</f>
        <v/>
      </c>
      <c r="T181" t="str">
        <f>IF(OR('Base Encuesta'!AA155="",IFERROR(VALUE(LEFT('Base Encuesta'!K155,1)),"")&gt;=3),"",VALUE(LEFT('Base Encuesta'!AA155,1)))</f>
        <v/>
      </c>
      <c r="U181" t="str">
        <f>IF(OR('Base Encuesta'!AB155="",IFERROR(VALUE(LEFT('Base Encuesta'!K155,1)),"")&gt;=3),"",VALUE(LEFT('Base Encuesta'!AB155,1)))</f>
        <v/>
      </c>
      <c r="V181" t="str">
        <f>IF(OR('Base Encuesta'!AC155="",IFERROR(VALUE(LEFT('Base Encuesta'!K155,1)),"")&gt;=3),"",VALUE(LEFT('Base Encuesta'!AC155,1)))</f>
        <v/>
      </c>
      <c r="W181" t="str">
        <f>IF(OR('Base Encuesta'!AE155="",IFERROR(VALUE(LEFT('Base Encuesta'!K155,1)),"")&gt;=3),"",VALUE(LEFT('Base Encuesta'!AE155,1)))</f>
        <v/>
      </c>
      <c r="X181" t="str">
        <f>IF(OR('Base Encuesta'!AF155="",IFERROR(VALUE(LEFT('Base Encuesta'!K155,1)),"")&gt;=3),"",IF(W181=1,VALUE(LEFT('Base Encuesta'!AF155,1)),""))</f>
        <v/>
      </c>
      <c r="Y181" t="str">
        <f>IF(OR('Base Encuesta'!AG155="",IFERROR(VALUE(LEFT('Base Encuesta'!K155,1)),"")&gt;=3),"",IF(W181=1,VALUE(LEFT('Base Encuesta'!AG155,1)),""))</f>
        <v/>
      </c>
      <c r="Z181" t="str">
        <f>IF(OR('Base Encuesta'!AH155="",IFERROR(VALUE(LEFT('Base Encuesta'!K155,1)),"")&gt;=3),"",IF(W181=1,VALUE(LEFT('Base Encuesta'!AH155,1)),""))</f>
        <v/>
      </c>
      <c r="AA181" t="str">
        <f>IF(OR('Base Encuesta'!AI155="",IFERROR(VALUE(LEFT('Base Encuesta'!K155,1)),"")&gt;=3),"",IF(W181=1,VALUE(LEFT('Base Encuesta'!AI155,1)),""))</f>
        <v/>
      </c>
      <c r="AB181" t="str">
        <f>IF(OR('Base Encuesta'!AJ155="",IFERROR(VALUE(LEFT('Base Encuesta'!K155,1)),"")&gt;=3),"",IF(W181=1,VALUE(LEFT('Base Encuesta'!AJ155,1)),""))</f>
        <v/>
      </c>
      <c r="AC181" t="str">
        <f>IF(OR('Base Encuesta'!AL155="",IFERROR(VALUE(LEFT('Base Encuesta'!K155,1)),"")&gt;=3),"",VALUE(LEFT('Base Encuesta'!AL155,1)))</f>
        <v/>
      </c>
      <c r="AD181" t="str">
        <f>IF(OR('Base Encuesta'!AM155="",IFERROR(VALUE(LEFT('Base Encuesta'!K155,1)),"")&gt;=3),"",VALUE(LEFT('Base Encuesta'!AM155,1)))</f>
        <v/>
      </c>
      <c r="AE181" t="str">
        <f>IF(OR('Base Encuesta'!AN155="",IFERROR(VALUE(LEFT('Base Encuesta'!K155,1)),"")&gt;=3),"",VALUE(LEFT('Base Encuesta'!AN155,1)))</f>
        <v/>
      </c>
      <c r="AF181" t="str">
        <f>IF(OR('Base Encuesta'!AO155="",IFERROR(VALUE(LEFT('Base Encuesta'!K155,1)),"")&gt;=3),"",VALUE(LEFT('Base Encuesta'!AO155,1)))</f>
        <v/>
      </c>
      <c r="AG181" t="str">
        <f>IF(OR('Base Encuesta'!AQ155="",IFERROR(VALUE(LEFT('Base Encuesta'!K155,1)),"")&gt;=3),"",VALUE(LEFT('Base Encuesta'!AQ155,1)))</f>
        <v/>
      </c>
      <c r="AH181" t="str">
        <f>IF(OR('Base Encuesta'!AR155="",IFERROR(VALUE(LEFT('Base Encuesta'!K155,1)),"")&gt;=3),"",VALUE(LEFT('Base Encuesta'!AR155,1)))</f>
        <v/>
      </c>
    </row>
    <row r="182" spans="1:34">
      <c r="A182" t="str">
        <f>IF('Base Encuesta'!C156="","",'Base Encuesta'!C156)</f>
        <v/>
      </c>
      <c r="B182" t="str">
        <f>IF('Base Encuesta'!D156="","",'Base Encuesta'!D156)</f>
        <v/>
      </c>
      <c r="C182" t="str">
        <f>IF('Base Encuesta'!E156="","",'Base Encuesta'!E156)</f>
        <v/>
      </c>
      <c r="D182" t="str">
        <f>IF('Base Encuesta'!F156="","",'Base Encuesta'!F156)</f>
        <v/>
      </c>
      <c r="E182" t="str">
        <f>IF('Base Encuesta'!G156="","",'Base Encuesta'!G156)</f>
        <v/>
      </c>
      <c r="F182" t="str">
        <f>IF('Base Encuesta'!H156="","",'Base Encuesta'!H156)</f>
        <v/>
      </c>
      <c r="G182" t="str">
        <f>IF('Base Encuesta'!I156="","",'Base Encuesta'!I156)</f>
        <v/>
      </c>
      <c r="H182" t="str">
        <f>IF('Base Encuesta'!J156="","",'Base Encuesta'!J156)</f>
        <v/>
      </c>
      <c r="I182" t="str">
        <f>IF('Base Encuesta'!K156="","",'Base Encuesta'!K156)</f>
        <v/>
      </c>
      <c r="J182" t="str">
        <f>IF(OR('Base Encuesta'!P156="",IFERROR(VALUE(LEFT('Base Encuesta'!K156,1)),"")&gt;=3),"",PROPER(TRIM('Base Encuesta'!P156)))</f>
        <v/>
      </c>
      <c r="K182" t="str">
        <f>IF(OR('Base Encuesta'!Q156="",IFERROR(VALUE(LEFT('Base Encuesta'!K156,1)),"")&gt;=3),"",'Base Encuesta'!Q156)</f>
        <v/>
      </c>
      <c r="L182" t="str">
        <f>IF(OR('Base Encuesta'!R156="",IFERROR(VALUE(LEFT('Base Encuesta'!K156,1)),"")&gt;=3),"",VALUE(LEFT('Base Encuesta'!R156,1)))</f>
        <v/>
      </c>
      <c r="M182" t="str">
        <f>IF(OR('Base Encuesta'!S156="",IFERROR(VALUE(LEFT('Base Encuesta'!K156,1)),"")&gt;=3),"",VALUE(LEFT('Base Encuesta'!S156,1)))</f>
        <v/>
      </c>
      <c r="N182" t="str">
        <f>IF(OR('Base Encuesta'!T156="",IFERROR(VALUE(LEFT('Base Encuesta'!K156,1)),"")&gt;=3),"",VALUE(LEFT('Base Encuesta'!T156,1)))</f>
        <v/>
      </c>
      <c r="O182" t="str">
        <f>IF(OR('Base Encuesta'!V156="",IFERROR(VALUE(LEFT('Base Encuesta'!K156,1)),"")&gt;=3),"",VALUE(LEFT('Base Encuesta'!V156,1)))</f>
        <v/>
      </c>
      <c r="P182" t="str">
        <f>IF(OR('Base Encuesta'!W156="",IFERROR(VALUE(LEFT('Base Encuesta'!K156,1)),"")&gt;=3),"",VALUE(LEFT('Base Encuesta'!W156,1)))</f>
        <v/>
      </c>
      <c r="Q182" t="str">
        <f>IF(OR('Base Encuesta'!X156="",IFERROR(VALUE(LEFT('Base Encuesta'!K156,1)),"")&gt;=3),"",VALUE(LEFT('Base Encuesta'!X156,1)))</f>
        <v/>
      </c>
      <c r="R182" t="str">
        <f>IF(OR('Base Encuesta'!Y156="",IFERROR(VALUE(LEFT('Base Encuesta'!K156,1)),"")&gt;=3),"",VALUE(LEFT('Base Encuesta'!Y156,1)))</f>
        <v/>
      </c>
      <c r="S182" t="str">
        <f>IF(OR('Base Encuesta'!Z156="",IFERROR(VALUE(LEFT('Base Encuesta'!K156,1)),"")&gt;=3),"",VALUE(LEFT('Base Encuesta'!Z156,1)))</f>
        <v/>
      </c>
      <c r="T182" t="str">
        <f>IF(OR('Base Encuesta'!AA156="",IFERROR(VALUE(LEFT('Base Encuesta'!K156,1)),"")&gt;=3),"",VALUE(LEFT('Base Encuesta'!AA156,1)))</f>
        <v/>
      </c>
      <c r="U182" t="str">
        <f>IF(OR('Base Encuesta'!AB156="",IFERROR(VALUE(LEFT('Base Encuesta'!K156,1)),"")&gt;=3),"",VALUE(LEFT('Base Encuesta'!AB156,1)))</f>
        <v/>
      </c>
      <c r="V182" t="str">
        <f>IF(OR('Base Encuesta'!AC156="",IFERROR(VALUE(LEFT('Base Encuesta'!K156,1)),"")&gt;=3),"",VALUE(LEFT('Base Encuesta'!AC156,1)))</f>
        <v/>
      </c>
      <c r="W182" t="str">
        <f>IF(OR('Base Encuesta'!AE156="",IFERROR(VALUE(LEFT('Base Encuesta'!K156,1)),"")&gt;=3),"",VALUE(LEFT('Base Encuesta'!AE156,1)))</f>
        <v/>
      </c>
      <c r="X182" t="str">
        <f>IF(OR('Base Encuesta'!AF156="",IFERROR(VALUE(LEFT('Base Encuesta'!K156,1)),"")&gt;=3),"",IF(W182=1,VALUE(LEFT('Base Encuesta'!AF156,1)),""))</f>
        <v/>
      </c>
      <c r="Y182" t="str">
        <f>IF(OR('Base Encuesta'!AG156="",IFERROR(VALUE(LEFT('Base Encuesta'!K156,1)),"")&gt;=3),"",IF(W182=1,VALUE(LEFT('Base Encuesta'!AG156,1)),""))</f>
        <v/>
      </c>
      <c r="Z182" t="str">
        <f>IF(OR('Base Encuesta'!AH156="",IFERROR(VALUE(LEFT('Base Encuesta'!K156,1)),"")&gt;=3),"",IF(W182=1,VALUE(LEFT('Base Encuesta'!AH156,1)),""))</f>
        <v/>
      </c>
      <c r="AA182" t="str">
        <f>IF(OR('Base Encuesta'!AI156="",IFERROR(VALUE(LEFT('Base Encuesta'!K156,1)),"")&gt;=3),"",IF(W182=1,VALUE(LEFT('Base Encuesta'!AI156,1)),""))</f>
        <v/>
      </c>
      <c r="AB182" t="str">
        <f>IF(OR('Base Encuesta'!AJ156="",IFERROR(VALUE(LEFT('Base Encuesta'!K156,1)),"")&gt;=3),"",IF(W182=1,VALUE(LEFT('Base Encuesta'!AJ156,1)),""))</f>
        <v/>
      </c>
      <c r="AC182" t="str">
        <f>IF(OR('Base Encuesta'!AL156="",IFERROR(VALUE(LEFT('Base Encuesta'!K156,1)),"")&gt;=3),"",VALUE(LEFT('Base Encuesta'!AL156,1)))</f>
        <v/>
      </c>
      <c r="AD182" t="str">
        <f>IF(OR('Base Encuesta'!AM156="",IFERROR(VALUE(LEFT('Base Encuesta'!K156,1)),"")&gt;=3),"",VALUE(LEFT('Base Encuesta'!AM156,1)))</f>
        <v/>
      </c>
      <c r="AE182" t="str">
        <f>IF(OR('Base Encuesta'!AN156="",IFERROR(VALUE(LEFT('Base Encuesta'!K156,1)),"")&gt;=3),"",VALUE(LEFT('Base Encuesta'!AN156,1)))</f>
        <v/>
      </c>
      <c r="AF182" t="str">
        <f>IF(OR('Base Encuesta'!AO156="",IFERROR(VALUE(LEFT('Base Encuesta'!K156,1)),"")&gt;=3),"",VALUE(LEFT('Base Encuesta'!AO156,1)))</f>
        <v/>
      </c>
      <c r="AG182" t="str">
        <f>IF(OR('Base Encuesta'!AQ156="",IFERROR(VALUE(LEFT('Base Encuesta'!K156,1)),"")&gt;=3),"",VALUE(LEFT('Base Encuesta'!AQ156,1)))</f>
        <v/>
      </c>
      <c r="AH182" t="str">
        <f>IF(OR('Base Encuesta'!AR156="",IFERROR(VALUE(LEFT('Base Encuesta'!K156,1)),"")&gt;=3),"",VALUE(LEFT('Base Encuesta'!AR156,1)))</f>
        <v/>
      </c>
    </row>
    <row r="183" spans="1:34">
      <c r="A183" t="str">
        <f>IF('Base Encuesta'!C157="","",'Base Encuesta'!C157)</f>
        <v/>
      </c>
      <c r="B183" t="str">
        <f>IF('Base Encuesta'!D157="","",'Base Encuesta'!D157)</f>
        <v/>
      </c>
      <c r="C183" t="str">
        <f>IF('Base Encuesta'!E157="","",'Base Encuesta'!E157)</f>
        <v/>
      </c>
      <c r="D183" t="str">
        <f>IF('Base Encuesta'!F157="","",'Base Encuesta'!F157)</f>
        <v/>
      </c>
      <c r="E183" t="str">
        <f>IF('Base Encuesta'!G157="","",'Base Encuesta'!G157)</f>
        <v/>
      </c>
      <c r="F183" t="str">
        <f>IF('Base Encuesta'!H157="","",'Base Encuesta'!H157)</f>
        <v/>
      </c>
      <c r="G183" t="str">
        <f>IF('Base Encuesta'!I157="","",'Base Encuesta'!I157)</f>
        <v/>
      </c>
      <c r="H183" t="str">
        <f>IF('Base Encuesta'!J157="","",'Base Encuesta'!J157)</f>
        <v/>
      </c>
      <c r="I183" t="str">
        <f>IF('Base Encuesta'!K157="","",'Base Encuesta'!K157)</f>
        <v/>
      </c>
      <c r="J183" t="str">
        <f>IF(OR('Base Encuesta'!P157="",IFERROR(VALUE(LEFT('Base Encuesta'!K157,1)),"")&gt;=3),"",PROPER(TRIM('Base Encuesta'!P157)))</f>
        <v/>
      </c>
      <c r="K183" t="str">
        <f>IF(OR('Base Encuesta'!Q157="",IFERROR(VALUE(LEFT('Base Encuesta'!K157,1)),"")&gt;=3),"",'Base Encuesta'!Q157)</f>
        <v/>
      </c>
      <c r="L183" t="str">
        <f>IF(OR('Base Encuesta'!R157="",IFERROR(VALUE(LEFT('Base Encuesta'!K157,1)),"")&gt;=3),"",VALUE(LEFT('Base Encuesta'!R157,1)))</f>
        <v/>
      </c>
      <c r="M183" t="str">
        <f>IF(OR('Base Encuesta'!S157="",IFERROR(VALUE(LEFT('Base Encuesta'!K157,1)),"")&gt;=3),"",VALUE(LEFT('Base Encuesta'!S157,1)))</f>
        <v/>
      </c>
      <c r="N183" t="str">
        <f>IF(OR('Base Encuesta'!T157="",IFERROR(VALUE(LEFT('Base Encuesta'!K157,1)),"")&gt;=3),"",VALUE(LEFT('Base Encuesta'!T157,1)))</f>
        <v/>
      </c>
      <c r="O183" t="str">
        <f>IF(OR('Base Encuesta'!V157="",IFERROR(VALUE(LEFT('Base Encuesta'!K157,1)),"")&gt;=3),"",VALUE(LEFT('Base Encuesta'!V157,1)))</f>
        <v/>
      </c>
      <c r="P183" t="str">
        <f>IF(OR('Base Encuesta'!W157="",IFERROR(VALUE(LEFT('Base Encuesta'!K157,1)),"")&gt;=3),"",VALUE(LEFT('Base Encuesta'!W157,1)))</f>
        <v/>
      </c>
      <c r="Q183" t="str">
        <f>IF(OR('Base Encuesta'!X157="",IFERROR(VALUE(LEFT('Base Encuesta'!K157,1)),"")&gt;=3),"",VALUE(LEFT('Base Encuesta'!X157,1)))</f>
        <v/>
      </c>
      <c r="R183" t="str">
        <f>IF(OR('Base Encuesta'!Y157="",IFERROR(VALUE(LEFT('Base Encuesta'!K157,1)),"")&gt;=3),"",VALUE(LEFT('Base Encuesta'!Y157,1)))</f>
        <v/>
      </c>
      <c r="S183" t="str">
        <f>IF(OR('Base Encuesta'!Z157="",IFERROR(VALUE(LEFT('Base Encuesta'!K157,1)),"")&gt;=3),"",VALUE(LEFT('Base Encuesta'!Z157,1)))</f>
        <v/>
      </c>
      <c r="T183" t="str">
        <f>IF(OR('Base Encuesta'!AA157="",IFERROR(VALUE(LEFT('Base Encuesta'!K157,1)),"")&gt;=3),"",VALUE(LEFT('Base Encuesta'!AA157,1)))</f>
        <v/>
      </c>
      <c r="U183" t="str">
        <f>IF(OR('Base Encuesta'!AB157="",IFERROR(VALUE(LEFT('Base Encuesta'!K157,1)),"")&gt;=3),"",VALUE(LEFT('Base Encuesta'!AB157,1)))</f>
        <v/>
      </c>
      <c r="V183" t="str">
        <f>IF(OR('Base Encuesta'!AC157="",IFERROR(VALUE(LEFT('Base Encuesta'!K157,1)),"")&gt;=3),"",VALUE(LEFT('Base Encuesta'!AC157,1)))</f>
        <v/>
      </c>
      <c r="W183" t="str">
        <f>IF(OR('Base Encuesta'!AE157="",IFERROR(VALUE(LEFT('Base Encuesta'!K157,1)),"")&gt;=3),"",VALUE(LEFT('Base Encuesta'!AE157,1)))</f>
        <v/>
      </c>
      <c r="X183" t="str">
        <f>IF(OR('Base Encuesta'!AF157="",IFERROR(VALUE(LEFT('Base Encuesta'!K157,1)),"")&gt;=3),"",IF(W183=1,VALUE(LEFT('Base Encuesta'!AF157,1)),""))</f>
        <v/>
      </c>
      <c r="Y183" t="str">
        <f>IF(OR('Base Encuesta'!AG157="",IFERROR(VALUE(LEFT('Base Encuesta'!K157,1)),"")&gt;=3),"",IF(W183=1,VALUE(LEFT('Base Encuesta'!AG157,1)),""))</f>
        <v/>
      </c>
      <c r="Z183" t="str">
        <f>IF(OR('Base Encuesta'!AH157="",IFERROR(VALUE(LEFT('Base Encuesta'!K157,1)),"")&gt;=3),"",IF(W183=1,VALUE(LEFT('Base Encuesta'!AH157,1)),""))</f>
        <v/>
      </c>
      <c r="AA183" t="str">
        <f>IF(OR('Base Encuesta'!AI157="",IFERROR(VALUE(LEFT('Base Encuesta'!K157,1)),"")&gt;=3),"",IF(W183=1,VALUE(LEFT('Base Encuesta'!AI157,1)),""))</f>
        <v/>
      </c>
      <c r="AB183" t="str">
        <f>IF(OR('Base Encuesta'!AJ157="",IFERROR(VALUE(LEFT('Base Encuesta'!K157,1)),"")&gt;=3),"",IF(W183=1,VALUE(LEFT('Base Encuesta'!AJ157,1)),""))</f>
        <v/>
      </c>
      <c r="AC183" t="str">
        <f>IF(OR('Base Encuesta'!AL157="",IFERROR(VALUE(LEFT('Base Encuesta'!K157,1)),"")&gt;=3),"",VALUE(LEFT('Base Encuesta'!AL157,1)))</f>
        <v/>
      </c>
      <c r="AD183" t="str">
        <f>IF(OR('Base Encuesta'!AM157="",IFERROR(VALUE(LEFT('Base Encuesta'!K157,1)),"")&gt;=3),"",VALUE(LEFT('Base Encuesta'!AM157,1)))</f>
        <v/>
      </c>
      <c r="AE183" t="str">
        <f>IF(OR('Base Encuesta'!AN157="",IFERROR(VALUE(LEFT('Base Encuesta'!K157,1)),"")&gt;=3),"",VALUE(LEFT('Base Encuesta'!AN157,1)))</f>
        <v/>
      </c>
      <c r="AF183" t="str">
        <f>IF(OR('Base Encuesta'!AO157="",IFERROR(VALUE(LEFT('Base Encuesta'!K157,1)),"")&gt;=3),"",VALUE(LEFT('Base Encuesta'!AO157,1)))</f>
        <v/>
      </c>
      <c r="AG183" t="str">
        <f>IF(OR('Base Encuesta'!AQ157="",IFERROR(VALUE(LEFT('Base Encuesta'!K157,1)),"")&gt;=3),"",VALUE(LEFT('Base Encuesta'!AQ157,1)))</f>
        <v/>
      </c>
      <c r="AH183" t="str">
        <f>IF(OR('Base Encuesta'!AR157="",IFERROR(VALUE(LEFT('Base Encuesta'!K157,1)),"")&gt;=3),"",VALUE(LEFT('Base Encuesta'!AR157,1)))</f>
        <v/>
      </c>
    </row>
    <row r="184" spans="1:34">
      <c r="A184" t="str">
        <f>IF('Base Encuesta'!C158="","",'Base Encuesta'!C158)</f>
        <v/>
      </c>
      <c r="B184" t="str">
        <f>IF('Base Encuesta'!D158="","",'Base Encuesta'!D158)</f>
        <v/>
      </c>
      <c r="C184" t="str">
        <f>IF('Base Encuesta'!E158="","",'Base Encuesta'!E158)</f>
        <v/>
      </c>
      <c r="D184" t="str">
        <f>IF('Base Encuesta'!F158="","",'Base Encuesta'!F158)</f>
        <v/>
      </c>
      <c r="E184" t="str">
        <f>IF('Base Encuesta'!G158="","",'Base Encuesta'!G158)</f>
        <v/>
      </c>
      <c r="F184" t="str">
        <f>IF('Base Encuesta'!H158="","",'Base Encuesta'!H158)</f>
        <v/>
      </c>
      <c r="G184" t="str">
        <f>IF('Base Encuesta'!I158="","",'Base Encuesta'!I158)</f>
        <v/>
      </c>
      <c r="H184" t="str">
        <f>IF('Base Encuesta'!J158="","",'Base Encuesta'!J158)</f>
        <v/>
      </c>
      <c r="I184" t="str">
        <f>IF('Base Encuesta'!K158="","",'Base Encuesta'!K158)</f>
        <v/>
      </c>
      <c r="J184" t="str">
        <f>IF(OR('Base Encuesta'!P158="",IFERROR(VALUE(LEFT('Base Encuesta'!K158,1)),"")&gt;=3),"",PROPER(TRIM('Base Encuesta'!P158)))</f>
        <v/>
      </c>
      <c r="K184" t="str">
        <f>IF(OR('Base Encuesta'!Q158="",IFERROR(VALUE(LEFT('Base Encuesta'!K158,1)),"")&gt;=3),"",'Base Encuesta'!Q158)</f>
        <v/>
      </c>
      <c r="L184" t="str">
        <f>IF(OR('Base Encuesta'!R158="",IFERROR(VALUE(LEFT('Base Encuesta'!K158,1)),"")&gt;=3),"",VALUE(LEFT('Base Encuesta'!R158,1)))</f>
        <v/>
      </c>
      <c r="M184" t="str">
        <f>IF(OR('Base Encuesta'!S158="",IFERROR(VALUE(LEFT('Base Encuesta'!K158,1)),"")&gt;=3),"",VALUE(LEFT('Base Encuesta'!S158,1)))</f>
        <v/>
      </c>
      <c r="N184" t="str">
        <f>IF(OR('Base Encuesta'!T158="",IFERROR(VALUE(LEFT('Base Encuesta'!K158,1)),"")&gt;=3),"",VALUE(LEFT('Base Encuesta'!T158,1)))</f>
        <v/>
      </c>
      <c r="O184" t="str">
        <f>IF(OR('Base Encuesta'!V158="",IFERROR(VALUE(LEFT('Base Encuesta'!K158,1)),"")&gt;=3),"",VALUE(LEFT('Base Encuesta'!V158,1)))</f>
        <v/>
      </c>
      <c r="P184" t="str">
        <f>IF(OR('Base Encuesta'!W158="",IFERROR(VALUE(LEFT('Base Encuesta'!K158,1)),"")&gt;=3),"",VALUE(LEFT('Base Encuesta'!W158,1)))</f>
        <v/>
      </c>
      <c r="Q184" t="str">
        <f>IF(OR('Base Encuesta'!X158="",IFERROR(VALUE(LEFT('Base Encuesta'!K158,1)),"")&gt;=3),"",VALUE(LEFT('Base Encuesta'!X158,1)))</f>
        <v/>
      </c>
      <c r="R184" t="str">
        <f>IF(OR('Base Encuesta'!Y158="",IFERROR(VALUE(LEFT('Base Encuesta'!K158,1)),"")&gt;=3),"",VALUE(LEFT('Base Encuesta'!Y158,1)))</f>
        <v/>
      </c>
      <c r="S184" t="str">
        <f>IF(OR('Base Encuesta'!Z158="",IFERROR(VALUE(LEFT('Base Encuesta'!K158,1)),"")&gt;=3),"",VALUE(LEFT('Base Encuesta'!Z158,1)))</f>
        <v/>
      </c>
      <c r="T184" t="str">
        <f>IF(OR('Base Encuesta'!AA158="",IFERROR(VALUE(LEFT('Base Encuesta'!K158,1)),"")&gt;=3),"",VALUE(LEFT('Base Encuesta'!AA158,1)))</f>
        <v/>
      </c>
      <c r="U184" t="str">
        <f>IF(OR('Base Encuesta'!AB158="",IFERROR(VALUE(LEFT('Base Encuesta'!K158,1)),"")&gt;=3),"",VALUE(LEFT('Base Encuesta'!AB158,1)))</f>
        <v/>
      </c>
      <c r="V184" t="str">
        <f>IF(OR('Base Encuesta'!AC158="",IFERROR(VALUE(LEFT('Base Encuesta'!K158,1)),"")&gt;=3),"",VALUE(LEFT('Base Encuesta'!AC158,1)))</f>
        <v/>
      </c>
      <c r="W184" t="str">
        <f>IF(OR('Base Encuesta'!AE158="",IFERROR(VALUE(LEFT('Base Encuesta'!K158,1)),"")&gt;=3),"",VALUE(LEFT('Base Encuesta'!AE158,1)))</f>
        <v/>
      </c>
      <c r="X184" t="str">
        <f>IF(OR('Base Encuesta'!AF158="",IFERROR(VALUE(LEFT('Base Encuesta'!K158,1)),"")&gt;=3),"",IF(W184=1,VALUE(LEFT('Base Encuesta'!AF158,1)),""))</f>
        <v/>
      </c>
      <c r="Y184" t="str">
        <f>IF(OR('Base Encuesta'!AG158="",IFERROR(VALUE(LEFT('Base Encuesta'!K158,1)),"")&gt;=3),"",IF(W184=1,VALUE(LEFT('Base Encuesta'!AG158,1)),""))</f>
        <v/>
      </c>
      <c r="Z184" t="str">
        <f>IF(OR('Base Encuesta'!AH158="",IFERROR(VALUE(LEFT('Base Encuesta'!K158,1)),"")&gt;=3),"",IF(W184=1,VALUE(LEFT('Base Encuesta'!AH158,1)),""))</f>
        <v/>
      </c>
      <c r="AA184" t="str">
        <f>IF(OR('Base Encuesta'!AI158="",IFERROR(VALUE(LEFT('Base Encuesta'!K158,1)),"")&gt;=3),"",IF(W184=1,VALUE(LEFT('Base Encuesta'!AI158,1)),""))</f>
        <v/>
      </c>
      <c r="AB184" t="str">
        <f>IF(OR('Base Encuesta'!AJ158="",IFERROR(VALUE(LEFT('Base Encuesta'!K158,1)),"")&gt;=3),"",IF(W184=1,VALUE(LEFT('Base Encuesta'!AJ158,1)),""))</f>
        <v/>
      </c>
      <c r="AC184" t="str">
        <f>IF(OR('Base Encuesta'!AL158="",IFERROR(VALUE(LEFT('Base Encuesta'!K158,1)),"")&gt;=3),"",VALUE(LEFT('Base Encuesta'!AL158,1)))</f>
        <v/>
      </c>
      <c r="AD184" t="str">
        <f>IF(OR('Base Encuesta'!AM158="",IFERROR(VALUE(LEFT('Base Encuesta'!K158,1)),"")&gt;=3),"",VALUE(LEFT('Base Encuesta'!AM158,1)))</f>
        <v/>
      </c>
      <c r="AE184" t="str">
        <f>IF(OR('Base Encuesta'!AN158="",IFERROR(VALUE(LEFT('Base Encuesta'!K158,1)),"")&gt;=3),"",VALUE(LEFT('Base Encuesta'!AN158,1)))</f>
        <v/>
      </c>
      <c r="AF184" t="str">
        <f>IF(OR('Base Encuesta'!AO158="",IFERROR(VALUE(LEFT('Base Encuesta'!K158,1)),"")&gt;=3),"",VALUE(LEFT('Base Encuesta'!AO158,1)))</f>
        <v/>
      </c>
      <c r="AG184" t="str">
        <f>IF(OR('Base Encuesta'!AQ158="",IFERROR(VALUE(LEFT('Base Encuesta'!K158,1)),"")&gt;=3),"",VALUE(LEFT('Base Encuesta'!AQ158,1)))</f>
        <v/>
      </c>
      <c r="AH184" t="str">
        <f>IF(OR('Base Encuesta'!AR158="",IFERROR(VALUE(LEFT('Base Encuesta'!K158,1)),"")&gt;=3),"",VALUE(LEFT('Base Encuesta'!AR158,1)))</f>
        <v/>
      </c>
    </row>
    <row r="185" spans="1:34">
      <c r="A185" t="str">
        <f>IF('Base Encuesta'!C159="","",'Base Encuesta'!C159)</f>
        <v/>
      </c>
      <c r="B185" t="str">
        <f>IF('Base Encuesta'!D159="","",'Base Encuesta'!D159)</f>
        <v/>
      </c>
      <c r="C185" t="str">
        <f>IF('Base Encuesta'!E159="","",'Base Encuesta'!E159)</f>
        <v/>
      </c>
      <c r="D185" t="str">
        <f>IF('Base Encuesta'!F159="","",'Base Encuesta'!F159)</f>
        <v/>
      </c>
      <c r="E185" t="str">
        <f>IF('Base Encuesta'!G159="","",'Base Encuesta'!G159)</f>
        <v/>
      </c>
      <c r="F185" t="str">
        <f>IF('Base Encuesta'!H159="","",'Base Encuesta'!H159)</f>
        <v/>
      </c>
      <c r="G185" t="str">
        <f>IF('Base Encuesta'!I159="","",'Base Encuesta'!I159)</f>
        <v/>
      </c>
      <c r="H185" t="str">
        <f>IF('Base Encuesta'!J159="","",'Base Encuesta'!J159)</f>
        <v/>
      </c>
      <c r="I185" t="str">
        <f>IF('Base Encuesta'!K159="","",'Base Encuesta'!K159)</f>
        <v/>
      </c>
      <c r="J185" t="str">
        <f>IF(OR('Base Encuesta'!P159="",IFERROR(VALUE(LEFT('Base Encuesta'!K159,1)),"")&gt;=3),"",PROPER(TRIM('Base Encuesta'!P159)))</f>
        <v/>
      </c>
      <c r="K185" t="str">
        <f>IF(OR('Base Encuesta'!Q159="",IFERROR(VALUE(LEFT('Base Encuesta'!K159,1)),"")&gt;=3),"",'Base Encuesta'!Q159)</f>
        <v/>
      </c>
      <c r="L185" t="str">
        <f>IF(OR('Base Encuesta'!R159="",IFERROR(VALUE(LEFT('Base Encuesta'!K159,1)),"")&gt;=3),"",VALUE(LEFT('Base Encuesta'!R159,1)))</f>
        <v/>
      </c>
      <c r="M185" t="str">
        <f>IF(OR('Base Encuesta'!S159="",IFERROR(VALUE(LEFT('Base Encuesta'!K159,1)),"")&gt;=3),"",VALUE(LEFT('Base Encuesta'!S159,1)))</f>
        <v/>
      </c>
      <c r="N185" t="str">
        <f>IF(OR('Base Encuesta'!T159="",IFERROR(VALUE(LEFT('Base Encuesta'!K159,1)),"")&gt;=3),"",VALUE(LEFT('Base Encuesta'!T159,1)))</f>
        <v/>
      </c>
      <c r="O185" t="str">
        <f>IF(OR('Base Encuesta'!V159="",IFERROR(VALUE(LEFT('Base Encuesta'!K159,1)),"")&gt;=3),"",VALUE(LEFT('Base Encuesta'!V159,1)))</f>
        <v/>
      </c>
      <c r="P185" t="str">
        <f>IF(OR('Base Encuesta'!W159="",IFERROR(VALUE(LEFT('Base Encuesta'!K159,1)),"")&gt;=3),"",VALUE(LEFT('Base Encuesta'!W159,1)))</f>
        <v/>
      </c>
      <c r="Q185" t="str">
        <f>IF(OR('Base Encuesta'!X159="",IFERROR(VALUE(LEFT('Base Encuesta'!K159,1)),"")&gt;=3),"",VALUE(LEFT('Base Encuesta'!X159,1)))</f>
        <v/>
      </c>
      <c r="R185" t="str">
        <f>IF(OR('Base Encuesta'!Y159="",IFERROR(VALUE(LEFT('Base Encuesta'!K159,1)),"")&gt;=3),"",VALUE(LEFT('Base Encuesta'!Y159,1)))</f>
        <v/>
      </c>
      <c r="S185" t="str">
        <f>IF(OR('Base Encuesta'!Z159="",IFERROR(VALUE(LEFT('Base Encuesta'!K159,1)),"")&gt;=3),"",VALUE(LEFT('Base Encuesta'!Z159,1)))</f>
        <v/>
      </c>
      <c r="T185" t="str">
        <f>IF(OR('Base Encuesta'!AA159="",IFERROR(VALUE(LEFT('Base Encuesta'!K159,1)),"")&gt;=3),"",VALUE(LEFT('Base Encuesta'!AA159,1)))</f>
        <v/>
      </c>
      <c r="U185" t="str">
        <f>IF(OR('Base Encuesta'!AB159="",IFERROR(VALUE(LEFT('Base Encuesta'!K159,1)),"")&gt;=3),"",VALUE(LEFT('Base Encuesta'!AB159,1)))</f>
        <v/>
      </c>
      <c r="V185" t="str">
        <f>IF(OR('Base Encuesta'!AC159="",IFERROR(VALUE(LEFT('Base Encuesta'!K159,1)),"")&gt;=3),"",VALUE(LEFT('Base Encuesta'!AC159,1)))</f>
        <v/>
      </c>
      <c r="W185" t="str">
        <f>IF(OR('Base Encuesta'!AE159="",IFERROR(VALUE(LEFT('Base Encuesta'!K159,1)),"")&gt;=3),"",VALUE(LEFT('Base Encuesta'!AE159,1)))</f>
        <v/>
      </c>
      <c r="X185" t="str">
        <f>IF(OR('Base Encuesta'!AF159="",IFERROR(VALUE(LEFT('Base Encuesta'!K159,1)),"")&gt;=3),"",IF(W185=1,VALUE(LEFT('Base Encuesta'!AF159,1)),""))</f>
        <v/>
      </c>
      <c r="Y185" t="str">
        <f>IF(OR('Base Encuesta'!AG159="",IFERROR(VALUE(LEFT('Base Encuesta'!K159,1)),"")&gt;=3),"",IF(W185=1,VALUE(LEFT('Base Encuesta'!AG159,1)),""))</f>
        <v/>
      </c>
      <c r="Z185" t="str">
        <f>IF(OR('Base Encuesta'!AH159="",IFERROR(VALUE(LEFT('Base Encuesta'!K159,1)),"")&gt;=3),"",IF(W185=1,VALUE(LEFT('Base Encuesta'!AH159,1)),""))</f>
        <v/>
      </c>
      <c r="AA185" t="str">
        <f>IF(OR('Base Encuesta'!AI159="",IFERROR(VALUE(LEFT('Base Encuesta'!K159,1)),"")&gt;=3),"",IF(W185=1,VALUE(LEFT('Base Encuesta'!AI159,1)),""))</f>
        <v/>
      </c>
      <c r="AB185" t="str">
        <f>IF(OR('Base Encuesta'!AJ159="",IFERROR(VALUE(LEFT('Base Encuesta'!K159,1)),"")&gt;=3),"",IF(W185=1,VALUE(LEFT('Base Encuesta'!AJ159,1)),""))</f>
        <v/>
      </c>
      <c r="AC185" t="str">
        <f>IF(OR('Base Encuesta'!AL159="",IFERROR(VALUE(LEFT('Base Encuesta'!K159,1)),"")&gt;=3),"",VALUE(LEFT('Base Encuesta'!AL159,1)))</f>
        <v/>
      </c>
      <c r="AD185" t="str">
        <f>IF(OR('Base Encuesta'!AM159="",IFERROR(VALUE(LEFT('Base Encuesta'!K159,1)),"")&gt;=3),"",VALUE(LEFT('Base Encuesta'!AM159,1)))</f>
        <v/>
      </c>
      <c r="AE185" t="str">
        <f>IF(OR('Base Encuesta'!AN159="",IFERROR(VALUE(LEFT('Base Encuesta'!K159,1)),"")&gt;=3),"",VALUE(LEFT('Base Encuesta'!AN159,1)))</f>
        <v/>
      </c>
      <c r="AF185" t="str">
        <f>IF(OR('Base Encuesta'!AO159="",IFERROR(VALUE(LEFT('Base Encuesta'!K159,1)),"")&gt;=3),"",VALUE(LEFT('Base Encuesta'!AO159,1)))</f>
        <v/>
      </c>
      <c r="AG185" t="str">
        <f>IF(OR('Base Encuesta'!AQ159="",IFERROR(VALUE(LEFT('Base Encuesta'!K159,1)),"")&gt;=3),"",VALUE(LEFT('Base Encuesta'!AQ159,1)))</f>
        <v/>
      </c>
      <c r="AH185" t="str">
        <f>IF(OR('Base Encuesta'!AR159="",IFERROR(VALUE(LEFT('Base Encuesta'!K159,1)),"")&gt;=3),"",VALUE(LEFT('Base Encuesta'!AR159,1)))</f>
        <v/>
      </c>
    </row>
    <row r="186" spans="1:34">
      <c r="A186" t="str">
        <f>IF('Base Encuesta'!C160="","",'Base Encuesta'!C160)</f>
        <v/>
      </c>
      <c r="B186" t="str">
        <f>IF('Base Encuesta'!D160="","",'Base Encuesta'!D160)</f>
        <v/>
      </c>
      <c r="C186" t="str">
        <f>IF('Base Encuesta'!E160="","",'Base Encuesta'!E160)</f>
        <v/>
      </c>
      <c r="D186" t="str">
        <f>IF('Base Encuesta'!F160="","",'Base Encuesta'!F160)</f>
        <v/>
      </c>
      <c r="E186" t="str">
        <f>IF('Base Encuesta'!G160="","",'Base Encuesta'!G160)</f>
        <v/>
      </c>
      <c r="F186" t="str">
        <f>IF('Base Encuesta'!H160="","",'Base Encuesta'!H160)</f>
        <v/>
      </c>
      <c r="G186" t="str">
        <f>IF('Base Encuesta'!I160="","",'Base Encuesta'!I160)</f>
        <v/>
      </c>
      <c r="H186" t="str">
        <f>IF('Base Encuesta'!J160="","",'Base Encuesta'!J160)</f>
        <v/>
      </c>
      <c r="I186" t="str">
        <f>IF('Base Encuesta'!K160="","",'Base Encuesta'!K160)</f>
        <v/>
      </c>
      <c r="J186" t="str">
        <f>IF(OR('Base Encuesta'!P160="",IFERROR(VALUE(LEFT('Base Encuesta'!K160,1)),"")&gt;=3),"",PROPER(TRIM('Base Encuesta'!P160)))</f>
        <v/>
      </c>
      <c r="K186" t="str">
        <f>IF(OR('Base Encuesta'!Q160="",IFERROR(VALUE(LEFT('Base Encuesta'!K160,1)),"")&gt;=3),"",'Base Encuesta'!Q160)</f>
        <v/>
      </c>
      <c r="L186" t="str">
        <f>IF(OR('Base Encuesta'!R160="",IFERROR(VALUE(LEFT('Base Encuesta'!K160,1)),"")&gt;=3),"",VALUE(LEFT('Base Encuesta'!R160,1)))</f>
        <v/>
      </c>
      <c r="M186" t="str">
        <f>IF(OR('Base Encuesta'!S160="",IFERROR(VALUE(LEFT('Base Encuesta'!K160,1)),"")&gt;=3),"",VALUE(LEFT('Base Encuesta'!S160,1)))</f>
        <v/>
      </c>
      <c r="N186" t="str">
        <f>IF(OR('Base Encuesta'!T160="",IFERROR(VALUE(LEFT('Base Encuesta'!K160,1)),"")&gt;=3),"",VALUE(LEFT('Base Encuesta'!T160,1)))</f>
        <v/>
      </c>
      <c r="O186" t="str">
        <f>IF(OR('Base Encuesta'!V160="",IFERROR(VALUE(LEFT('Base Encuesta'!K160,1)),"")&gt;=3),"",VALUE(LEFT('Base Encuesta'!V160,1)))</f>
        <v/>
      </c>
      <c r="P186" t="str">
        <f>IF(OR('Base Encuesta'!W160="",IFERROR(VALUE(LEFT('Base Encuesta'!K160,1)),"")&gt;=3),"",VALUE(LEFT('Base Encuesta'!W160,1)))</f>
        <v/>
      </c>
      <c r="Q186" t="str">
        <f>IF(OR('Base Encuesta'!X160="",IFERROR(VALUE(LEFT('Base Encuesta'!K160,1)),"")&gt;=3),"",VALUE(LEFT('Base Encuesta'!X160,1)))</f>
        <v/>
      </c>
      <c r="R186" t="str">
        <f>IF(OR('Base Encuesta'!Y160="",IFERROR(VALUE(LEFT('Base Encuesta'!K160,1)),"")&gt;=3),"",VALUE(LEFT('Base Encuesta'!Y160,1)))</f>
        <v/>
      </c>
      <c r="S186" t="str">
        <f>IF(OR('Base Encuesta'!Z160="",IFERROR(VALUE(LEFT('Base Encuesta'!K160,1)),"")&gt;=3),"",VALUE(LEFT('Base Encuesta'!Z160,1)))</f>
        <v/>
      </c>
      <c r="T186" t="str">
        <f>IF(OR('Base Encuesta'!AA160="",IFERROR(VALUE(LEFT('Base Encuesta'!K160,1)),"")&gt;=3),"",VALUE(LEFT('Base Encuesta'!AA160,1)))</f>
        <v/>
      </c>
      <c r="U186" t="str">
        <f>IF(OR('Base Encuesta'!AB160="",IFERROR(VALUE(LEFT('Base Encuesta'!K160,1)),"")&gt;=3),"",VALUE(LEFT('Base Encuesta'!AB160,1)))</f>
        <v/>
      </c>
      <c r="V186" t="str">
        <f>IF(OR('Base Encuesta'!AC160="",IFERROR(VALUE(LEFT('Base Encuesta'!K160,1)),"")&gt;=3),"",VALUE(LEFT('Base Encuesta'!AC160,1)))</f>
        <v/>
      </c>
      <c r="W186" t="str">
        <f>IF(OR('Base Encuesta'!AE160="",IFERROR(VALUE(LEFT('Base Encuesta'!K160,1)),"")&gt;=3),"",VALUE(LEFT('Base Encuesta'!AE160,1)))</f>
        <v/>
      </c>
      <c r="X186" t="str">
        <f>IF(OR('Base Encuesta'!AF160="",IFERROR(VALUE(LEFT('Base Encuesta'!K160,1)),"")&gt;=3),"",IF(W186=1,VALUE(LEFT('Base Encuesta'!AF160,1)),""))</f>
        <v/>
      </c>
      <c r="Y186" t="str">
        <f>IF(OR('Base Encuesta'!AG160="",IFERROR(VALUE(LEFT('Base Encuesta'!K160,1)),"")&gt;=3),"",IF(W186=1,VALUE(LEFT('Base Encuesta'!AG160,1)),""))</f>
        <v/>
      </c>
      <c r="Z186" t="str">
        <f>IF(OR('Base Encuesta'!AH160="",IFERROR(VALUE(LEFT('Base Encuesta'!K160,1)),"")&gt;=3),"",IF(W186=1,VALUE(LEFT('Base Encuesta'!AH160,1)),""))</f>
        <v/>
      </c>
      <c r="AA186" t="str">
        <f>IF(OR('Base Encuesta'!AI160="",IFERROR(VALUE(LEFT('Base Encuesta'!K160,1)),"")&gt;=3),"",IF(W186=1,VALUE(LEFT('Base Encuesta'!AI160,1)),""))</f>
        <v/>
      </c>
      <c r="AB186" t="str">
        <f>IF(OR('Base Encuesta'!AJ160="",IFERROR(VALUE(LEFT('Base Encuesta'!K160,1)),"")&gt;=3),"",IF(W186=1,VALUE(LEFT('Base Encuesta'!AJ160,1)),""))</f>
        <v/>
      </c>
      <c r="AC186" t="str">
        <f>IF(OR('Base Encuesta'!AL160="",IFERROR(VALUE(LEFT('Base Encuesta'!K160,1)),"")&gt;=3),"",VALUE(LEFT('Base Encuesta'!AL160,1)))</f>
        <v/>
      </c>
      <c r="AD186" t="str">
        <f>IF(OR('Base Encuesta'!AM160="",IFERROR(VALUE(LEFT('Base Encuesta'!K160,1)),"")&gt;=3),"",VALUE(LEFT('Base Encuesta'!AM160,1)))</f>
        <v/>
      </c>
      <c r="AE186" t="str">
        <f>IF(OR('Base Encuesta'!AN160="",IFERROR(VALUE(LEFT('Base Encuesta'!K160,1)),"")&gt;=3),"",VALUE(LEFT('Base Encuesta'!AN160,1)))</f>
        <v/>
      </c>
      <c r="AF186" t="str">
        <f>IF(OR('Base Encuesta'!AO160="",IFERROR(VALUE(LEFT('Base Encuesta'!K160,1)),"")&gt;=3),"",VALUE(LEFT('Base Encuesta'!AO160,1)))</f>
        <v/>
      </c>
      <c r="AG186" t="str">
        <f>IF(OR('Base Encuesta'!AQ160="",IFERROR(VALUE(LEFT('Base Encuesta'!K160,1)),"")&gt;=3),"",VALUE(LEFT('Base Encuesta'!AQ160,1)))</f>
        <v/>
      </c>
      <c r="AH186" t="str">
        <f>IF(OR('Base Encuesta'!AR160="",IFERROR(VALUE(LEFT('Base Encuesta'!K160,1)),"")&gt;=3),"",VALUE(LEFT('Base Encuesta'!AR160,1)))</f>
        <v/>
      </c>
    </row>
    <row r="187" spans="1:34">
      <c r="A187" t="str">
        <f>IF('Base Encuesta'!C161="","",'Base Encuesta'!C161)</f>
        <v/>
      </c>
      <c r="B187" t="str">
        <f>IF('Base Encuesta'!D161="","",'Base Encuesta'!D161)</f>
        <v/>
      </c>
      <c r="C187" t="str">
        <f>IF('Base Encuesta'!E161="","",'Base Encuesta'!E161)</f>
        <v/>
      </c>
      <c r="D187" t="str">
        <f>IF('Base Encuesta'!F161="","",'Base Encuesta'!F161)</f>
        <v/>
      </c>
      <c r="E187" t="str">
        <f>IF('Base Encuesta'!G161="","",'Base Encuesta'!G161)</f>
        <v/>
      </c>
      <c r="F187" t="str">
        <f>IF('Base Encuesta'!H161="","",'Base Encuesta'!H161)</f>
        <v/>
      </c>
      <c r="G187" t="str">
        <f>IF('Base Encuesta'!I161="","",'Base Encuesta'!I161)</f>
        <v/>
      </c>
      <c r="H187" t="str">
        <f>IF('Base Encuesta'!J161="","",'Base Encuesta'!J161)</f>
        <v/>
      </c>
      <c r="I187" t="str">
        <f>IF('Base Encuesta'!K161="","",'Base Encuesta'!K161)</f>
        <v/>
      </c>
      <c r="J187" t="str">
        <f>IF(OR('Base Encuesta'!P161="",IFERROR(VALUE(LEFT('Base Encuesta'!K161,1)),"")&gt;=3),"",PROPER(TRIM('Base Encuesta'!P161)))</f>
        <v/>
      </c>
      <c r="K187" t="str">
        <f>IF(OR('Base Encuesta'!Q161="",IFERROR(VALUE(LEFT('Base Encuesta'!K161,1)),"")&gt;=3),"",'Base Encuesta'!Q161)</f>
        <v/>
      </c>
      <c r="L187" t="str">
        <f>IF(OR('Base Encuesta'!R161="",IFERROR(VALUE(LEFT('Base Encuesta'!K161,1)),"")&gt;=3),"",VALUE(LEFT('Base Encuesta'!R161,1)))</f>
        <v/>
      </c>
      <c r="M187" t="str">
        <f>IF(OR('Base Encuesta'!S161="",IFERROR(VALUE(LEFT('Base Encuesta'!K161,1)),"")&gt;=3),"",VALUE(LEFT('Base Encuesta'!S161,1)))</f>
        <v/>
      </c>
      <c r="N187" t="str">
        <f>IF(OR('Base Encuesta'!T161="",IFERROR(VALUE(LEFT('Base Encuesta'!K161,1)),"")&gt;=3),"",VALUE(LEFT('Base Encuesta'!T161,1)))</f>
        <v/>
      </c>
      <c r="O187" t="str">
        <f>IF(OR('Base Encuesta'!V161="",IFERROR(VALUE(LEFT('Base Encuesta'!K161,1)),"")&gt;=3),"",VALUE(LEFT('Base Encuesta'!V161,1)))</f>
        <v/>
      </c>
      <c r="P187" t="str">
        <f>IF(OR('Base Encuesta'!W161="",IFERROR(VALUE(LEFT('Base Encuesta'!K161,1)),"")&gt;=3),"",VALUE(LEFT('Base Encuesta'!W161,1)))</f>
        <v/>
      </c>
      <c r="Q187" t="str">
        <f>IF(OR('Base Encuesta'!X161="",IFERROR(VALUE(LEFT('Base Encuesta'!K161,1)),"")&gt;=3),"",VALUE(LEFT('Base Encuesta'!X161,1)))</f>
        <v/>
      </c>
      <c r="R187" t="str">
        <f>IF(OR('Base Encuesta'!Y161="",IFERROR(VALUE(LEFT('Base Encuesta'!K161,1)),"")&gt;=3),"",VALUE(LEFT('Base Encuesta'!Y161,1)))</f>
        <v/>
      </c>
      <c r="S187" t="str">
        <f>IF(OR('Base Encuesta'!Z161="",IFERROR(VALUE(LEFT('Base Encuesta'!K161,1)),"")&gt;=3),"",VALUE(LEFT('Base Encuesta'!Z161,1)))</f>
        <v/>
      </c>
      <c r="T187" t="str">
        <f>IF(OR('Base Encuesta'!AA161="",IFERROR(VALUE(LEFT('Base Encuesta'!K161,1)),"")&gt;=3),"",VALUE(LEFT('Base Encuesta'!AA161,1)))</f>
        <v/>
      </c>
      <c r="U187" t="str">
        <f>IF(OR('Base Encuesta'!AB161="",IFERROR(VALUE(LEFT('Base Encuesta'!K161,1)),"")&gt;=3),"",VALUE(LEFT('Base Encuesta'!AB161,1)))</f>
        <v/>
      </c>
      <c r="V187" t="str">
        <f>IF(OR('Base Encuesta'!AC161="",IFERROR(VALUE(LEFT('Base Encuesta'!K161,1)),"")&gt;=3),"",VALUE(LEFT('Base Encuesta'!AC161,1)))</f>
        <v/>
      </c>
      <c r="W187" t="str">
        <f>IF(OR('Base Encuesta'!AE161="",IFERROR(VALUE(LEFT('Base Encuesta'!K161,1)),"")&gt;=3),"",VALUE(LEFT('Base Encuesta'!AE161,1)))</f>
        <v/>
      </c>
      <c r="X187" t="str">
        <f>IF(OR('Base Encuesta'!AF161="",IFERROR(VALUE(LEFT('Base Encuesta'!K161,1)),"")&gt;=3),"",IF(W187=1,VALUE(LEFT('Base Encuesta'!AF161,1)),""))</f>
        <v/>
      </c>
      <c r="Y187" t="str">
        <f>IF(OR('Base Encuesta'!AG161="",IFERROR(VALUE(LEFT('Base Encuesta'!K161,1)),"")&gt;=3),"",IF(W187=1,VALUE(LEFT('Base Encuesta'!AG161,1)),""))</f>
        <v/>
      </c>
      <c r="Z187" t="str">
        <f>IF(OR('Base Encuesta'!AH161="",IFERROR(VALUE(LEFT('Base Encuesta'!K161,1)),"")&gt;=3),"",IF(W187=1,VALUE(LEFT('Base Encuesta'!AH161,1)),""))</f>
        <v/>
      </c>
      <c r="AA187" t="str">
        <f>IF(OR('Base Encuesta'!AI161="",IFERROR(VALUE(LEFT('Base Encuesta'!K161,1)),"")&gt;=3),"",IF(W187=1,VALUE(LEFT('Base Encuesta'!AI161,1)),""))</f>
        <v/>
      </c>
      <c r="AB187" t="str">
        <f>IF(OR('Base Encuesta'!AJ161="",IFERROR(VALUE(LEFT('Base Encuesta'!K161,1)),"")&gt;=3),"",IF(W187=1,VALUE(LEFT('Base Encuesta'!AJ161,1)),""))</f>
        <v/>
      </c>
      <c r="AC187" t="str">
        <f>IF(OR('Base Encuesta'!AL161="",IFERROR(VALUE(LEFT('Base Encuesta'!K161,1)),"")&gt;=3),"",VALUE(LEFT('Base Encuesta'!AL161,1)))</f>
        <v/>
      </c>
      <c r="AD187" t="str">
        <f>IF(OR('Base Encuesta'!AM161="",IFERROR(VALUE(LEFT('Base Encuesta'!K161,1)),"")&gt;=3),"",VALUE(LEFT('Base Encuesta'!AM161,1)))</f>
        <v/>
      </c>
      <c r="AE187" t="str">
        <f>IF(OR('Base Encuesta'!AN161="",IFERROR(VALUE(LEFT('Base Encuesta'!K161,1)),"")&gt;=3),"",VALUE(LEFT('Base Encuesta'!AN161,1)))</f>
        <v/>
      </c>
      <c r="AF187" t="str">
        <f>IF(OR('Base Encuesta'!AO161="",IFERROR(VALUE(LEFT('Base Encuesta'!K161,1)),"")&gt;=3),"",VALUE(LEFT('Base Encuesta'!AO161,1)))</f>
        <v/>
      </c>
      <c r="AG187" t="str">
        <f>IF(OR('Base Encuesta'!AQ161="",IFERROR(VALUE(LEFT('Base Encuesta'!K161,1)),"")&gt;=3),"",VALUE(LEFT('Base Encuesta'!AQ161,1)))</f>
        <v/>
      </c>
      <c r="AH187" t="str">
        <f>IF(OR('Base Encuesta'!AR161="",IFERROR(VALUE(LEFT('Base Encuesta'!K161,1)),"")&gt;=3),"",VALUE(LEFT('Base Encuesta'!AR161,1)))</f>
        <v/>
      </c>
    </row>
    <row r="188" spans="1:34">
      <c r="A188" t="str">
        <f>IF('Base Encuesta'!C162="","",'Base Encuesta'!C162)</f>
        <v/>
      </c>
      <c r="B188" t="str">
        <f>IF('Base Encuesta'!D162="","",'Base Encuesta'!D162)</f>
        <v/>
      </c>
      <c r="C188" t="str">
        <f>IF('Base Encuesta'!E162="","",'Base Encuesta'!E162)</f>
        <v/>
      </c>
      <c r="D188" t="str">
        <f>IF('Base Encuesta'!F162="","",'Base Encuesta'!F162)</f>
        <v/>
      </c>
      <c r="E188" t="str">
        <f>IF('Base Encuesta'!G162="","",'Base Encuesta'!G162)</f>
        <v/>
      </c>
      <c r="F188" t="str">
        <f>IF('Base Encuesta'!H162="","",'Base Encuesta'!H162)</f>
        <v/>
      </c>
      <c r="G188" t="str">
        <f>IF('Base Encuesta'!I162="","",'Base Encuesta'!I162)</f>
        <v/>
      </c>
      <c r="H188" t="str">
        <f>IF('Base Encuesta'!J162="","",'Base Encuesta'!J162)</f>
        <v/>
      </c>
      <c r="I188" t="str">
        <f>IF('Base Encuesta'!K162="","",'Base Encuesta'!K162)</f>
        <v/>
      </c>
      <c r="J188" t="str">
        <f>IF(OR('Base Encuesta'!P162="",IFERROR(VALUE(LEFT('Base Encuesta'!K162,1)),"")&gt;=3),"",PROPER(TRIM('Base Encuesta'!P162)))</f>
        <v/>
      </c>
      <c r="K188" t="str">
        <f>IF(OR('Base Encuesta'!Q162="",IFERROR(VALUE(LEFT('Base Encuesta'!K162,1)),"")&gt;=3),"",'Base Encuesta'!Q162)</f>
        <v/>
      </c>
      <c r="L188" t="str">
        <f>IF(OR('Base Encuesta'!R162="",IFERROR(VALUE(LEFT('Base Encuesta'!K162,1)),"")&gt;=3),"",VALUE(LEFT('Base Encuesta'!R162,1)))</f>
        <v/>
      </c>
      <c r="M188" t="str">
        <f>IF(OR('Base Encuesta'!S162="",IFERROR(VALUE(LEFT('Base Encuesta'!K162,1)),"")&gt;=3),"",VALUE(LEFT('Base Encuesta'!S162,1)))</f>
        <v/>
      </c>
      <c r="N188" t="str">
        <f>IF(OR('Base Encuesta'!T162="",IFERROR(VALUE(LEFT('Base Encuesta'!K162,1)),"")&gt;=3),"",VALUE(LEFT('Base Encuesta'!T162,1)))</f>
        <v/>
      </c>
      <c r="O188" t="str">
        <f>IF(OR('Base Encuesta'!V162="",IFERROR(VALUE(LEFT('Base Encuesta'!K162,1)),"")&gt;=3),"",VALUE(LEFT('Base Encuesta'!V162,1)))</f>
        <v/>
      </c>
      <c r="P188" t="str">
        <f>IF(OR('Base Encuesta'!W162="",IFERROR(VALUE(LEFT('Base Encuesta'!K162,1)),"")&gt;=3),"",VALUE(LEFT('Base Encuesta'!W162,1)))</f>
        <v/>
      </c>
      <c r="Q188" t="str">
        <f>IF(OR('Base Encuesta'!X162="",IFERROR(VALUE(LEFT('Base Encuesta'!K162,1)),"")&gt;=3),"",VALUE(LEFT('Base Encuesta'!X162,1)))</f>
        <v/>
      </c>
      <c r="R188" t="str">
        <f>IF(OR('Base Encuesta'!Y162="",IFERROR(VALUE(LEFT('Base Encuesta'!K162,1)),"")&gt;=3),"",VALUE(LEFT('Base Encuesta'!Y162,1)))</f>
        <v/>
      </c>
      <c r="S188" t="str">
        <f>IF(OR('Base Encuesta'!Z162="",IFERROR(VALUE(LEFT('Base Encuesta'!K162,1)),"")&gt;=3),"",VALUE(LEFT('Base Encuesta'!Z162,1)))</f>
        <v/>
      </c>
      <c r="T188" t="str">
        <f>IF(OR('Base Encuesta'!AA162="",IFERROR(VALUE(LEFT('Base Encuesta'!K162,1)),"")&gt;=3),"",VALUE(LEFT('Base Encuesta'!AA162,1)))</f>
        <v/>
      </c>
      <c r="U188" t="str">
        <f>IF(OR('Base Encuesta'!AB162="",IFERROR(VALUE(LEFT('Base Encuesta'!K162,1)),"")&gt;=3),"",VALUE(LEFT('Base Encuesta'!AB162,1)))</f>
        <v/>
      </c>
      <c r="V188" t="str">
        <f>IF(OR('Base Encuesta'!AC162="",IFERROR(VALUE(LEFT('Base Encuesta'!K162,1)),"")&gt;=3),"",VALUE(LEFT('Base Encuesta'!AC162,1)))</f>
        <v/>
      </c>
      <c r="W188" t="str">
        <f>IF(OR('Base Encuesta'!AE162="",IFERROR(VALUE(LEFT('Base Encuesta'!K162,1)),"")&gt;=3),"",VALUE(LEFT('Base Encuesta'!AE162,1)))</f>
        <v/>
      </c>
      <c r="X188" t="str">
        <f>IF(OR('Base Encuesta'!AF162="",IFERROR(VALUE(LEFT('Base Encuesta'!K162,1)),"")&gt;=3),"",IF(W188=1,VALUE(LEFT('Base Encuesta'!AF162,1)),""))</f>
        <v/>
      </c>
      <c r="Y188" t="str">
        <f>IF(OR('Base Encuesta'!AG162="",IFERROR(VALUE(LEFT('Base Encuesta'!K162,1)),"")&gt;=3),"",IF(W188=1,VALUE(LEFT('Base Encuesta'!AG162,1)),""))</f>
        <v/>
      </c>
      <c r="Z188" t="str">
        <f>IF(OR('Base Encuesta'!AH162="",IFERROR(VALUE(LEFT('Base Encuesta'!K162,1)),"")&gt;=3),"",IF(W188=1,VALUE(LEFT('Base Encuesta'!AH162,1)),""))</f>
        <v/>
      </c>
      <c r="AA188" t="str">
        <f>IF(OR('Base Encuesta'!AI162="",IFERROR(VALUE(LEFT('Base Encuesta'!K162,1)),"")&gt;=3),"",IF(W188=1,VALUE(LEFT('Base Encuesta'!AI162,1)),""))</f>
        <v/>
      </c>
      <c r="AB188" t="str">
        <f>IF(OR('Base Encuesta'!AJ162="",IFERROR(VALUE(LEFT('Base Encuesta'!K162,1)),"")&gt;=3),"",IF(W188=1,VALUE(LEFT('Base Encuesta'!AJ162,1)),""))</f>
        <v/>
      </c>
      <c r="AC188" t="str">
        <f>IF(OR('Base Encuesta'!AL162="",IFERROR(VALUE(LEFT('Base Encuesta'!K162,1)),"")&gt;=3),"",VALUE(LEFT('Base Encuesta'!AL162,1)))</f>
        <v/>
      </c>
      <c r="AD188" t="str">
        <f>IF(OR('Base Encuesta'!AM162="",IFERROR(VALUE(LEFT('Base Encuesta'!K162,1)),"")&gt;=3),"",VALUE(LEFT('Base Encuesta'!AM162,1)))</f>
        <v/>
      </c>
      <c r="AE188" t="str">
        <f>IF(OR('Base Encuesta'!AN162="",IFERROR(VALUE(LEFT('Base Encuesta'!K162,1)),"")&gt;=3),"",VALUE(LEFT('Base Encuesta'!AN162,1)))</f>
        <v/>
      </c>
      <c r="AF188" t="str">
        <f>IF(OR('Base Encuesta'!AO162="",IFERROR(VALUE(LEFT('Base Encuesta'!K162,1)),"")&gt;=3),"",VALUE(LEFT('Base Encuesta'!AO162,1)))</f>
        <v/>
      </c>
      <c r="AG188" t="str">
        <f>IF(OR('Base Encuesta'!AQ162="",IFERROR(VALUE(LEFT('Base Encuesta'!K162,1)),"")&gt;=3),"",VALUE(LEFT('Base Encuesta'!AQ162,1)))</f>
        <v/>
      </c>
      <c r="AH188" t="str">
        <f>IF(OR('Base Encuesta'!AR162="",IFERROR(VALUE(LEFT('Base Encuesta'!K162,1)),"")&gt;=3),"",VALUE(LEFT('Base Encuesta'!AR162,1)))</f>
        <v/>
      </c>
    </row>
    <row r="189" spans="1:34">
      <c r="A189" t="str">
        <f>IF('Base Encuesta'!C163="","",'Base Encuesta'!C163)</f>
        <v/>
      </c>
      <c r="B189" t="str">
        <f>IF('Base Encuesta'!D163="","",'Base Encuesta'!D163)</f>
        <v/>
      </c>
      <c r="C189" t="str">
        <f>IF('Base Encuesta'!E163="","",'Base Encuesta'!E163)</f>
        <v/>
      </c>
      <c r="D189" t="str">
        <f>IF('Base Encuesta'!F163="","",'Base Encuesta'!F163)</f>
        <v/>
      </c>
      <c r="E189" t="str">
        <f>IF('Base Encuesta'!G163="","",'Base Encuesta'!G163)</f>
        <v/>
      </c>
      <c r="F189" t="str">
        <f>IF('Base Encuesta'!H163="","",'Base Encuesta'!H163)</f>
        <v/>
      </c>
      <c r="G189" t="str">
        <f>IF('Base Encuesta'!I163="","",'Base Encuesta'!I163)</f>
        <v/>
      </c>
      <c r="H189" t="str">
        <f>IF('Base Encuesta'!J163="","",'Base Encuesta'!J163)</f>
        <v/>
      </c>
      <c r="I189" t="str">
        <f>IF('Base Encuesta'!K163="","",'Base Encuesta'!K163)</f>
        <v/>
      </c>
      <c r="J189" t="str">
        <f>IF(OR('Base Encuesta'!P163="",IFERROR(VALUE(LEFT('Base Encuesta'!K163,1)),"")&gt;=3),"",PROPER(TRIM('Base Encuesta'!P163)))</f>
        <v/>
      </c>
      <c r="K189" t="str">
        <f>IF(OR('Base Encuesta'!Q163="",IFERROR(VALUE(LEFT('Base Encuesta'!K163,1)),"")&gt;=3),"",'Base Encuesta'!Q163)</f>
        <v/>
      </c>
      <c r="L189" t="str">
        <f>IF(OR('Base Encuesta'!R163="",IFERROR(VALUE(LEFT('Base Encuesta'!K163,1)),"")&gt;=3),"",VALUE(LEFT('Base Encuesta'!R163,1)))</f>
        <v/>
      </c>
      <c r="M189" t="str">
        <f>IF(OR('Base Encuesta'!S163="",IFERROR(VALUE(LEFT('Base Encuesta'!K163,1)),"")&gt;=3),"",VALUE(LEFT('Base Encuesta'!S163,1)))</f>
        <v/>
      </c>
      <c r="N189" t="str">
        <f>IF(OR('Base Encuesta'!T163="",IFERROR(VALUE(LEFT('Base Encuesta'!K163,1)),"")&gt;=3),"",VALUE(LEFT('Base Encuesta'!T163,1)))</f>
        <v/>
      </c>
      <c r="O189" t="str">
        <f>IF(OR('Base Encuesta'!V163="",IFERROR(VALUE(LEFT('Base Encuesta'!K163,1)),"")&gt;=3),"",VALUE(LEFT('Base Encuesta'!V163,1)))</f>
        <v/>
      </c>
      <c r="P189" t="str">
        <f>IF(OR('Base Encuesta'!W163="",IFERROR(VALUE(LEFT('Base Encuesta'!K163,1)),"")&gt;=3),"",VALUE(LEFT('Base Encuesta'!W163,1)))</f>
        <v/>
      </c>
      <c r="Q189" t="str">
        <f>IF(OR('Base Encuesta'!X163="",IFERROR(VALUE(LEFT('Base Encuesta'!K163,1)),"")&gt;=3),"",VALUE(LEFT('Base Encuesta'!X163,1)))</f>
        <v/>
      </c>
      <c r="R189" t="str">
        <f>IF(OR('Base Encuesta'!Y163="",IFERROR(VALUE(LEFT('Base Encuesta'!K163,1)),"")&gt;=3),"",VALUE(LEFT('Base Encuesta'!Y163,1)))</f>
        <v/>
      </c>
      <c r="S189" t="str">
        <f>IF(OR('Base Encuesta'!Z163="",IFERROR(VALUE(LEFT('Base Encuesta'!K163,1)),"")&gt;=3),"",VALUE(LEFT('Base Encuesta'!Z163,1)))</f>
        <v/>
      </c>
      <c r="T189" t="str">
        <f>IF(OR('Base Encuesta'!AA163="",IFERROR(VALUE(LEFT('Base Encuesta'!K163,1)),"")&gt;=3),"",VALUE(LEFT('Base Encuesta'!AA163,1)))</f>
        <v/>
      </c>
      <c r="U189" t="str">
        <f>IF(OR('Base Encuesta'!AB163="",IFERROR(VALUE(LEFT('Base Encuesta'!K163,1)),"")&gt;=3),"",VALUE(LEFT('Base Encuesta'!AB163,1)))</f>
        <v/>
      </c>
      <c r="V189" t="str">
        <f>IF(OR('Base Encuesta'!AC163="",IFERROR(VALUE(LEFT('Base Encuesta'!K163,1)),"")&gt;=3),"",VALUE(LEFT('Base Encuesta'!AC163,1)))</f>
        <v/>
      </c>
      <c r="W189" t="str">
        <f>IF(OR('Base Encuesta'!AE163="",IFERROR(VALUE(LEFT('Base Encuesta'!K163,1)),"")&gt;=3),"",VALUE(LEFT('Base Encuesta'!AE163,1)))</f>
        <v/>
      </c>
      <c r="X189" t="str">
        <f>IF(OR('Base Encuesta'!AF163="",IFERROR(VALUE(LEFT('Base Encuesta'!K163,1)),"")&gt;=3),"",IF(W189=1,VALUE(LEFT('Base Encuesta'!AF163,1)),""))</f>
        <v/>
      </c>
      <c r="Y189" t="str">
        <f>IF(OR('Base Encuesta'!AG163="",IFERROR(VALUE(LEFT('Base Encuesta'!K163,1)),"")&gt;=3),"",IF(W189=1,VALUE(LEFT('Base Encuesta'!AG163,1)),""))</f>
        <v/>
      </c>
      <c r="Z189" t="str">
        <f>IF(OR('Base Encuesta'!AH163="",IFERROR(VALUE(LEFT('Base Encuesta'!K163,1)),"")&gt;=3),"",IF(W189=1,VALUE(LEFT('Base Encuesta'!AH163,1)),""))</f>
        <v/>
      </c>
      <c r="AA189" t="str">
        <f>IF(OR('Base Encuesta'!AI163="",IFERROR(VALUE(LEFT('Base Encuesta'!K163,1)),"")&gt;=3),"",IF(W189=1,VALUE(LEFT('Base Encuesta'!AI163,1)),""))</f>
        <v/>
      </c>
      <c r="AB189" t="str">
        <f>IF(OR('Base Encuesta'!AJ163="",IFERROR(VALUE(LEFT('Base Encuesta'!K163,1)),"")&gt;=3),"",IF(W189=1,VALUE(LEFT('Base Encuesta'!AJ163,1)),""))</f>
        <v/>
      </c>
      <c r="AC189" t="str">
        <f>IF(OR('Base Encuesta'!AL163="",IFERROR(VALUE(LEFT('Base Encuesta'!K163,1)),"")&gt;=3),"",VALUE(LEFT('Base Encuesta'!AL163,1)))</f>
        <v/>
      </c>
      <c r="AD189" t="str">
        <f>IF(OR('Base Encuesta'!AM163="",IFERROR(VALUE(LEFT('Base Encuesta'!K163,1)),"")&gt;=3),"",VALUE(LEFT('Base Encuesta'!AM163,1)))</f>
        <v/>
      </c>
      <c r="AE189" t="str">
        <f>IF(OR('Base Encuesta'!AN163="",IFERROR(VALUE(LEFT('Base Encuesta'!K163,1)),"")&gt;=3),"",VALUE(LEFT('Base Encuesta'!AN163,1)))</f>
        <v/>
      </c>
      <c r="AF189" t="str">
        <f>IF(OR('Base Encuesta'!AO163="",IFERROR(VALUE(LEFT('Base Encuesta'!K163,1)),"")&gt;=3),"",VALUE(LEFT('Base Encuesta'!AO163,1)))</f>
        <v/>
      </c>
      <c r="AG189" t="str">
        <f>IF(OR('Base Encuesta'!AQ163="",IFERROR(VALUE(LEFT('Base Encuesta'!K163,1)),"")&gt;=3),"",VALUE(LEFT('Base Encuesta'!AQ163,1)))</f>
        <v/>
      </c>
      <c r="AH189" t="str">
        <f>IF(OR('Base Encuesta'!AR163="",IFERROR(VALUE(LEFT('Base Encuesta'!K163,1)),"")&gt;=3),"",VALUE(LEFT('Base Encuesta'!AR163,1)))</f>
        <v/>
      </c>
    </row>
    <row r="190" spans="1:34">
      <c r="A190" t="str">
        <f>IF('Base Encuesta'!C164="","",'Base Encuesta'!C164)</f>
        <v/>
      </c>
      <c r="B190" t="str">
        <f>IF('Base Encuesta'!D164="","",'Base Encuesta'!D164)</f>
        <v/>
      </c>
      <c r="C190" t="str">
        <f>IF('Base Encuesta'!E164="","",'Base Encuesta'!E164)</f>
        <v/>
      </c>
      <c r="D190" t="str">
        <f>IF('Base Encuesta'!F164="","",'Base Encuesta'!F164)</f>
        <v/>
      </c>
      <c r="E190" t="str">
        <f>IF('Base Encuesta'!G164="","",'Base Encuesta'!G164)</f>
        <v/>
      </c>
      <c r="F190" t="str">
        <f>IF('Base Encuesta'!H164="","",'Base Encuesta'!H164)</f>
        <v/>
      </c>
      <c r="G190" t="str">
        <f>IF('Base Encuesta'!I164="","",'Base Encuesta'!I164)</f>
        <v/>
      </c>
      <c r="H190" t="str">
        <f>IF('Base Encuesta'!J164="","",'Base Encuesta'!J164)</f>
        <v/>
      </c>
      <c r="I190" t="str">
        <f>IF('Base Encuesta'!K164="","",'Base Encuesta'!K164)</f>
        <v/>
      </c>
      <c r="J190" t="str">
        <f>IF(OR('Base Encuesta'!P164="",IFERROR(VALUE(LEFT('Base Encuesta'!K164,1)),"")&gt;=3),"",PROPER(TRIM('Base Encuesta'!P164)))</f>
        <v/>
      </c>
      <c r="K190" t="str">
        <f>IF(OR('Base Encuesta'!Q164="",IFERROR(VALUE(LEFT('Base Encuesta'!K164,1)),"")&gt;=3),"",'Base Encuesta'!Q164)</f>
        <v/>
      </c>
      <c r="L190" t="str">
        <f>IF(OR('Base Encuesta'!R164="",IFERROR(VALUE(LEFT('Base Encuesta'!K164,1)),"")&gt;=3),"",VALUE(LEFT('Base Encuesta'!R164,1)))</f>
        <v/>
      </c>
      <c r="M190" t="str">
        <f>IF(OR('Base Encuesta'!S164="",IFERROR(VALUE(LEFT('Base Encuesta'!K164,1)),"")&gt;=3),"",VALUE(LEFT('Base Encuesta'!S164,1)))</f>
        <v/>
      </c>
      <c r="N190" t="str">
        <f>IF(OR('Base Encuesta'!T164="",IFERROR(VALUE(LEFT('Base Encuesta'!K164,1)),"")&gt;=3),"",VALUE(LEFT('Base Encuesta'!T164,1)))</f>
        <v/>
      </c>
      <c r="O190" t="str">
        <f>IF(OR('Base Encuesta'!V164="",IFERROR(VALUE(LEFT('Base Encuesta'!K164,1)),"")&gt;=3),"",VALUE(LEFT('Base Encuesta'!V164,1)))</f>
        <v/>
      </c>
      <c r="P190" t="str">
        <f>IF(OR('Base Encuesta'!W164="",IFERROR(VALUE(LEFT('Base Encuesta'!K164,1)),"")&gt;=3),"",VALUE(LEFT('Base Encuesta'!W164,1)))</f>
        <v/>
      </c>
      <c r="Q190" t="str">
        <f>IF(OR('Base Encuesta'!X164="",IFERROR(VALUE(LEFT('Base Encuesta'!K164,1)),"")&gt;=3),"",VALUE(LEFT('Base Encuesta'!X164,1)))</f>
        <v/>
      </c>
      <c r="R190" t="str">
        <f>IF(OR('Base Encuesta'!Y164="",IFERROR(VALUE(LEFT('Base Encuesta'!K164,1)),"")&gt;=3),"",VALUE(LEFT('Base Encuesta'!Y164,1)))</f>
        <v/>
      </c>
      <c r="S190" t="str">
        <f>IF(OR('Base Encuesta'!Z164="",IFERROR(VALUE(LEFT('Base Encuesta'!K164,1)),"")&gt;=3),"",VALUE(LEFT('Base Encuesta'!Z164,1)))</f>
        <v/>
      </c>
      <c r="T190" t="str">
        <f>IF(OR('Base Encuesta'!AA164="",IFERROR(VALUE(LEFT('Base Encuesta'!K164,1)),"")&gt;=3),"",VALUE(LEFT('Base Encuesta'!AA164,1)))</f>
        <v/>
      </c>
      <c r="U190" t="str">
        <f>IF(OR('Base Encuesta'!AB164="",IFERROR(VALUE(LEFT('Base Encuesta'!K164,1)),"")&gt;=3),"",VALUE(LEFT('Base Encuesta'!AB164,1)))</f>
        <v/>
      </c>
      <c r="V190" t="str">
        <f>IF(OR('Base Encuesta'!AC164="",IFERROR(VALUE(LEFT('Base Encuesta'!K164,1)),"")&gt;=3),"",VALUE(LEFT('Base Encuesta'!AC164,1)))</f>
        <v/>
      </c>
      <c r="W190" t="str">
        <f>IF(OR('Base Encuesta'!AE164="",IFERROR(VALUE(LEFT('Base Encuesta'!K164,1)),"")&gt;=3),"",VALUE(LEFT('Base Encuesta'!AE164,1)))</f>
        <v/>
      </c>
      <c r="X190" t="str">
        <f>IF(OR('Base Encuesta'!AF164="",IFERROR(VALUE(LEFT('Base Encuesta'!K164,1)),"")&gt;=3),"",IF(W190=1,VALUE(LEFT('Base Encuesta'!AF164,1)),""))</f>
        <v/>
      </c>
      <c r="Y190" t="str">
        <f>IF(OR('Base Encuesta'!AG164="",IFERROR(VALUE(LEFT('Base Encuesta'!K164,1)),"")&gt;=3),"",IF(W190=1,VALUE(LEFT('Base Encuesta'!AG164,1)),""))</f>
        <v/>
      </c>
      <c r="Z190" t="str">
        <f>IF(OR('Base Encuesta'!AH164="",IFERROR(VALUE(LEFT('Base Encuesta'!K164,1)),"")&gt;=3),"",IF(W190=1,VALUE(LEFT('Base Encuesta'!AH164,1)),""))</f>
        <v/>
      </c>
      <c r="AA190" t="str">
        <f>IF(OR('Base Encuesta'!AI164="",IFERROR(VALUE(LEFT('Base Encuesta'!K164,1)),"")&gt;=3),"",IF(W190=1,VALUE(LEFT('Base Encuesta'!AI164,1)),""))</f>
        <v/>
      </c>
      <c r="AB190" t="str">
        <f>IF(OR('Base Encuesta'!AJ164="",IFERROR(VALUE(LEFT('Base Encuesta'!K164,1)),"")&gt;=3),"",IF(W190=1,VALUE(LEFT('Base Encuesta'!AJ164,1)),""))</f>
        <v/>
      </c>
      <c r="AC190" t="str">
        <f>IF(OR('Base Encuesta'!AL164="",IFERROR(VALUE(LEFT('Base Encuesta'!K164,1)),"")&gt;=3),"",VALUE(LEFT('Base Encuesta'!AL164,1)))</f>
        <v/>
      </c>
      <c r="AD190" t="str">
        <f>IF(OR('Base Encuesta'!AM164="",IFERROR(VALUE(LEFT('Base Encuesta'!K164,1)),"")&gt;=3),"",VALUE(LEFT('Base Encuesta'!AM164,1)))</f>
        <v/>
      </c>
      <c r="AE190" t="str">
        <f>IF(OR('Base Encuesta'!AN164="",IFERROR(VALUE(LEFT('Base Encuesta'!K164,1)),"")&gt;=3),"",VALUE(LEFT('Base Encuesta'!AN164,1)))</f>
        <v/>
      </c>
      <c r="AF190" t="str">
        <f>IF(OR('Base Encuesta'!AO164="",IFERROR(VALUE(LEFT('Base Encuesta'!K164,1)),"")&gt;=3),"",VALUE(LEFT('Base Encuesta'!AO164,1)))</f>
        <v/>
      </c>
      <c r="AG190" t="str">
        <f>IF(OR('Base Encuesta'!AQ164="",IFERROR(VALUE(LEFT('Base Encuesta'!K164,1)),"")&gt;=3),"",VALUE(LEFT('Base Encuesta'!AQ164,1)))</f>
        <v/>
      </c>
      <c r="AH190" t="str">
        <f>IF(OR('Base Encuesta'!AR164="",IFERROR(VALUE(LEFT('Base Encuesta'!K164,1)),"")&gt;=3),"",VALUE(LEFT('Base Encuesta'!AR164,1)))</f>
        <v/>
      </c>
    </row>
    <row r="191" spans="1:34">
      <c r="A191" t="str">
        <f>IF('Base Encuesta'!C165="","",'Base Encuesta'!C165)</f>
        <v/>
      </c>
      <c r="B191" t="str">
        <f>IF('Base Encuesta'!D165="","",'Base Encuesta'!D165)</f>
        <v/>
      </c>
      <c r="C191" t="str">
        <f>IF('Base Encuesta'!E165="","",'Base Encuesta'!E165)</f>
        <v/>
      </c>
      <c r="D191" t="str">
        <f>IF('Base Encuesta'!F165="","",'Base Encuesta'!F165)</f>
        <v/>
      </c>
      <c r="E191" t="str">
        <f>IF('Base Encuesta'!G165="","",'Base Encuesta'!G165)</f>
        <v/>
      </c>
      <c r="F191" t="str">
        <f>IF('Base Encuesta'!H165="","",'Base Encuesta'!H165)</f>
        <v/>
      </c>
      <c r="G191" t="str">
        <f>IF('Base Encuesta'!I165="","",'Base Encuesta'!I165)</f>
        <v/>
      </c>
      <c r="H191" t="str">
        <f>IF('Base Encuesta'!J165="","",'Base Encuesta'!J165)</f>
        <v/>
      </c>
      <c r="I191" t="str">
        <f>IF('Base Encuesta'!K165="","",'Base Encuesta'!K165)</f>
        <v/>
      </c>
      <c r="J191" t="str">
        <f>IF(OR('Base Encuesta'!P165="",IFERROR(VALUE(LEFT('Base Encuesta'!K165,1)),"")&gt;=3),"",PROPER(TRIM('Base Encuesta'!P165)))</f>
        <v/>
      </c>
      <c r="K191" t="str">
        <f>IF(OR('Base Encuesta'!Q165="",IFERROR(VALUE(LEFT('Base Encuesta'!K165,1)),"")&gt;=3),"",'Base Encuesta'!Q165)</f>
        <v/>
      </c>
      <c r="L191" t="str">
        <f>IF(OR('Base Encuesta'!R165="",IFERROR(VALUE(LEFT('Base Encuesta'!K165,1)),"")&gt;=3),"",VALUE(LEFT('Base Encuesta'!R165,1)))</f>
        <v/>
      </c>
      <c r="M191" t="str">
        <f>IF(OR('Base Encuesta'!S165="",IFERROR(VALUE(LEFT('Base Encuesta'!K165,1)),"")&gt;=3),"",VALUE(LEFT('Base Encuesta'!S165,1)))</f>
        <v/>
      </c>
      <c r="N191" t="str">
        <f>IF(OR('Base Encuesta'!T165="",IFERROR(VALUE(LEFT('Base Encuesta'!K165,1)),"")&gt;=3),"",VALUE(LEFT('Base Encuesta'!T165,1)))</f>
        <v/>
      </c>
      <c r="O191" t="str">
        <f>IF(OR('Base Encuesta'!V165="",IFERROR(VALUE(LEFT('Base Encuesta'!K165,1)),"")&gt;=3),"",VALUE(LEFT('Base Encuesta'!V165,1)))</f>
        <v/>
      </c>
      <c r="P191" t="str">
        <f>IF(OR('Base Encuesta'!W165="",IFERROR(VALUE(LEFT('Base Encuesta'!K165,1)),"")&gt;=3),"",VALUE(LEFT('Base Encuesta'!W165,1)))</f>
        <v/>
      </c>
      <c r="Q191" t="str">
        <f>IF(OR('Base Encuesta'!X165="",IFERROR(VALUE(LEFT('Base Encuesta'!K165,1)),"")&gt;=3),"",VALUE(LEFT('Base Encuesta'!X165,1)))</f>
        <v/>
      </c>
      <c r="R191" t="str">
        <f>IF(OR('Base Encuesta'!Y165="",IFERROR(VALUE(LEFT('Base Encuesta'!K165,1)),"")&gt;=3),"",VALUE(LEFT('Base Encuesta'!Y165,1)))</f>
        <v/>
      </c>
      <c r="S191" t="str">
        <f>IF(OR('Base Encuesta'!Z165="",IFERROR(VALUE(LEFT('Base Encuesta'!K165,1)),"")&gt;=3),"",VALUE(LEFT('Base Encuesta'!Z165,1)))</f>
        <v/>
      </c>
      <c r="T191" t="str">
        <f>IF(OR('Base Encuesta'!AA165="",IFERROR(VALUE(LEFT('Base Encuesta'!K165,1)),"")&gt;=3),"",VALUE(LEFT('Base Encuesta'!AA165,1)))</f>
        <v/>
      </c>
      <c r="U191" t="str">
        <f>IF(OR('Base Encuesta'!AB165="",IFERROR(VALUE(LEFT('Base Encuesta'!K165,1)),"")&gt;=3),"",VALUE(LEFT('Base Encuesta'!AB165,1)))</f>
        <v/>
      </c>
      <c r="V191" t="str">
        <f>IF(OR('Base Encuesta'!AC165="",IFERROR(VALUE(LEFT('Base Encuesta'!K165,1)),"")&gt;=3),"",VALUE(LEFT('Base Encuesta'!AC165,1)))</f>
        <v/>
      </c>
      <c r="W191" t="str">
        <f>IF(OR('Base Encuesta'!AE165="",IFERROR(VALUE(LEFT('Base Encuesta'!K165,1)),"")&gt;=3),"",VALUE(LEFT('Base Encuesta'!AE165,1)))</f>
        <v/>
      </c>
      <c r="X191" t="str">
        <f>IF(OR('Base Encuesta'!AF165="",IFERROR(VALUE(LEFT('Base Encuesta'!K165,1)),"")&gt;=3),"",IF(W191=1,VALUE(LEFT('Base Encuesta'!AF165,1)),""))</f>
        <v/>
      </c>
      <c r="Y191" t="str">
        <f>IF(OR('Base Encuesta'!AG165="",IFERROR(VALUE(LEFT('Base Encuesta'!K165,1)),"")&gt;=3),"",IF(W191=1,VALUE(LEFT('Base Encuesta'!AG165,1)),""))</f>
        <v/>
      </c>
      <c r="Z191" t="str">
        <f>IF(OR('Base Encuesta'!AH165="",IFERROR(VALUE(LEFT('Base Encuesta'!K165,1)),"")&gt;=3),"",IF(W191=1,VALUE(LEFT('Base Encuesta'!AH165,1)),""))</f>
        <v/>
      </c>
      <c r="AA191" t="str">
        <f>IF(OR('Base Encuesta'!AI165="",IFERROR(VALUE(LEFT('Base Encuesta'!K165,1)),"")&gt;=3),"",IF(W191=1,VALUE(LEFT('Base Encuesta'!AI165,1)),""))</f>
        <v/>
      </c>
      <c r="AB191" t="str">
        <f>IF(OR('Base Encuesta'!AJ165="",IFERROR(VALUE(LEFT('Base Encuesta'!K165,1)),"")&gt;=3),"",IF(W191=1,VALUE(LEFT('Base Encuesta'!AJ165,1)),""))</f>
        <v/>
      </c>
      <c r="AC191" t="str">
        <f>IF(OR('Base Encuesta'!AL165="",IFERROR(VALUE(LEFT('Base Encuesta'!K165,1)),"")&gt;=3),"",VALUE(LEFT('Base Encuesta'!AL165,1)))</f>
        <v/>
      </c>
      <c r="AD191" t="str">
        <f>IF(OR('Base Encuesta'!AM165="",IFERROR(VALUE(LEFT('Base Encuesta'!K165,1)),"")&gt;=3),"",VALUE(LEFT('Base Encuesta'!AM165,1)))</f>
        <v/>
      </c>
      <c r="AE191" t="str">
        <f>IF(OR('Base Encuesta'!AN165="",IFERROR(VALUE(LEFT('Base Encuesta'!K165,1)),"")&gt;=3),"",VALUE(LEFT('Base Encuesta'!AN165,1)))</f>
        <v/>
      </c>
      <c r="AF191" t="str">
        <f>IF(OR('Base Encuesta'!AO165="",IFERROR(VALUE(LEFT('Base Encuesta'!K165,1)),"")&gt;=3),"",VALUE(LEFT('Base Encuesta'!AO165,1)))</f>
        <v/>
      </c>
      <c r="AG191" t="str">
        <f>IF(OR('Base Encuesta'!AQ165="",IFERROR(VALUE(LEFT('Base Encuesta'!K165,1)),"")&gt;=3),"",VALUE(LEFT('Base Encuesta'!AQ165,1)))</f>
        <v/>
      </c>
      <c r="AH191" t="str">
        <f>IF(OR('Base Encuesta'!AR165="",IFERROR(VALUE(LEFT('Base Encuesta'!K165,1)),"")&gt;=3),"",VALUE(LEFT('Base Encuesta'!AR165,1)))</f>
        <v/>
      </c>
    </row>
    <row r="192" spans="1:34">
      <c r="A192" t="str">
        <f>IF('Base Encuesta'!C166="","",'Base Encuesta'!C166)</f>
        <v/>
      </c>
      <c r="B192" t="str">
        <f>IF('Base Encuesta'!D166="","",'Base Encuesta'!D166)</f>
        <v/>
      </c>
      <c r="C192" t="str">
        <f>IF('Base Encuesta'!E166="","",'Base Encuesta'!E166)</f>
        <v/>
      </c>
      <c r="D192" t="str">
        <f>IF('Base Encuesta'!F166="","",'Base Encuesta'!F166)</f>
        <v/>
      </c>
      <c r="E192" t="str">
        <f>IF('Base Encuesta'!G166="","",'Base Encuesta'!G166)</f>
        <v/>
      </c>
      <c r="F192" t="str">
        <f>IF('Base Encuesta'!H166="","",'Base Encuesta'!H166)</f>
        <v/>
      </c>
      <c r="G192" t="str">
        <f>IF('Base Encuesta'!I166="","",'Base Encuesta'!I166)</f>
        <v/>
      </c>
      <c r="H192" t="str">
        <f>IF('Base Encuesta'!J166="","",'Base Encuesta'!J166)</f>
        <v/>
      </c>
      <c r="I192" t="str">
        <f>IF('Base Encuesta'!K166="","",'Base Encuesta'!K166)</f>
        <v/>
      </c>
      <c r="J192" t="str">
        <f>IF(OR('Base Encuesta'!P166="",IFERROR(VALUE(LEFT('Base Encuesta'!K166,1)),"")&gt;=3),"",PROPER(TRIM('Base Encuesta'!P166)))</f>
        <v/>
      </c>
      <c r="K192" t="str">
        <f>IF(OR('Base Encuesta'!Q166="",IFERROR(VALUE(LEFT('Base Encuesta'!K166,1)),"")&gt;=3),"",'Base Encuesta'!Q166)</f>
        <v/>
      </c>
      <c r="L192" t="str">
        <f>IF(OR('Base Encuesta'!R166="",IFERROR(VALUE(LEFT('Base Encuesta'!K166,1)),"")&gt;=3),"",VALUE(LEFT('Base Encuesta'!R166,1)))</f>
        <v/>
      </c>
      <c r="M192" t="str">
        <f>IF(OR('Base Encuesta'!S166="",IFERROR(VALUE(LEFT('Base Encuesta'!K166,1)),"")&gt;=3),"",VALUE(LEFT('Base Encuesta'!S166,1)))</f>
        <v/>
      </c>
      <c r="N192" t="str">
        <f>IF(OR('Base Encuesta'!T166="",IFERROR(VALUE(LEFT('Base Encuesta'!K166,1)),"")&gt;=3),"",VALUE(LEFT('Base Encuesta'!T166,1)))</f>
        <v/>
      </c>
      <c r="O192" t="str">
        <f>IF(OR('Base Encuesta'!V166="",IFERROR(VALUE(LEFT('Base Encuesta'!K166,1)),"")&gt;=3),"",VALUE(LEFT('Base Encuesta'!V166,1)))</f>
        <v/>
      </c>
      <c r="P192" t="str">
        <f>IF(OR('Base Encuesta'!W166="",IFERROR(VALUE(LEFT('Base Encuesta'!K166,1)),"")&gt;=3),"",VALUE(LEFT('Base Encuesta'!W166,1)))</f>
        <v/>
      </c>
      <c r="Q192" t="str">
        <f>IF(OR('Base Encuesta'!X166="",IFERROR(VALUE(LEFT('Base Encuesta'!K166,1)),"")&gt;=3),"",VALUE(LEFT('Base Encuesta'!X166,1)))</f>
        <v/>
      </c>
      <c r="R192" t="str">
        <f>IF(OR('Base Encuesta'!Y166="",IFERROR(VALUE(LEFT('Base Encuesta'!K166,1)),"")&gt;=3),"",VALUE(LEFT('Base Encuesta'!Y166,1)))</f>
        <v/>
      </c>
      <c r="S192" t="str">
        <f>IF(OR('Base Encuesta'!Z166="",IFERROR(VALUE(LEFT('Base Encuesta'!K166,1)),"")&gt;=3),"",VALUE(LEFT('Base Encuesta'!Z166,1)))</f>
        <v/>
      </c>
      <c r="T192" t="str">
        <f>IF(OR('Base Encuesta'!AA166="",IFERROR(VALUE(LEFT('Base Encuesta'!K166,1)),"")&gt;=3),"",VALUE(LEFT('Base Encuesta'!AA166,1)))</f>
        <v/>
      </c>
      <c r="U192" t="str">
        <f>IF(OR('Base Encuesta'!AB166="",IFERROR(VALUE(LEFT('Base Encuesta'!K166,1)),"")&gt;=3),"",VALUE(LEFT('Base Encuesta'!AB166,1)))</f>
        <v/>
      </c>
      <c r="V192" t="str">
        <f>IF(OR('Base Encuesta'!AC166="",IFERROR(VALUE(LEFT('Base Encuesta'!K166,1)),"")&gt;=3),"",VALUE(LEFT('Base Encuesta'!AC166,1)))</f>
        <v/>
      </c>
      <c r="W192" t="str">
        <f>IF(OR('Base Encuesta'!AE166="",IFERROR(VALUE(LEFT('Base Encuesta'!K166,1)),"")&gt;=3),"",VALUE(LEFT('Base Encuesta'!AE166,1)))</f>
        <v/>
      </c>
      <c r="X192" t="str">
        <f>IF(OR('Base Encuesta'!AF166="",IFERROR(VALUE(LEFT('Base Encuesta'!K166,1)),"")&gt;=3),"",IF(W192=1,VALUE(LEFT('Base Encuesta'!AF166,1)),""))</f>
        <v/>
      </c>
      <c r="Y192" t="str">
        <f>IF(OR('Base Encuesta'!AG166="",IFERROR(VALUE(LEFT('Base Encuesta'!K166,1)),"")&gt;=3),"",IF(W192=1,VALUE(LEFT('Base Encuesta'!AG166,1)),""))</f>
        <v/>
      </c>
      <c r="Z192" t="str">
        <f>IF(OR('Base Encuesta'!AH166="",IFERROR(VALUE(LEFT('Base Encuesta'!K166,1)),"")&gt;=3),"",IF(W192=1,VALUE(LEFT('Base Encuesta'!AH166,1)),""))</f>
        <v/>
      </c>
      <c r="AA192" t="str">
        <f>IF(OR('Base Encuesta'!AI166="",IFERROR(VALUE(LEFT('Base Encuesta'!K166,1)),"")&gt;=3),"",IF(W192=1,VALUE(LEFT('Base Encuesta'!AI166,1)),""))</f>
        <v/>
      </c>
      <c r="AB192" t="str">
        <f>IF(OR('Base Encuesta'!AJ166="",IFERROR(VALUE(LEFT('Base Encuesta'!K166,1)),"")&gt;=3),"",IF(W192=1,VALUE(LEFT('Base Encuesta'!AJ166,1)),""))</f>
        <v/>
      </c>
      <c r="AC192" t="str">
        <f>IF(OR('Base Encuesta'!AL166="",IFERROR(VALUE(LEFT('Base Encuesta'!K166,1)),"")&gt;=3),"",VALUE(LEFT('Base Encuesta'!AL166,1)))</f>
        <v/>
      </c>
      <c r="AD192" t="str">
        <f>IF(OR('Base Encuesta'!AM166="",IFERROR(VALUE(LEFT('Base Encuesta'!K166,1)),"")&gt;=3),"",VALUE(LEFT('Base Encuesta'!AM166,1)))</f>
        <v/>
      </c>
      <c r="AE192" t="str">
        <f>IF(OR('Base Encuesta'!AN166="",IFERROR(VALUE(LEFT('Base Encuesta'!K166,1)),"")&gt;=3),"",VALUE(LEFT('Base Encuesta'!AN166,1)))</f>
        <v/>
      </c>
      <c r="AF192" t="str">
        <f>IF(OR('Base Encuesta'!AO166="",IFERROR(VALUE(LEFT('Base Encuesta'!K166,1)),"")&gt;=3),"",VALUE(LEFT('Base Encuesta'!AO166,1)))</f>
        <v/>
      </c>
      <c r="AG192" t="str">
        <f>IF(OR('Base Encuesta'!AQ166="",IFERROR(VALUE(LEFT('Base Encuesta'!K166,1)),"")&gt;=3),"",VALUE(LEFT('Base Encuesta'!AQ166,1)))</f>
        <v/>
      </c>
      <c r="AH192" t="str">
        <f>IF(OR('Base Encuesta'!AR166="",IFERROR(VALUE(LEFT('Base Encuesta'!K166,1)),"")&gt;=3),"",VALUE(LEFT('Base Encuesta'!AR166,1)))</f>
        <v/>
      </c>
    </row>
    <row r="193" spans="1:34">
      <c r="A193" t="str">
        <f>IF('Base Encuesta'!C167="","",'Base Encuesta'!C167)</f>
        <v/>
      </c>
      <c r="B193" t="str">
        <f>IF('Base Encuesta'!D167="","",'Base Encuesta'!D167)</f>
        <v/>
      </c>
      <c r="C193" t="str">
        <f>IF('Base Encuesta'!E167="","",'Base Encuesta'!E167)</f>
        <v/>
      </c>
      <c r="D193" t="str">
        <f>IF('Base Encuesta'!F167="","",'Base Encuesta'!F167)</f>
        <v/>
      </c>
      <c r="E193" t="str">
        <f>IF('Base Encuesta'!G167="","",'Base Encuesta'!G167)</f>
        <v/>
      </c>
      <c r="F193" t="str">
        <f>IF('Base Encuesta'!H167="","",'Base Encuesta'!H167)</f>
        <v/>
      </c>
      <c r="G193" t="str">
        <f>IF('Base Encuesta'!I167="","",'Base Encuesta'!I167)</f>
        <v/>
      </c>
      <c r="H193" t="str">
        <f>IF('Base Encuesta'!J167="","",'Base Encuesta'!J167)</f>
        <v/>
      </c>
      <c r="I193" t="str">
        <f>IF('Base Encuesta'!K167="","",'Base Encuesta'!K167)</f>
        <v/>
      </c>
      <c r="J193" t="str">
        <f>IF(OR('Base Encuesta'!P167="",IFERROR(VALUE(LEFT('Base Encuesta'!K167,1)),"")&gt;=3),"",PROPER(TRIM('Base Encuesta'!P167)))</f>
        <v/>
      </c>
      <c r="K193" t="str">
        <f>IF(OR('Base Encuesta'!Q167="",IFERROR(VALUE(LEFT('Base Encuesta'!K167,1)),"")&gt;=3),"",'Base Encuesta'!Q167)</f>
        <v/>
      </c>
      <c r="L193" t="str">
        <f>IF(OR('Base Encuesta'!R167="",IFERROR(VALUE(LEFT('Base Encuesta'!K167,1)),"")&gt;=3),"",VALUE(LEFT('Base Encuesta'!R167,1)))</f>
        <v/>
      </c>
      <c r="M193" t="str">
        <f>IF(OR('Base Encuesta'!S167="",IFERROR(VALUE(LEFT('Base Encuesta'!K167,1)),"")&gt;=3),"",VALUE(LEFT('Base Encuesta'!S167,1)))</f>
        <v/>
      </c>
      <c r="N193" t="str">
        <f>IF(OR('Base Encuesta'!T167="",IFERROR(VALUE(LEFT('Base Encuesta'!K167,1)),"")&gt;=3),"",VALUE(LEFT('Base Encuesta'!T167,1)))</f>
        <v/>
      </c>
      <c r="O193" t="str">
        <f>IF(OR('Base Encuesta'!V167="",IFERROR(VALUE(LEFT('Base Encuesta'!K167,1)),"")&gt;=3),"",VALUE(LEFT('Base Encuesta'!V167,1)))</f>
        <v/>
      </c>
      <c r="P193" t="str">
        <f>IF(OR('Base Encuesta'!W167="",IFERROR(VALUE(LEFT('Base Encuesta'!K167,1)),"")&gt;=3),"",VALUE(LEFT('Base Encuesta'!W167,1)))</f>
        <v/>
      </c>
      <c r="Q193" t="str">
        <f>IF(OR('Base Encuesta'!X167="",IFERROR(VALUE(LEFT('Base Encuesta'!K167,1)),"")&gt;=3),"",VALUE(LEFT('Base Encuesta'!X167,1)))</f>
        <v/>
      </c>
      <c r="R193" t="str">
        <f>IF(OR('Base Encuesta'!Y167="",IFERROR(VALUE(LEFT('Base Encuesta'!K167,1)),"")&gt;=3),"",VALUE(LEFT('Base Encuesta'!Y167,1)))</f>
        <v/>
      </c>
      <c r="S193" t="str">
        <f>IF(OR('Base Encuesta'!Z167="",IFERROR(VALUE(LEFT('Base Encuesta'!K167,1)),"")&gt;=3),"",VALUE(LEFT('Base Encuesta'!Z167,1)))</f>
        <v/>
      </c>
      <c r="T193" t="str">
        <f>IF(OR('Base Encuesta'!AA167="",IFERROR(VALUE(LEFT('Base Encuesta'!K167,1)),"")&gt;=3),"",VALUE(LEFT('Base Encuesta'!AA167,1)))</f>
        <v/>
      </c>
      <c r="U193" t="str">
        <f>IF(OR('Base Encuesta'!AB167="",IFERROR(VALUE(LEFT('Base Encuesta'!K167,1)),"")&gt;=3),"",VALUE(LEFT('Base Encuesta'!AB167,1)))</f>
        <v/>
      </c>
      <c r="V193" t="str">
        <f>IF(OR('Base Encuesta'!AC167="",IFERROR(VALUE(LEFT('Base Encuesta'!K167,1)),"")&gt;=3),"",VALUE(LEFT('Base Encuesta'!AC167,1)))</f>
        <v/>
      </c>
      <c r="W193" t="str">
        <f>IF(OR('Base Encuesta'!AE167="",IFERROR(VALUE(LEFT('Base Encuesta'!K167,1)),"")&gt;=3),"",VALUE(LEFT('Base Encuesta'!AE167,1)))</f>
        <v/>
      </c>
      <c r="X193" t="str">
        <f>IF(OR('Base Encuesta'!AF167="",IFERROR(VALUE(LEFT('Base Encuesta'!K167,1)),"")&gt;=3),"",IF(W193=1,VALUE(LEFT('Base Encuesta'!AF167,1)),""))</f>
        <v/>
      </c>
      <c r="Y193" t="str">
        <f>IF(OR('Base Encuesta'!AG167="",IFERROR(VALUE(LEFT('Base Encuesta'!K167,1)),"")&gt;=3),"",IF(W193=1,VALUE(LEFT('Base Encuesta'!AG167,1)),""))</f>
        <v/>
      </c>
      <c r="Z193" t="str">
        <f>IF(OR('Base Encuesta'!AH167="",IFERROR(VALUE(LEFT('Base Encuesta'!K167,1)),"")&gt;=3),"",IF(W193=1,VALUE(LEFT('Base Encuesta'!AH167,1)),""))</f>
        <v/>
      </c>
      <c r="AA193" t="str">
        <f>IF(OR('Base Encuesta'!AI167="",IFERROR(VALUE(LEFT('Base Encuesta'!K167,1)),"")&gt;=3),"",IF(W193=1,VALUE(LEFT('Base Encuesta'!AI167,1)),""))</f>
        <v/>
      </c>
      <c r="AB193" t="str">
        <f>IF(OR('Base Encuesta'!AJ167="",IFERROR(VALUE(LEFT('Base Encuesta'!K167,1)),"")&gt;=3),"",IF(W193=1,VALUE(LEFT('Base Encuesta'!AJ167,1)),""))</f>
        <v/>
      </c>
      <c r="AC193" t="str">
        <f>IF(OR('Base Encuesta'!AL167="",IFERROR(VALUE(LEFT('Base Encuesta'!K167,1)),"")&gt;=3),"",VALUE(LEFT('Base Encuesta'!AL167,1)))</f>
        <v/>
      </c>
      <c r="AD193" t="str">
        <f>IF(OR('Base Encuesta'!AM167="",IFERROR(VALUE(LEFT('Base Encuesta'!K167,1)),"")&gt;=3),"",VALUE(LEFT('Base Encuesta'!AM167,1)))</f>
        <v/>
      </c>
      <c r="AE193" t="str">
        <f>IF(OR('Base Encuesta'!AN167="",IFERROR(VALUE(LEFT('Base Encuesta'!K167,1)),"")&gt;=3),"",VALUE(LEFT('Base Encuesta'!AN167,1)))</f>
        <v/>
      </c>
      <c r="AF193" t="str">
        <f>IF(OR('Base Encuesta'!AO167="",IFERROR(VALUE(LEFT('Base Encuesta'!K167,1)),"")&gt;=3),"",VALUE(LEFT('Base Encuesta'!AO167,1)))</f>
        <v/>
      </c>
      <c r="AG193" t="str">
        <f>IF(OR('Base Encuesta'!AQ167="",IFERROR(VALUE(LEFT('Base Encuesta'!K167,1)),"")&gt;=3),"",VALUE(LEFT('Base Encuesta'!AQ167,1)))</f>
        <v/>
      </c>
      <c r="AH193" t="str">
        <f>IF(OR('Base Encuesta'!AR167="",IFERROR(VALUE(LEFT('Base Encuesta'!K167,1)),"")&gt;=3),"",VALUE(LEFT('Base Encuesta'!AR167,1)))</f>
        <v/>
      </c>
    </row>
    <row r="194" spans="1:34">
      <c r="A194" t="str">
        <f>IF('Base Encuesta'!C168="","",'Base Encuesta'!C168)</f>
        <v/>
      </c>
      <c r="B194" t="str">
        <f>IF('Base Encuesta'!D168="","",'Base Encuesta'!D168)</f>
        <v/>
      </c>
      <c r="C194" t="str">
        <f>IF('Base Encuesta'!E168="","",'Base Encuesta'!E168)</f>
        <v/>
      </c>
      <c r="D194" t="str">
        <f>IF('Base Encuesta'!F168="","",'Base Encuesta'!F168)</f>
        <v/>
      </c>
      <c r="E194" t="str">
        <f>IF('Base Encuesta'!G168="","",'Base Encuesta'!G168)</f>
        <v/>
      </c>
      <c r="F194" t="str">
        <f>IF('Base Encuesta'!H168="","",'Base Encuesta'!H168)</f>
        <v/>
      </c>
      <c r="G194" t="str">
        <f>IF('Base Encuesta'!I168="","",'Base Encuesta'!I168)</f>
        <v/>
      </c>
      <c r="H194" t="str">
        <f>IF('Base Encuesta'!J168="","",'Base Encuesta'!J168)</f>
        <v/>
      </c>
      <c r="I194" t="str">
        <f>IF('Base Encuesta'!K168="","",'Base Encuesta'!K168)</f>
        <v/>
      </c>
      <c r="J194" t="str">
        <f>IF(OR('Base Encuesta'!P168="",IFERROR(VALUE(LEFT('Base Encuesta'!K168,1)),"")&gt;=3),"",PROPER(TRIM('Base Encuesta'!P168)))</f>
        <v/>
      </c>
      <c r="K194" t="str">
        <f>IF(OR('Base Encuesta'!Q168="",IFERROR(VALUE(LEFT('Base Encuesta'!K168,1)),"")&gt;=3),"",'Base Encuesta'!Q168)</f>
        <v/>
      </c>
      <c r="L194" t="str">
        <f>IF(OR('Base Encuesta'!R168="",IFERROR(VALUE(LEFT('Base Encuesta'!K168,1)),"")&gt;=3),"",VALUE(LEFT('Base Encuesta'!R168,1)))</f>
        <v/>
      </c>
      <c r="M194" t="str">
        <f>IF(OR('Base Encuesta'!S168="",IFERROR(VALUE(LEFT('Base Encuesta'!K168,1)),"")&gt;=3),"",VALUE(LEFT('Base Encuesta'!S168,1)))</f>
        <v/>
      </c>
      <c r="N194" t="str">
        <f>IF(OR('Base Encuesta'!T168="",IFERROR(VALUE(LEFT('Base Encuesta'!K168,1)),"")&gt;=3),"",VALUE(LEFT('Base Encuesta'!T168,1)))</f>
        <v/>
      </c>
      <c r="O194" t="str">
        <f>IF(OR('Base Encuesta'!V168="",IFERROR(VALUE(LEFT('Base Encuesta'!K168,1)),"")&gt;=3),"",VALUE(LEFT('Base Encuesta'!V168,1)))</f>
        <v/>
      </c>
      <c r="P194" t="str">
        <f>IF(OR('Base Encuesta'!W168="",IFERROR(VALUE(LEFT('Base Encuesta'!K168,1)),"")&gt;=3),"",VALUE(LEFT('Base Encuesta'!W168,1)))</f>
        <v/>
      </c>
      <c r="Q194" t="str">
        <f>IF(OR('Base Encuesta'!X168="",IFERROR(VALUE(LEFT('Base Encuesta'!K168,1)),"")&gt;=3),"",VALUE(LEFT('Base Encuesta'!X168,1)))</f>
        <v/>
      </c>
      <c r="R194" t="str">
        <f>IF(OR('Base Encuesta'!Y168="",IFERROR(VALUE(LEFT('Base Encuesta'!K168,1)),"")&gt;=3),"",VALUE(LEFT('Base Encuesta'!Y168,1)))</f>
        <v/>
      </c>
      <c r="S194" t="str">
        <f>IF(OR('Base Encuesta'!Z168="",IFERROR(VALUE(LEFT('Base Encuesta'!K168,1)),"")&gt;=3),"",VALUE(LEFT('Base Encuesta'!Z168,1)))</f>
        <v/>
      </c>
      <c r="T194" t="str">
        <f>IF(OR('Base Encuesta'!AA168="",IFERROR(VALUE(LEFT('Base Encuesta'!K168,1)),"")&gt;=3),"",VALUE(LEFT('Base Encuesta'!AA168,1)))</f>
        <v/>
      </c>
      <c r="U194" t="str">
        <f>IF(OR('Base Encuesta'!AB168="",IFERROR(VALUE(LEFT('Base Encuesta'!K168,1)),"")&gt;=3),"",VALUE(LEFT('Base Encuesta'!AB168,1)))</f>
        <v/>
      </c>
      <c r="V194" t="str">
        <f>IF(OR('Base Encuesta'!AC168="",IFERROR(VALUE(LEFT('Base Encuesta'!K168,1)),"")&gt;=3),"",VALUE(LEFT('Base Encuesta'!AC168,1)))</f>
        <v/>
      </c>
      <c r="W194" t="str">
        <f>IF(OR('Base Encuesta'!AE168="",IFERROR(VALUE(LEFT('Base Encuesta'!K168,1)),"")&gt;=3),"",VALUE(LEFT('Base Encuesta'!AE168,1)))</f>
        <v/>
      </c>
      <c r="X194" t="str">
        <f>IF(OR('Base Encuesta'!AF168="",IFERROR(VALUE(LEFT('Base Encuesta'!K168,1)),"")&gt;=3),"",IF(W194=1,VALUE(LEFT('Base Encuesta'!AF168,1)),""))</f>
        <v/>
      </c>
      <c r="Y194" t="str">
        <f>IF(OR('Base Encuesta'!AG168="",IFERROR(VALUE(LEFT('Base Encuesta'!K168,1)),"")&gt;=3),"",IF(W194=1,VALUE(LEFT('Base Encuesta'!AG168,1)),""))</f>
        <v/>
      </c>
      <c r="Z194" t="str">
        <f>IF(OR('Base Encuesta'!AH168="",IFERROR(VALUE(LEFT('Base Encuesta'!K168,1)),"")&gt;=3),"",IF(W194=1,VALUE(LEFT('Base Encuesta'!AH168,1)),""))</f>
        <v/>
      </c>
      <c r="AA194" t="str">
        <f>IF(OR('Base Encuesta'!AI168="",IFERROR(VALUE(LEFT('Base Encuesta'!K168,1)),"")&gt;=3),"",IF(W194=1,VALUE(LEFT('Base Encuesta'!AI168,1)),""))</f>
        <v/>
      </c>
      <c r="AB194" t="str">
        <f>IF(OR('Base Encuesta'!AJ168="",IFERROR(VALUE(LEFT('Base Encuesta'!K168,1)),"")&gt;=3),"",IF(W194=1,VALUE(LEFT('Base Encuesta'!AJ168,1)),""))</f>
        <v/>
      </c>
      <c r="AC194" t="str">
        <f>IF(OR('Base Encuesta'!AL168="",IFERROR(VALUE(LEFT('Base Encuesta'!K168,1)),"")&gt;=3),"",VALUE(LEFT('Base Encuesta'!AL168,1)))</f>
        <v/>
      </c>
      <c r="AD194" t="str">
        <f>IF(OR('Base Encuesta'!AM168="",IFERROR(VALUE(LEFT('Base Encuesta'!K168,1)),"")&gt;=3),"",VALUE(LEFT('Base Encuesta'!AM168,1)))</f>
        <v/>
      </c>
      <c r="AE194" t="str">
        <f>IF(OR('Base Encuesta'!AN168="",IFERROR(VALUE(LEFT('Base Encuesta'!K168,1)),"")&gt;=3),"",VALUE(LEFT('Base Encuesta'!AN168,1)))</f>
        <v/>
      </c>
      <c r="AF194" t="str">
        <f>IF(OR('Base Encuesta'!AO168="",IFERROR(VALUE(LEFT('Base Encuesta'!K168,1)),"")&gt;=3),"",VALUE(LEFT('Base Encuesta'!AO168,1)))</f>
        <v/>
      </c>
      <c r="AG194" t="str">
        <f>IF(OR('Base Encuesta'!AQ168="",IFERROR(VALUE(LEFT('Base Encuesta'!K168,1)),"")&gt;=3),"",VALUE(LEFT('Base Encuesta'!AQ168,1)))</f>
        <v/>
      </c>
      <c r="AH194" t="str">
        <f>IF(OR('Base Encuesta'!AR168="",IFERROR(VALUE(LEFT('Base Encuesta'!K168,1)),"")&gt;=3),"",VALUE(LEFT('Base Encuesta'!AR168,1)))</f>
        <v/>
      </c>
    </row>
    <row r="195" spans="1:34">
      <c r="A195" t="str">
        <f>IF('Base Encuesta'!C169="","",'Base Encuesta'!C169)</f>
        <v/>
      </c>
      <c r="B195" t="str">
        <f>IF('Base Encuesta'!D169="","",'Base Encuesta'!D169)</f>
        <v/>
      </c>
      <c r="C195" t="str">
        <f>IF('Base Encuesta'!E169="","",'Base Encuesta'!E169)</f>
        <v/>
      </c>
      <c r="D195" t="str">
        <f>IF('Base Encuesta'!F169="","",'Base Encuesta'!F169)</f>
        <v/>
      </c>
      <c r="E195" t="str">
        <f>IF('Base Encuesta'!G169="","",'Base Encuesta'!G169)</f>
        <v/>
      </c>
      <c r="F195" t="str">
        <f>IF('Base Encuesta'!H169="","",'Base Encuesta'!H169)</f>
        <v/>
      </c>
      <c r="G195" t="str">
        <f>IF('Base Encuesta'!I169="","",'Base Encuesta'!I169)</f>
        <v/>
      </c>
      <c r="H195" t="str">
        <f>IF('Base Encuesta'!J169="","",'Base Encuesta'!J169)</f>
        <v/>
      </c>
      <c r="I195" t="str">
        <f>IF('Base Encuesta'!K169="","",'Base Encuesta'!K169)</f>
        <v/>
      </c>
      <c r="J195" t="str">
        <f>IF(OR('Base Encuesta'!P169="",IFERROR(VALUE(LEFT('Base Encuesta'!K169,1)),"")&gt;=3),"",PROPER(TRIM('Base Encuesta'!P169)))</f>
        <v/>
      </c>
      <c r="K195" t="str">
        <f>IF(OR('Base Encuesta'!Q169="",IFERROR(VALUE(LEFT('Base Encuesta'!K169,1)),"")&gt;=3),"",'Base Encuesta'!Q169)</f>
        <v/>
      </c>
      <c r="L195" t="str">
        <f>IF(OR('Base Encuesta'!R169="",IFERROR(VALUE(LEFT('Base Encuesta'!K169,1)),"")&gt;=3),"",VALUE(LEFT('Base Encuesta'!R169,1)))</f>
        <v/>
      </c>
      <c r="M195" t="str">
        <f>IF(OR('Base Encuesta'!S169="",IFERROR(VALUE(LEFT('Base Encuesta'!K169,1)),"")&gt;=3),"",VALUE(LEFT('Base Encuesta'!S169,1)))</f>
        <v/>
      </c>
      <c r="N195" t="str">
        <f>IF(OR('Base Encuesta'!T169="",IFERROR(VALUE(LEFT('Base Encuesta'!K169,1)),"")&gt;=3),"",VALUE(LEFT('Base Encuesta'!T169,1)))</f>
        <v/>
      </c>
      <c r="O195" t="str">
        <f>IF(OR('Base Encuesta'!V169="",IFERROR(VALUE(LEFT('Base Encuesta'!K169,1)),"")&gt;=3),"",VALUE(LEFT('Base Encuesta'!V169,1)))</f>
        <v/>
      </c>
      <c r="P195" t="str">
        <f>IF(OR('Base Encuesta'!W169="",IFERROR(VALUE(LEFT('Base Encuesta'!K169,1)),"")&gt;=3),"",VALUE(LEFT('Base Encuesta'!W169,1)))</f>
        <v/>
      </c>
      <c r="Q195" t="str">
        <f>IF(OR('Base Encuesta'!X169="",IFERROR(VALUE(LEFT('Base Encuesta'!K169,1)),"")&gt;=3),"",VALUE(LEFT('Base Encuesta'!X169,1)))</f>
        <v/>
      </c>
      <c r="R195" t="str">
        <f>IF(OR('Base Encuesta'!Y169="",IFERROR(VALUE(LEFT('Base Encuesta'!K169,1)),"")&gt;=3),"",VALUE(LEFT('Base Encuesta'!Y169,1)))</f>
        <v/>
      </c>
      <c r="S195" t="str">
        <f>IF(OR('Base Encuesta'!Z169="",IFERROR(VALUE(LEFT('Base Encuesta'!K169,1)),"")&gt;=3),"",VALUE(LEFT('Base Encuesta'!Z169,1)))</f>
        <v/>
      </c>
      <c r="T195" t="str">
        <f>IF(OR('Base Encuesta'!AA169="",IFERROR(VALUE(LEFT('Base Encuesta'!K169,1)),"")&gt;=3),"",VALUE(LEFT('Base Encuesta'!AA169,1)))</f>
        <v/>
      </c>
      <c r="U195" t="str">
        <f>IF(OR('Base Encuesta'!AB169="",IFERROR(VALUE(LEFT('Base Encuesta'!K169,1)),"")&gt;=3),"",VALUE(LEFT('Base Encuesta'!AB169,1)))</f>
        <v/>
      </c>
      <c r="V195" t="str">
        <f>IF(OR('Base Encuesta'!AC169="",IFERROR(VALUE(LEFT('Base Encuesta'!K169,1)),"")&gt;=3),"",VALUE(LEFT('Base Encuesta'!AC169,1)))</f>
        <v/>
      </c>
      <c r="W195" t="str">
        <f>IF(OR('Base Encuesta'!AE169="",IFERROR(VALUE(LEFT('Base Encuesta'!K169,1)),"")&gt;=3),"",VALUE(LEFT('Base Encuesta'!AE169,1)))</f>
        <v/>
      </c>
      <c r="X195" t="str">
        <f>IF(OR('Base Encuesta'!AF169="",IFERROR(VALUE(LEFT('Base Encuesta'!K169,1)),"")&gt;=3),"",IF(W195=1,VALUE(LEFT('Base Encuesta'!AF169,1)),""))</f>
        <v/>
      </c>
      <c r="Y195" t="str">
        <f>IF(OR('Base Encuesta'!AG169="",IFERROR(VALUE(LEFT('Base Encuesta'!K169,1)),"")&gt;=3),"",IF(W195=1,VALUE(LEFT('Base Encuesta'!AG169,1)),""))</f>
        <v/>
      </c>
      <c r="Z195" t="str">
        <f>IF(OR('Base Encuesta'!AH169="",IFERROR(VALUE(LEFT('Base Encuesta'!K169,1)),"")&gt;=3),"",IF(W195=1,VALUE(LEFT('Base Encuesta'!AH169,1)),""))</f>
        <v/>
      </c>
      <c r="AA195" t="str">
        <f>IF(OR('Base Encuesta'!AI169="",IFERROR(VALUE(LEFT('Base Encuesta'!K169,1)),"")&gt;=3),"",IF(W195=1,VALUE(LEFT('Base Encuesta'!AI169,1)),""))</f>
        <v/>
      </c>
      <c r="AB195" t="str">
        <f>IF(OR('Base Encuesta'!AJ169="",IFERROR(VALUE(LEFT('Base Encuesta'!K169,1)),"")&gt;=3),"",IF(W195=1,VALUE(LEFT('Base Encuesta'!AJ169,1)),""))</f>
        <v/>
      </c>
      <c r="AC195" t="str">
        <f>IF(OR('Base Encuesta'!AL169="",IFERROR(VALUE(LEFT('Base Encuesta'!K169,1)),"")&gt;=3),"",VALUE(LEFT('Base Encuesta'!AL169,1)))</f>
        <v/>
      </c>
      <c r="AD195" t="str">
        <f>IF(OR('Base Encuesta'!AM169="",IFERROR(VALUE(LEFT('Base Encuesta'!K169,1)),"")&gt;=3),"",VALUE(LEFT('Base Encuesta'!AM169,1)))</f>
        <v/>
      </c>
      <c r="AE195" t="str">
        <f>IF(OR('Base Encuesta'!AN169="",IFERROR(VALUE(LEFT('Base Encuesta'!K169,1)),"")&gt;=3),"",VALUE(LEFT('Base Encuesta'!AN169,1)))</f>
        <v/>
      </c>
      <c r="AF195" t="str">
        <f>IF(OR('Base Encuesta'!AO169="",IFERROR(VALUE(LEFT('Base Encuesta'!K169,1)),"")&gt;=3),"",VALUE(LEFT('Base Encuesta'!AO169,1)))</f>
        <v/>
      </c>
      <c r="AG195" t="str">
        <f>IF(OR('Base Encuesta'!AQ169="",IFERROR(VALUE(LEFT('Base Encuesta'!K169,1)),"")&gt;=3),"",VALUE(LEFT('Base Encuesta'!AQ169,1)))</f>
        <v/>
      </c>
      <c r="AH195" t="str">
        <f>IF(OR('Base Encuesta'!AR169="",IFERROR(VALUE(LEFT('Base Encuesta'!K169,1)),"")&gt;=3),"",VALUE(LEFT('Base Encuesta'!AR169,1)))</f>
        <v/>
      </c>
    </row>
    <row r="196" spans="1:34">
      <c r="A196" t="str">
        <f>IF('Base Encuesta'!C170="","",'Base Encuesta'!C170)</f>
        <v/>
      </c>
      <c r="B196" t="str">
        <f>IF('Base Encuesta'!D170="","",'Base Encuesta'!D170)</f>
        <v/>
      </c>
      <c r="C196" t="str">
        <f>IF('Base Encuesta'!E170="","",'Base Encuesta'!E170)</f>
        <v/>
      </c>
      <c r="D196" t="str">
        <f>IF('Base Encuesta'!F170="","",'Base Encuesta'!F170)</f>
        <v/>
      </c>
      <c r="E196" t="str">
        <f>IF('Base Encuesta'!G170="","",'Base Encuesta'!G170)</f>
        <v/>
      </c>
      <c r="F196" t="str">
        <f>IF('Base Encuesta'!H170="","",'Base Encuesta'!H170)</f>
        <v/>
      </c>
      <c r="G196" t="str">
        <f>IF('Base Encuesta'!I170="","",'Base Encuesta'!I170)</f>
        <v/>
      </c>
      <c r="H196" t="str">
        <f>IF('Base Encuesta'!J170="","",'Base Encuesta'!J170)</f>
        <v/>
      </c>
      <c r="I196" t="str">
        <f>IF('Base Encuesta'!K170="","",'Base Encuesta'!K170)</f>
        <v/>
      </c>
      <c r="J196" t="str">
        <f>IF(OR('Base Encuesta'!P170="",IFERROR(VALUE(LEFT('Base Encuesta'!K170,1)),"")&gt;=3),"",PROPER(TRIM('Base Encuesta'!P170)))</f>
        <v/>
      </c>
      <c r="K196" t="str">
        <f>IF(OR('Base Encuesta'!Q170="",IFERROR(VALUE(LEFT('Base Encuesta'!K170,1)),"")&gt;=3),"",'Base Encuesta'!Q170)</f>
        <v/>
      </c>
      <c r="L196" t="str">
        <f>IF(OR('Base Encuesta'!R170="",IFERROR(VALUE(LEFT('Base Encuesta'!K170,1)),"")&gt;=3),"",VALUE(LEFT('Base Encuesta'!R170,1)))</f>
        <v/>
      </c>
      <c r="M196" t="str">
        <f>IF(OR('Base Encuesta'!S170="",IFERROR(VALUE(LEFT('Base Encuesta'!K170,1)),"")&gt;=3),"",VALUE(LEFT('Base Encuesta'!S170,1)))</f>
        <v/>
      </c>
      <c r="N196" t="str">
        <f>IF(OR('Base Encuesta'!T170="",IFERROR(VALUE(LEFT('Base Encuesta'!K170,1)),"")&gt;=3),"",VALUE(LEFT('Base Encuesta'!T170,1)))</f>
        <v/>
      </c>
      <c r="O196" t="str">
        <f>IF(OR('Base Encuesta'!V170="",IFERROR(VALUE(LEFT('Base Encuesta'!K170,1)),"")&gt;=3),"",VALUE(LEFT('Base Encuesta'!V170,1)))</f>
        <v/>
      </c>
      <c r="P196" t="str">
        <f>IF(OR('Base Encuesta'!W170="",IFERROR(VALUE(LEFT('Base Encuesta'!K170,1)),"")&gt;=3),"",VALUE(LEFT('Base Encuesta'!W170,1)))</f>
        <v/>
      </c>
      <c r="Q196" t="str">
        <f>IF(OR('Base Encuesta'!X170="",IFERROR(VALUE(LEFT('Base Encuesta'!K170,1)),"")&gt;=3),"",VALUE(LEFT('Base Encuesta'!X170,1)))</f>
        <v/>
      </c>
      <c r="R196" t="str">
        <f>IF(OR('Base Encuesta'!Y170="",IFERROR(VALUE(LEFT('Base Encuesta'!K170,1)),"")&gt;=3),"",VALUE(LEFT('Base Encuesta'!Y170,1)))</f>
        <v/>
      </c>
      <c r="S196" t="str">
        <f>IF(OR('Base Encuesta'!Z170="",IFERROR(VALUE(LEFT('Base Encuesta'!K170,1)),"")&gt;=3),"",VALUE(LEFT('Base Encuesta'!Z170,1)))</f>
        <v/>
      </c>
      <c r="T196" t="str">
        <f>IF(OR('Base Encuesta'!AA170="",IFERROR(VALUE(LEFT('Base Encuesta'!K170,1)),"")&gt;=3),"",VALUE(LEFT('Base Encuesta'!AA170,1)))</f>
        <v/>
      </c>
      <c r="U196" t="str">
        <f>IF(OR('Base Encuesta'!AB170="",IFERROR(VALUE(LEFT('Base Encuesta'!K170,1)),"")&gt;=3),"",VALUE(LEFT('Base Encuesta'!AB170,1)))</f>
        <v/>
      </c>
      <c r="V196" t="str">
        <f>IF(OR('Base Encuesta'!AC170="",IFERROR(VALUE(LEFT('Base Encuesta'!K170,1)),"")&gt;=3),"",VALUE(LEFT('Base Encuesta'!AC170,1)))</f>
        <v/>
      </c>
      <c r="W196" t="str">
        <f>IF(OR('Base Encuesta'!AE170="",IFERROR(VALUE(LEFT('Base Encuesta'!K170,1)),"")&gt;=3),"",VALUE(LEFT('Base Encuesta'!AE170,1)))</f>
        <v/>
      </c>
      <c r="X196" t="str">
        <f>IF(OR('Base Encuesta'!AF170="",IFERROR(VALUE(LEFT('Base Encuesta'!K170,1)),"")&gt;=3),"",IF(W196=1,VALUE(LEFT('Base Encuesta'!AF170,1)),""))</f>
        <v/>
      </c>
      <c r="Y196" t="str">
        <f>IF(OR('Base Encuesta'!AG170="",IFERROR(VALUE(LEFT('Base Encuesta'!K170,1)),"")&gt;=3),"",IF(W196=1,VALUE(LEFT('Base Encuesta'!AG170,1)),""))</f>
        <v/>
      </c>
      <c r="Z196" t="str">
        <f>IF(OR('Base Encuesta'!AH170="",IFERROR(VALUE(LEFT('Base Encuesta'!K170,1)),"")&gt;=3),"",IF(W196=1,VALUE(LEFT('Base Encuesta'!AH170,1)),""))</f>
        <v/>
      </c>
      <c r="AA196" t="str">
        <f>IF(OR('Base Encuesta'!AI170="",IFERROR(VALUE(LEFT('Base Encuesta'!K170,1)),"")&gt;=3),"",IF(W196=1,VALUE(LEFT('Base Encuesta'!AI170,1)),""))</f>
        <v/>
      </c>
      <c r="AB196" t="str">
        <f>IF(OR('Base Encuesta'!AJ170="",IFERROR(VALUE(LEFT('Base Encuesta'!K170,1)),"")&gt;=3),"",IF(W196=1,VALUE(LEFT('Base Encuesta'!AJ170,1)),""))</f>
        <v/>
      </c>
      <c r="AC196" t="str">
        <f>IF(OR('Base Encuesta'!AL170="",IFERROR(VALUE(LEFT('Base Encuesta'!K170,1)),"")&gt;=3),"",VALUE(LEFT('Base Encuesta'!AL170,1)))</f>
        <v/>
      </c>
      <c r="AD196" t="str">
        <f>IF(OR('Base Encuesta'!AM170="",IFERROR(VALUE(LEFT('Base Encuesta'!K170,1)),"")&gt;=3),"",VALUE(LEFT('Base Encuesta'!AM170,1)))</f>
        <v/>
      </c>
      <c r="AE196" t="str">
        <f>IF(OR('Base Encuesta'!AN170="",IFERROR(VALUE(LEFT('Base Encuesta'!K170,1)),"")&gt;=3),"",VALUE(LEFT('Base Encuesta'!AN170,1)))</f>
        <v/>
      </c>
      <c r="AF196" t="str">
        <f>IF(OR('Base Encuesta'!AO170="",IFERROR(VALUE(LEFT('Base Encuesta'!K170,1)),"")&gt;=3),"",VALUE(LEFT('Base Encuesta'!AO170,1)))</f>
        <v/>
      </c>
      <c r="AG196" t="str">
        <f>IF(OR('Base Encuesta'!AQ170="",IFERROR(VALUE(LEFT('Base Encuesta'!K170,1)),"")&gt;=3),"",VALUE(LEFT('Base Encuesta'!AQ170,1)))</f>
        <v/>
      </c>
      <c r="AH196" t="str">
        <f>IF(OR('Base Encuesta'!AR170="",IFERROR(VALUE(LEFT('Base Encuesta'!K170,1)),"")&gt;=3),"",VALUE(LEFT('Base Encuesta'!AR170,1)))</f>
        <v/>
      </c>
    </row>
    <row r="197" spans="1:34">
      <c r="A197" t="str">
        <f>IF('Base Encuesta'!C171="","",'Base Encuesta'!C171)</f>
        <v/>
      </c>
      <c r="B197" t="str">
        <f>IF('Base Encuesta'!D171="","",'Base Encuesta'!D171)</f>
        <v/>
      </c>
      <c r="C197" t="str">
        <f>IF('Base Encuesta'!E171="","",'Base Encuesta'!E171)</f>
        <v/>
      </c>
      <c r="D197" t="str">
        <f>IF('Base Encuesta'!F171="","",'Base Encuesta'!F171)</f>
        <v/>
      </c>
      <c r="E197" t="str">
        <f>IF('Base Encuesta'!G171="","",'Base Encuesta'!G171)</f>
        <v/>
      </c>
      <c r="F197" t="str">
        <f>IF('Base Encuesta'!H171="","",'Base Encuesta'!H171)</f>
        <v/>
      </c>
      <c r="G197" t="str">
        <f>IF('Base Encuesta'!I171="","",'Base Encuesta'!I171)</f>
        <v/>
      </c>
      <c r="H197" t="str">
        <f>IF('Base Encuesta'!J171="","",'Base Encuesta'!J171)</f>
        <v/>
      </c>
      <c r="I197" t="str">
        <f>IF('Base Encuesta'!K171="","",'Base Encuesta'!K171)</f>
        <v/>
      </c>
      <c r="J197" t="str">
        <f>IF(OR('Base Encuesta'!P171="",IFERROR(VALUE(LEFT('Base Encuesta'!K171,1)),"")&gt;=3),"",PROPER(TRIM('Base Encuesta'!P171)))</f>
        <v/>
      </c>
      <c r="K197" t="str">
        <f>IF(OR('Base Encuesta'!Q171="",IFERROR(VALUE(LEFT('Base Encuesta'!K171,1)),"")&gt;=3),"",'Base Encuesta'!Q171)</f>
        <v/>
      </c>
      <c r="L197" t="str">
        <f>IF(OR('Base Encuesta'!R171="",IFERROR(VALUE(LEFT('Base Encuesta'!K171,1)),"")&gt;=3),"",VALUE(LEFT('Base Encuesta'!R171,1)))</f>
        <v/>
      </c>
      <c r="M197" t="str">
        <f>IF(OR('Base Encuesta'!S171="",IFERROR(VALUE(LEFT('Base Encuesta'!K171,1)),"")&gt;=3),"",VALUE(LEFT('Base Encuesta'!S171,1)))</f>
        <v/>
      </c>
      <c r="N197" t="str">
        <f>IF(OR('Base Encuesta'!T171="",IFERROR(VALUE(LEFT('Base Encuesta'!K171,1)),"")&gt;=3),"",VALUE(LEFT('Base Encuesta'!T171,1)))</f>
        <v/>
      </c>
      <c r="O197" t="str">
        <f>IF(OR('Base Encuesta'!V171="",IFERROR(VALUE(LEFT('Base Encuesta'!K171,1)),"")&gt;=3),"",VALUE(LEFT('Base Encuesta'!V171,1)))</f>
        <v/>
      </c>
      <c r="P197" t="str">
        <f>IF(OR('Base Encuesta'!W171="",IFERROR(VALUE(LEFT('Base Encuesta'!K171,1)),"")&gt;=3),"",VALUE(LEFT('Base Encuesta'!W171,1)))</f>
        <v/>
      </c>
      <c r="Q197" t="str">
        <f>IF(OR('Base Encuesta'!X171="",IFERROR(VALUE(LEFT('Base Encuesta'!K171,1)),"")&gt;=3),"",VALUE(LEFT('Base Encuesta'!X171,1)))</f>
        <v/>
      </c>
      <c r="R197" t="str">
        <f>IF(OR('Base Encuesta'!Y171="",IFERROR(VALUE(LEFT('Base Encuesta'!K171,1)),"")&gt;=3),"",VALUE(LEFT('Base Encuesta'!Y171,1)))</f>
        <v/>
      </c>
      <c r="S197" t="str">
        <f>IF(OR('Base Encuesta'!Z171="",IFERROR(VALUE(LEFT('Base Encuesta'!K171,1)),"")&gt;=3),"",VALUE(LEFT('Base Encuesta'!Z171,1)))</f>
        <v/>
      </c>
      <c r="T197" t="str">
        <f>IF(OR('Base Encuesta'!AA171="",IFERROR(VALUE(LEFT('Base Encuesta'!K171,1)),"")&gt;=3),"",VALUE(LEFT('Base Encuesta'!AA171,1)))</f>
        <v/>
      </c>
      <c r="U197" t="str">
        <f>IF(OR('Base Encuesta'!AB171="",IFERROR(VALUE(LEFT('Base Encuesta'!K171,1)),"")&gt;=3),"",VALUE(LEFT('Base Encuesta'!AB171,1)))</f>
        <v/>
      </c>
      <c r="V197" t="str">
        <f>IF(OR('Base Encuesta'!AC171="",IFERROR(VALUE(LEFT('Base Encuesta'!K171,1)),"")&gt;=3),"",VALUE(LEFT('Base Encuesta'!AC171,1)))</f>
        <v/>
      </c>
      <c r="W197" t="str">
        <f>IF(OR('Base Encuesta'!AE171="",IFERROR(VALUE(LEFT('Base Encuesta'!K171,1)),"")&gt;=3),"",VALUE(LEFT('Base Encuesta'!AE171,1)))</f>
        <v/>
      </c>
      <c r="X197" t="str">
        <f>IF(OR('Base Encuesta'!AF171="",IFERROR(VALUE(LEFT('Base Encuesta'!K171,1)),"")&gt;=3),"",IF(W197=1,VALUE(LEFT('Base Encuesta'!AF171,1)),""))</f>
        <v/>
      </c>
      <c r="Y197" t="str">
        <f>IF(OR('Base Encuesta'!AG171="",IFERROR(VALUE(LEFT('Base Encuesta'!K171,1)),"")&gt;=3),"",IF(W197=1,VALUE(LEFT('Base Encuesta'!AG171,1)),""))</f>
        <v/>
      </c>
      <c r="Z197" t="str">
        <f>IF(OR('Base Encuesta'!AH171="",IFERROR(VALUE(LEFT('Base Encuesta'!K171,1)),"")&gt;=3),"",IF(W197=1,VALUE(LEFT('Base Encuesta'!AH171,1)),""))</f>
        <v/>
      </c>
      <c r="AA197" t="str">
        <f>IF(OR('Base Encuesta'!AI171="",IFERROR(VALUE(LEFT('Base Encuesta'!K171,1)),"")&gt;=3),"",IF(W197=1,VALUE(LEFT('Base Encuesta'!AI171,1)),""))</f>
        <v/>
      </c>
      <c r="AB197" t="str">
        <f>IF(OR('Base Encuesta'!AJ171="",IFERROR(VALUE(LEFT('Base Encuesta'!K171,1)),"")&gt;=3),"",IF(W197=1,VALUE(LEFT('Base Encuesta'!AJ171,1)),""))</f>
        <v/>
      </c>
      <c r="AC197" t="str">
        <f>IF(OR('Base Encuesta'!AL171="",IFERROR(VALUE(LEFT('Base Encuesta'!K171,1)),"")&gt;=3),"",VALUE(LEFT('Base Encuesta'!AL171,1)))</f>
        <v/>
      </c>
      <c r="AD197" t="str">
        <f>IF(OR('Base Encuesta'!AM171="",IFERROR(VALUE(LEFT('Base Encuesta'!K171,1)),"")&gt;=3),"",VALUE(LEFT('Base Encuesta'!AM171,1)))</f>
        <v/>
      </c>
      <c r="AE197" t="str">
        <f>IF(OR('Base Encuesta'!AN171="",IFERROR(VALUE(LEFT('Base Encuesta'!K171,1)),"")&gt;=3),"",VALUE(LEFT('Base Encuesta'!AN171,1)))</f>
        <v/>
      </c>
      <c r="AF197" t="str">
        <f>IF(OR('Base Encuesta'!AO171="",IFERROR(VALUE(LEFT('Base Encuesta'!K171,1)),"")&gt;=3),"",VALUE(LEFT('Base Encuesta'!AO171,1)))</f>
        <v/>
      </c>
      <c r="AG197" t="str">
        <f>IF(OR('Base Encuesta'!AQ171="",IFERROR(VALUE(LEFT('Base Encuesta'!K171,1)),"")&gt;=3),"",VALUE(LEFT('Base Encuesta'!AQ171,1)))</f>
        <v/>
      </c>
      <c r="AH197" t="str">
        <f>IF(OR('Base Encuesta'!AR171="",IFERROR(VALUE(LEFT('Base Encuesta'!K171,1)),"")&gt;=3),"",VALUE(LEFT('Base Encuesta'!AR171,1)))</f>
        <v/>
      </c>
    </row>
    <row r="198" spans="1:34">
      <c r="A198" t="str">
        <f>IF('Base Encuesta'!C172="","",'Base Encuesta'!C172)</f>
        <v/>
      </c>
      <c r="B198" t="str">
        <f>IF('Base Encuesta'!D172="","",'Base Encuesta'!D172)</f>
        <v/>
      </c>
      <c r="C198" t="str">
        <f>IF('Base Encuesta'!E172="","",'Base Encuesta'!E172)</f>
        <v/>
      </c>
      <c r="D198" t="str">
        <f>IF('Base Encuesta'!F172="","",'Base Encuesta'!F172)</f>
        <v/>
      </c>
      <c r="E198" t="str">
        <f>IF('Base Encuesta'!G172="","",'Base Encuesta'!G172)</f>
        <v/>
      </c>
      <c r="F198" t="str">
        <f>IF('Base Encuesta'!H172="","",'Base Encuesta'!H172)</f>
        <v/>
      </c>
      <c r="G198" t="str">
        <f>IF('Base Encuesta'!I172="","",'Base Encuesta'!I172)</f>
        <v/>
      </c>
      <c r="H198" t="str">
        <f>IF('Base Encuesta'!J172="","",'Base Encuesta'!J172)</f>
        <v/>
      </c>
      <c r="I198" t="str">
        <f>IF('Base Encuesta'!K172="","",'Base Encuesta'!K172)</f>
        <v/>
      </c>
      <c r="J198" t="str">
        <f>IF(OR('Base Encuesta'!P172="",IFERROR(VALUE(LEFT('Base Encuesta'!K172,1)),"")&gt;=3),"",PROPER(TRIM('Base Encuesta'!P172)))</f>
        <v/>
      </c>
      <c r="K198" t="str">
        <f>IF(OR('Base Encuesta'!Q172="",IFERROR(VALUE(LEFT('Base Encuesta'!K172,1)),"")&gt;=3),"",'Base Encuesta'!Q172)</f>
        <v/>
      </c>
      <c r="L198" t="str">
        <f>IF(OR('Base Encuesta'!R172="",IFERROR(VALUE(LEFT('Base Encuesta'!K172,1)),"")&gt;=3),"",VALUE(LEFT('Base Encuesta'!R172,1)))</f>
        <v/>
      </c>
      <c r="M198" t="str">
        <f>IF(OR('Base Encuesta'!S172="",IFERROR(VALUE(LEFT('Base Encuesta'!K172,1)),"")&gt;=3),"",VALUE(LEFT('Base Encuesta'!S172,1)))</f>
        <v/>
      </c>
      <c r="N198" t="str">
        <f>IF(OR('Base Encuesta'!T172="",IFERROR(VALUE(LEFT('Base Encuesta'!K172,1)),"")&gt;=3),"",VALUE(LEFT('Base Encuesta'!T172,1)))</f>
        <v/>
      </c>
      <c r="O198" t="str">
        <f>IF(OR('Base Encuesta'!V172="",IFERROR(VALUE(LEFT('Base Encuesta'!K172,1)),"")&gt;=3),"",VALUE(LEFT('Base Encuesta'!V172,1)))</f>
        <v/>
      </c>
      <c r="P198" t="str">
        <f>IF(OR('Base Encuesta'!W172="",IFERROR(VALUE(LEFT('Base Encuesta'!K172,1)),"")&gt;=3),"",VALUE(LEFT('Base Encuesta'!W172,1)))</f>
        <v/>
      </c>
      <c r="Q198" t="str">
        <f>IF(OR('Base Encuesta'!X172="",IFERROR(VALUE(LEFT('Base Encuesta'!K172,1)),"")&gt;=3),"",VALUE(LEFT('Base Encuesta'!X172,1)))</f>
        <v/>
      </c>
      <c r="R198" t="str">
        <f>IF(OR('Base Encuesta'!Y172="",IFERROR(VALUE(LEFT('Base Encuesta'!K172,1)),"")&gt;=3),"",VALUE(LEFT('Base Encuesta'!Y172,1)))</f>
        <v/>
      </c>
      <c r="S198" t="str">
        <f>IF(OR('Base Encuesta'!Z172="",IFERROR(VALUE(LEFT('Base Encuesta'!K172,1)),"")&gt;=3),"",VALUE(LEFT('Base Encuesta'!Z172,1)))</f>
        <v/>
      </c>
      <c r="T198" t="str">
        <f>IF(OR('Base Encuesta'!AA172="",IFERROR(VALUE(LEFT('Base Encuesta'!K172,1)),"")&gt;=3),"",VALUE(LEFT('Base Encuesta'!AA172,1)))</f>
        <v/>
      </c>
      <c r="U198" t="str">
        <f>IF(OR('Base Encuesta'!AB172="",IFERROR(VALUE(LEFT('Base Encuesta'!K172,1)),"")&gt;=3),"",VALUE(LEFT('Base Encuesta'!AB172,1)))</f>
        <v/>
      </c>
      <c r="V198" t="str">
        <f>IF(OR('Base Encuesta'!AC172="",IFERROR(VALUE(LEFT('Base Encuesta'!K172,1)),"")&gt;=3),"",VALUE(LEFT('Base Encuesta'!AC172,1)))</f>
        <v/>
      </c>
      <c r="W198" t="str">
        <f>IF(OR('Base Encuesta'!AE172="",IFERROR(VALUE(LEFT('Base Encuesta'!K172,1)),"")&gt;=3),"",VALUE(LEFT('Base Encuesta'!AE172,1)))</f>
        <v/>
      </c>
      <c r="X198" t="str">
        <f>IF(OR('Base Encuesta'!AF172="",IFERROR(VALUE(LEFT('Base Encuesta'!K172,1)),"")&gt;=3),"",IF(W198=1,VALUE(LEFT('Base Encuesta'!AF172,1)),""))</f>
        <v/>
      </c>
      <c r="Y198" t="str">
        <f>IF(OR('Base Encuesta'!AG172="",IFERROR(VALUE(LEFT('Base Encuesta'!K172,1)),"")&gt;=3),"",IF(W198=1,VALUE(LEFT('Base Encuesta'!AG172,1)),""))</f>
        <v/>
      </c>
      <c r="Z198" t="str">
        <f>IF(OR('Base Encuesta'!AH172="",IFERROR(VALUE(LEFT('Base Encuesta'!K172,1)),"")&gt;=3),"",IF(W198=1,VALUE(LEFT('Base Encuesta'!AH172,1)),""))</f>
        <v/>
      </c>
      <c r="AA198" t="str">
        <f>IF(OR('Base Encuesta'!AI172="",IFERROR(VALUE(LEFT('Base Encuesta'!K172,1)),"")&gt;=3),"",IF(W198=1,VALUE(LEFT('Base Encuesta'!AI172,1)),""))</f>
        <v/>
      </c>
      <c r="AB198" t="str">
        <f>IF(OR('Base Encuesta'!AJ172="",IFERROR(VALUE(LEFT('Base Encuesta'!K172,1)),"")&gt;=3),"",IF(W198=1,VALUE(LEFT('Base Encuesta'!AJ172,1)),""))</f>
        <v/>
      </c>
      <c r="AC198" t="str">
        <f>IF(OR('Base Encuesta'!AL172="",IFERROR(VALUE(LEFT('Base Encuesta'!K172,1)),"")&gt;=3),"",VALUE(LEFT('Base Encuesta'!AL172,1)))</f>
        <v/>
      </c>
      <c r="AD198" t="str">
        <f>IF(OR('Base Encuesta'!AM172="",IFERROR(VALUE(LEFT('Base Encuesta'!K172,1)),"")&gt;=3),"",VALUE(LEFT('Base Encuesta'!AM172,1)))</f>
        <v/>
      </c>
      <c r="AE198" t="str">
        <f>IF(OR('Base Encuesta'!AN172="",IFERROR(VALUE(LEFT('Base Encuesta'!K172,1)),"")&gt;=3),"",VALUE(LEFT('Base Encuesta'!AN172,1)))</f>
        <v/>
      </c>
      <c r="AF198" t="str">
        <f>IF(OR('Base Encuesta'!AO172="",IFERROR(VALUE(LEFT('Base Encuesta'!K172,1)),"")&gt;=3),"",VALUE(LEFT('Base Encuesta'!AO172,1)))</f>
        <v/>
      </c>
      <c r="AG198" t="str">
        <f>IF(OR('Base Encuesta'!AQ172="",IFERROR(VALUE(LEFT('Base Encuesta'!K172,1)),"")&gt;=3),"",VALUE(LEFT('Base Encuesta'!AQ172,1)))</f>
        <v/>
      </c>
      <c r="AH198" t="str">
        <f>IF(OR('Base Encuesta'!AR172="",IFERROR(VALUE(LEFT('Base Encuesta'!K172,1)),"")&gt;=3),"",VALUE(LEFT('Base Encuesta'!AR172,1)))</f>
        <v/>
      </c>
    </row>
    <row r="199" spans="1:34">
      <c r="A199" t="str">
        <f>IF('Base Encuesta'!C173="","",'Base Encuesta'!C173)</f>
        <v/>
      </c>
      <c r="B199" t="str">
        <f>IF('Base Encuesta'!D173="","",'Base Encuesta'!D173)</f>
        <v/>
      </c>
      <c r="C199" t="str">
        <f>IF('Base Encuesta'!E173="","",'Base Encuesta'!E173)</f>
        <v/>
      </c>
      <c r="D199" t="str">
        <f>IF('Base Encuesta'!F173="","",'Base Encuesta'!F173)</f>
        <v/>
      </c>
      <c r="E199" t="str">
        <f>IF('Base Encuesta'!G173="","",'Base Encuesta'!G173)</f>
        <v/>
      </c>
      <c r="F199" t="str">
        <f>IF('Base Encuesta'!H173="","",'Base Encuesta'!H173)</f>
        <v/>
      </c>
      <c r="G199" t="str">
        <f>IF('Base Encuesta'!I173="","",'Base Encuesta'!I173)</f>
        <v/>
      </c>
      <c r="H199" t="str">
        <f>IF('Base Encuesta'!J173="","",'Base Encuesta'!J173)</f>
        <v/>
      </c>
      <c r="I199" t="str">
        <f>IF('Base Encuesta'!K173="","",'Base Encuesta'!K173)</f>
        <v/>
      </c>
      <c r="J199" t="str">
        <f>IF(OR('Base Encuesta'!P173="",IFERROR(VALUE(LEFT('Base Encuesta'!K173,1)),"")&gt;=3),"",PROPER(TRIM('Base Encuesta'!P173)))</f>
        <v/>
      </c>
      <c r="K199" t="str">
        <f>IF(OR('Base Encuesta'!Q173="",IFERROR(VALUE(LEFT('Base Encuesta'!K173,1)),"")&gt;=3),"",'Base Encuesta'!Q173)</f>
        <v/>
      </c>
      <c r="L199" t="str">
        <f>IF(OR('Base Encuesta'!R173="",IFERROR(VALUE(LEFT('Base Encuesta'!K173,1)),"")&gt;=3),"",VALUE(LEFT('Base Encuesta'!R173,1)))</f>
        <v/>
      </c>
      <c r="M199" t="str">
        <f>IF(OR('Base Encuesta'!S173="",IFERROR(VALUE(LEFT('Base Encuesta'!K173,1)),"")&gt;=3),"",VALUE(LEFT('Base Encuesta'!S173,1)))</f>
        <v/>
      </c>
      <c r="N199" t="str">
        <f>IF(OR('Base Encuesta'!T173="",IFERROR(VALUE(LEFT('Base Encuesta'!K173,1)),"")&gt;=3),"",VALUE(LEFT('Base Encuesta'!T173,1)))</f>
        <v/>
      </c>
      <c r="O199" t="str">
        <f>IF(OR('Base Encuesta'!V173="",IFERROR(VALUE(LEFT('Base Encuesta'!K173,1)),"")&gt;=3),"",VALUE(LEFT('Base Encuesta'!V173,1)))</f>
        <v/>
      </c>
      <c r="P199" t="str">
        <f>IF(OR('Base Encuesta'!W173="",IFERROR(VALUE(LEFT('Base Encuesta'!K173,1)),"")&gt;=3),"",VALUE(LEFT('Base Encuesta'!W173,1)))</f>
        <v/>
      </c>
      <c r="Q199" t="str">
        <f>IF(OR('Base Encuesta'!X173="",IFERROR(VALUE(LEFT('Base Encuesta'!K173,1)),"")&gt;=3),"",VALUE(LEFT('Base Encuesta'!X173,1)))</f>
        <v/>
      </c>
      <c r="R199" t="str">
        <f>IF(OR('Base Encuesta'!Y173="",IFERROR(VALUE(LEFT('Base Encuesta'!K173,1)),"")&gt;=3),"",VALUE(LEFT('Base Encuesta'!Y173,1)))</f>
        <v/>
      </c>
      <c r="S199" t="str">
        <f>IF(OR('Base Encuesta'!Z173="",IFERROR(VALUE(LEFT('Base Encuesta'!K173,1)),"")&gt;=3),"",VALUE(LEFT('Base Encuesta'!Z173,1)))</f>
        <v/>
      </c>
      <c r="T199" t="str">
        <f>IF(OR('Base Encuesta'!AA173="",IFERROR(VALUE(LEFT('Base Encuesta'!K173,1)),"")&gt;=3),"",VALUE(LEFT('Base Encuesta'!AA173,1)))</f>
        <v/>
      </c>
      <c r="U199" t="str">
        <f>IF(OR('Base Encuesta'!AB173="",IFERROR(VALUE(LEFT('Base Encuesta'!K173,1)),"")&gt;=3),"",VALUE(LEFT('Base Encuesta'!AB173,1)))</f>
        <v/>
      </c>
      <c r="V199" t="str">
        <f>IF(OR('Base Encuesta'!AC173="",IFERROR(VALUE(LEFT('Base Encuesta'!K173,1)),"")&gt;=3),"",VALUE(LEFT('Base Encuesta'!AC173,1)))</f>
        <v/>
      </c>
      <c r="W199" t="str">
        <f>IF(OR('Base Encuesta'!AE173="",IFERROR(VALUE(LEFT('Base Encuesta'!K173,1)),"")&gt;=3),"",VALUE(LEFT('Base Encuesta'!AE173,1)))</f>
        <v/>
      </c>
      <c r="X199" t="str">
        <f>IF(OR('Base Encuesta'!AF173="",IFERROR(VALUE(LEFT('Base Encuesta'!K173,1)),"")&gt;=3),"",IF(W199=1,VALUE(LEFT('Base Encuesta'!AF173,1)),""))</f>
        <v/>
      </c>
      <c r="Y199" t="str">
        <f>IF(OR('Base Encuesta'!AG173="",IFERROR(VALUE(LEFT('Base Encuesta'!K173,1)),"")&gt;=3),"",IF(W199=1,VALUE(LEFT('Base Encuesta'!AG173,1)),""))</f>
        <v/>
      </c>
      <c r="Z199" t="str">
        <f>IF(OR('Base Encuesta'!AH173="",IFERROR(VALUE(LEFT('Base Encuesta'!K173,1)),"")&gt;=3),"",IF(W199=1,VALUE(LEFT('Base Encuesta'!AH173,1)),""))</f>
        <v/>
      </c>
      <c r="AA199" t="str">
        <f>IF(OR('Base Encuesta'!AI173="",IFERROR(VALUE(LEFT('Base Encuesta'!K173,1)),"")&gt;=3),"",IF(W199=1,VALUE(LEFT('Base Encuesta'!AI173,1)),""))</f>
        <v/>
      </c>
      <c r="AB199" t="str">
        <f>IF(OR('Base Encuesta'!AJ173="",IFERROR(VALUE(LEFT('Base Encuesta'!K173,1)),"")&gt;=3),"",IF(W199=1,VALUE(LEFT('Base Encuesta'!AJ173,1)),""))</f>
        <v/>
      </c>
      <c r="AC199" t="str">
        <f>IF(OR('Base Encuesta'!AL173="",IFERROR(VALUE(LEFT('Base Encuesta'!K173,1)),"")&gt;=3),"",VALUE(LEFT('Base Encuesta'!AL173,1)))</f>
        <v/>
      </c>
      <c r="AD199" t="str">
        <f>IF(OR('Base Encuesta'!AM173="",IFERROR(VALUE(LEFT('Base Encuesta'!K173,1)),"")&gt;=3),"",VALUE(LEFT('Base Encuesta'!AM173,1)))</f>
        <v/>
      </c>
      <c r="AE199" t="str">
        <f>IF(OR('Base Encuesta'!AN173="",IFERROR(VALUE(LEFT('Base Encuesta'!K173,1)),"")&gt;=3),"",VALUE(LEFT('Base Encuesta'!AN173,1)))</f>
        <v/>
      </c>
      <c r="AF199" t="str">
        <f>IF(OR('Base Encuesta'!AO173="",IFERROR(VALUE(LEFT('Base Encuesta'!K173,1)),"")&gt;=3),"",VALUE(LEFT('Base Encuesta'!AO173,1)))</f>
        <v/>
      </c>
      <c r="AG199" t="str">
        <f>IF(OR('Base Encuesta'!AQ173="",IFERROR(VALUE(LEFT('Base Encuesta'!K173,1)),"")&gt;=3),"",VALUE(LEFT('Base Encuesta'!AQ173,1)))</f>
        <v/>
      </c>
      <c r="AH199" t="str">
        <f>IF(OR('Base Encuesta'!AR173="",IFERROR(VALUE(LEFT('Base Encuesta'!K173,1)),"")&gt;=3),"",VALUE(LEFT('Base Encuesta'!AR173,1)))</f>
        <v/>
      </c>
    </row>
    <row r="200" spans="1:34">
      <c r="A200" t="str">
        <f>IF('Base Encuesta'!C174="","",'Base Encuesta'!C174)</f>
        <v/>
      </c>
      <c r="B200" t="str">
        <f>IF('Base Encuesta'!D174="","",'Base Encuesta'!D174)</f>
        <v/>
      </c>
      <c r="C200" t="str">
        <f>IF('Base Encuesta'!E174="","",'Base Encuesta'!E174)</f>
        <v/>
      </c>
      <c r="D200" t="str">
        <f>IF('Base Encuesta'!F174="","",'Base Encuesta'!F174)</f>
        <v/>
      </c>
      <c r="E200" t="str">
        <f>IF('Base Encuesta'!G174="","",'Base Encuesta'!G174)</f>
        <v/>
      </c>
      <c r="F200" t="str">
        <f>IF('Base Encuesta'!H174="","",'Base Encuesta'!H174)</f>
        <v/>
      </c>
      <c r="G200" t="str">
        <f>IF('Base Encuesta'!I174="","",'Base Encuesta'!I174)</f>
        <v/>
      </c>
      <c r="H200" t="str">
        <f>IF('Base Encuesta'!J174="","",'Base Encuesta'!J174)</f>
        <v/>
      </c>
      <c r="I200" t="str">
        <f>IF('Base Encuesta'!K174="","",'Base Encuesta'!K174)</f>
        <v/>
      </c>
      <c r="J200" t="str">
        <f>IF(OR('Base Encuesta'!P174="",IFERROR(VALUE(LEFT('Base Encuesta'!K174,1)),"")&gt;=3),"",PROPER(TRIM('Base Encuesta'!P174)))</f>
        <v/>
      </c>
      <c r="K200" t="str">
        <f>IF(OR('Base Encuesta'!Q174="",IFERROR(VALUE(LEFT('Base Encuesta'!K174,1)),"")&gt;=3),"",'Base Encuesta'!Q174)</f>
        <v/>
      </c>
      <c r="L200" t="str">
        <f>IF(OR('Base Encuesta'!R174="",IFERROR(VALUE(LEFT('Base Encuesta'!K174,1)),"")&gt;=3),"",VALUE(LEFT('Base Encuesta'!R174,1)))</f>
        <v/>
      </c>
      <c r="M200" t="str">
        <f>IF(OR('Base Encuesta'!S174="",IFERROR(VALUE(LEFT('Base Encuesta'!K174,1)),"")&gt;=3),"",VALUE(LEFT('Base Encuesta'!S174,1)))</f>
        <v/>
      </c>
      <c r="N200" t="str">
        <f>IF(OR('Base Encuesta'!T174="",IFERROR(VALUE(LEFT('Base Encuesta'!K174,1)),"")&gt;=3),"",VALUE(LEFT('Base Encuesta'!T174,1)))</f>
        <v/>
      </c>
      <c r="O200" t="str">
        <f>IF(OR('Base Encuesta'!V174="",IFERROR(VALUE(LEFT('Base Encuesta'!K174,1)),"")&gt;=3),"",VALUE(LEFT('Base Encuesta'!V174,1)))</f>
        <v/>
      </c>
      <c r="P200" t="str">
        <f>IF(OR('Base Encuesta'!W174="",IFERROR(VALUE(LEFT('Base Encuesta'!K174,1)),"")&gt;=3),"",VALUE(LEFT('Base Encuesta'!W174,1)))</f>
        <v/>
      </c>
      <c r="Q200" t="str">
        <f>IF(OR('Base Encuesta'!X174="",IFERROR(VALUE(LEFT('Base Encuesta'!K174,1)),"")&gt;=3),"",VALUE(LEFT('Base Encuesta'!X174,1)))</f>
        <v/>
      </c>
      <c r="R200" t="str">
        <f>IF(OR('Base Encuesta'!Y174="",IFERROR(VALUE(LEFT('Base Encuesta'!K174,1)),"")&gt;=3),"",VALUE(LEFT('Base Encuesta'!Y174,1)))</f>
        <v/>
      </c>
      <c r="S200" t="str">
        <f>IF(OR('Base Encuesta'!Z174="",IFERROR(VALUE(LEFT('Base Encuesta'!K174,1)),"")&gt;=3),"",VALUE(LEFT('Base Encuesta'!Z174,1)))</f>
        <v/>
      </c>
      <c r="T200" t="str">
        <f>IF(OR('Base Encuesta'!AA174="",IFERROR(VALUE(LEFT('Base Encuesta'!K174,1)),"")&gt;=3),"",VALUE(LEFT('Base Encuesta'!AA174,1)))</f>
        <v/>
      </c>
      <c r="U200" t="str">
        <f>IF(OR('Base Encuesta'!AB174="",IFERROR(VALUE(LEFT('Base Encuesta'!K174,1)),"")&gt;=3),"",VALUE(LEFT('Base Encuesta'!AB174,1)))</f>
        <v/>
      </c>
      <c r="V200" t="str">
        <f>IF(OR('Base Encuesta'!AC174="",IFERROR(VALUE(LEFT('Base Encuesta'!K174,1)),"")&gt;=3),"",VALUE(LEFT('Base Encuesta'!AC174,1)))</f>
        <v/>
      </c>
      <c r="W200" t="str">
        <f>IF(OR('Base Encuesta'!AE174="",IFERROR(VALUE(LEFT('Base Encuesta'!K174,1)),"")&gt;=3),"",VALUE(LEFT('Base Encuesta'!AE174,1)))</f>
        <v/>
      </c>
      <c r="X200" t="str">
        <f>IF(OR('Base Encuesta'!AF174="",IFERROR(VALUE(LEFT('Base Encuesta'!K174,1)),"")&gt;=3),"",IF(W200=1,VALUE(LEFT('Base Encuesta'!AF174,1)),""))</f>
        <v/>
      </c>
      <c r="Y200" t="str">
        <f>IF(OR('Base Encuesta'!AG174="",IFERROR(VALUE(LEFT('Base Encuesta'!K174,1)),"")&gt;=3),"",IF(W200=1,VALUE(LEFT('Base Encuesta'!AG174,1)),""))</f>
        <v/>
      </c>
      <c r="Z200" t="str">
        <f>IF(OR('Base Encuesta'!AH174="",IFERROR(VALUE(LEFT('Base Encuesta'!K174,1)),"")&gt;=3),"",IF(W200=1,VALUE(LEFT('Base Encuesta'!AH174,1)),""))</f>
        <v/>
      </c>
      <c r="AA200" t="str">
        <f>IF(OR('Base Encuesta'!AI174="",IFERROR(VALUE(LEFT('Base Encuesta'!K174,1)),"")&gt;=3),"",IF(W200=1,VALUE(LEFT('Base Encuesta'!AI174,1)),""))</f>
        <v/>
      </c>
      <c r="AB200" t="str">
        <f>IF(OR('Base Encuesta'!AJ174="",IFERROR(VALUE(LEFT('Base Encuesta'!K174,1)),"")&gt;=3),"",IF(W200=1,VALUE(LEFT('Base Encuesta'!AJ174,1)),""))</f>
        <v/>
      </c>
      <c r="AC200" t="str">
        <f>IF(OR('Base Encuesta'!AL174="",IFERROR(VALUE(LEFT('Base Encuesta'!K174,1)),"")&gt;=3),"",VALUE(LEFT('Base Encuesta'!AL174,1)))</f>
        <v/>
      </c>
      <c r="AD200" t="str">
        <f>IF(OR('Base Encuesta'!AM174="",IFERROR(VALUE(LEFT('Base Encuesta'!K174,1)),"")&gt;=3),"",VALUE(LEFT('Base Encuesta'!AM174,1)))</f>
        <v/>
      </c>
      <c r="AE200" t="str">
        <f>IF(OR('Base Encuesta'!AN174="",IFERROR(VALUE(LEFT('Base Encuesta'!K174,1)),"")&gt;=3),"",VALUE(LEFT('Base Encuesta'!AN174,1)))</f>
        <v/>
      </c>
      <c r="AF200" t="str">
        <f>IF(OR('Base Encuesta'!AO174="",IFERROR(VALUE(LEFT('Base Encuesta'!K174,1)),"")&gt;=3),"",VALUE(LEFT('Base Encuesta'!AO174,1)))</f>
        <v/>
      </c>
      <c r="AG200" t="str">
        <f>IF(OR('Base Encuesta'!AQ174="",IFERROR(VALUE(LEFT('Base Encuesta'!K174,1)),"")&gt;=3),"",VALUE(LEFT('Base Encuesta'!AQ174,1)))</f>
        <v/>
      </c>
      <c r="AH200" t="str">
        <f>IF(OR('Base Encuesta'!AR174="",IFERROR(VALUE(LEFT('Base Encuesta'!K174,1)),"")&gt;=3),"",VALUE(LEFT('Base Encuesta'!AR174,1)))</f>
        <v/>
      </c>
    </row>
    <row r="201" spans="1:34">
      <c r="A201" t="str">
        <f>IF('Base Encuesta'!C175="","",'Base Encuesta'!C175)</f>
        <v/>
      </c>
      <c r="B201" t="str">
        <f>IF('Base Encuesta'!D175="","",'Base Encuesta'!D175)</f>
        <v/>
      </c>
      <c r="C201" t="str">
        <f>IF('Base Encuesta'!E175="","",'Base Encuesta'!E175)</f>
        <v/>
      </c>
      <c r="D201" t="str">
        <f>IF('Base Encuesta'!F175="","",'Base Encuesta'!F175)</f>
        <v/>
      </c>
      <c r="E201" t="str">
        <f>IF('Base Encuesta'!G175="","",'Base Encuesta'!G175)</f>
        <v/>
      </c>
      <c r="F201" t="str">
        <f>IF('Base Encuesta'!H175="","",'Base Encuesta'!H175)</f>
        <v/>
      </c>
      <c r="G201" t="str">
        <f>IF('Base Encuesta'!I175="","",'Base Encuesta'!I175)</f>
        <v/>
      </c>
      <c r="H201" t="str">
        <f>IF('Base Encuesta'!J175="","",'Base Encuesta'!J175)</f>
        <v/>
      </c>
      <c r="I201" t="str">
        <f>IF('Base Encuesta'!K175="","",'Base Encuesta'!K175)</f>
        <v/>
      </c>
      <c r="J201" t="str">
        <f>IF(OR('Base Encuesta'!P175="",IFERROR(VALUE(LEFT('Base Encuesta'!K175,1)),"")&gt;=3),"",PROPER(TRIM('Base Encuesta'!P175)))</f>
        <v/>
      </c>
      <c r="K201" t="str">
        <f>IF(OR('Base Encuesta'!Q175="",IFERROR(VALUE(LEFT('Base Encuesta'!K175,1)),"")&gt;=3),"",'Base Encuesta'!Q175)</f>
        <v/>
      </c>
      <c r="L201" t="str">
        <f>IF(OR('Base Encuesta'!R175="",IFERROR(VALUE(LEFT('Base Encuesta'!K175,1)),"")&gt;=3),"",VALUE(LEFT('Base Encuesta'!R175,1)))</f>
        <v/>
      </c>
      <c r="M201" t="str">
        <f>IF(OR('Base Encuesta'!S175="",IFERROR(VALUE(LEFT('Base Encuesta'!K175,1)),"")&gt;=3),"",VALUE(LEFT('Base Encuesta'!S175,1)))</f>
        <v/>
      </c>
      <c r="N201" t="str">
        <f>IF(OR('Base Encuesta'!T175="",IFERROR(VALUE(LEFT('Base Encuesta'!K175,1)),"")&gt;=3),"",VALUE(LEFT('Base Encuesta'!T175,1)))</f>
        <v/>
      </c>
      <c r="O201" t="str">
        <f>IF(OR('Base Encuesta'!V175="",IFERROR(VALUE(LEFT('Base Encuesta'!K175,1)),"")&gt;=3),"",VALUE(LEFT('Base Encuesta'!V175,1)))</f>
        <v/>
      </c>
      <c r="P201" t="str">
        <f>IF(OR('Base Encuesta'!W175="",IFERROR(VALUE(LEFT('Base Encuesta'!K175,1)),"")&gt;=3),"",VALUE(LEFT('Base Encuesta'!W175,1)))</f>
        <v/>
      </c>
      <c r="Q201" t="str">
        <f>IF(OR('Base Encuesta'!X175="",IFERROR(VALUE(LEFT('Base Encuesta'!K175,1)),"")&gt;=3),"",VALUE(LEFT('Base Encuesta'!X175,1)))</f>
        <v/>
      </c>
      <c r="R201" t="str">
        <f>IF(OR('Base Encuesta'!Y175="",IFERROR(VALUE(LEFT('Base Encuesta'!K175,1)),"")&gt;=3),"",VALUE(LEFT('Base Encuesta'!Y175,1)))</f>
        <v/>
      </c>
      <c r="S201" t="str">
        <f>IF(OR('Base Encuesta'!Z175="",IFERROR(VALUE(LEFT('Base Encuesta'!K175,1)),"")&gt;=3),"",VALUE(LEFT('Base Encuesta'!Z175,1)))</f>
        <v/>
      </c>
      <c r="T201" t="str">
        <f>IF(OR('Base Encuesta'!AA175="",IFERROR(VALUE(LEFT('Base Encuesta'!K175,1)),"")&gt;=3),"",VALUE(LEFT('Base Encuesta'!AA175,1)))</f>
        <v/>
      </c>
      <c r="U201" t="str">
        <f>IF(OR('Base Encuesta'!AB175="",IFERROR(VALUE(LEFT('Base Encuesta'!K175,1)),"")&gt;=3),"",VALUE(LEFT('Base Encuesta'!AB175,1)))</f>
        <v/>
      </c>
      <c r="V201" t="str">
        <f>IF(OR('Base Encuesta'!AC175="",IFERROR(VALUE(LEFT('Base Encuesta'!K175,1)),"")&gt;=3),"",VALUE(LEFT('Base Encuesta'!AC175,1)))</f>
        <v/>
      </c>
      <c r="W201" t="str">
        <f>IF(OR('Base Encuesta'!AE175="",IFERROR(VALUE(LEFT('Base Encuesta'!K175,1)),"")&gt;=3),"",VALUE(LEFT('Base Encuesta'!AE175,1)))</f>
        <v/>
      </c>
      <c r="X201" t="str">
        <f>IF(OR('Base Encuesta'!AF175="",IFERROR(VALUE(LEFT('Base Encuesta'!K175,1)),"")&gt;=3),"",IF(W201=1,VALUE(LEFT('Base Encuesta'!AF175,1)),""))</f>
        <v/>
      </c>
      <c r="Y201" t="str">
        <f>IF(OR('Base Encuesta'!AG175="",IFERROR(VALUE(LEFT('Base Encuesta'!K175,1)),"")&gt;=3),"",IF(W201=1,VALUE(LEFT('Base Encuesta'!AG175,1)),""))</f>
        <v/>
      </c>
      <c r="Z201" t="str">
        <f>IF(OR('Base Encuesta'!AH175="",IFERROR(VALUE(LEFT('Base Encuesta'!K175,1)),"")&gt;=3),"",IF(W201=1,VALUE(LEFT('Base Encuesta'!AH175,1)),""))</f>
        <v/>
      </c>
      <c r="AA201" t="str">
        <f>IF(OR('Base Encuesta'!AI175="",IFERROR(VALUE(LEFT('Base Encuesta'!K175,1)),"")&gt;=3),"",IF(W201=1,VALUE(LEFT('Base Encuesta'!AI175,1)),""))</f>
        <v/>
      </c>
      <c r="AB201" t="str">
        <f>IF(OR('Base Encuesta'!AJ175="",IFERROR(VALUE(LEFT('Base Encuesta'!K175,1)),"")&gt;=3),"",IF(W201=1,VALUE(LEFT('Base Encuesta'!AJ175,1)),""))</f>
        <v/>
      </c>
      <c r="AC201" t="str">
        <f>IF(OR('Base Encuesta'!AL175="",IFERROR(VALUE(LEFT('Base Encuesta'!K175,1)),"")&gt;=3),"",VALUE(LEFT('Base Encuesta'!AL175,1)))</f>
        <v/>
      </c>
      <c r="AD201" t="str">
        <f>IF(OR('Base Encuesta'!AM175="",IFERROR(VALUE(LEFT('Base Encuesta'!K175,1)),"")&gt;=3),"",VALUE(LEFT('Base Encuesta'!AM175,1)))</f>
        <v/>
      </c>
      <c r="AE201" t="str">
        <f>IF(OR('Base Encuesta'!AN175="",IFERROR(VALUE(LEFT('Base Encuesta'!K175,1)),"")&gt;=3),"",VALUE(LEFT('Base Encuesta'!AN175,1)))</f>
        <v/>
      </c>
      <c r="AF201" t="str">
        <f>IF(OR('Base Encuesta'!AO175="",IFERROR(VALUE(LEFT('Base Encuesta'!K175,1)),"")&gt;=3),"",VALUE(LEFT('Base Encuesta'!AO175,1)))</f>
        <v/>
      </c>
      <c r="AG201" t="str">
        <f>IF(OR('Base Encuesta'!AQ175="",IFERROR(VALUE(LEFT('Base Encuesta'!K175,1)),"")&gt;=3),"",VALUE(LEFT('Base Encuesta'!AQ175,1)))</f>
        <v/>
      </c>
      <c r="AH201" t="str">
        <f>IF(OR('Base Encuesta'!AR175="",IFERROR(VALUE(LEFT('Base Encuesta'!K175,1)),"")&gt;=3),"",VALUE(LEFT('Base Encuesta'!AR175,1)))</f>
        <v/>
      </c>
    </row>
    <row r="202" spans="1:34">
      <c r="A202" t="str">
        <f>IF('Base Encuesta'!C176="","",'Base Encuesta'!C176)</f>
        <v/>
      </c>
      <c r="B202" t="str">
        <f>IF('Base Encuesta'!D176="","",'Base Encuesta'!D176)</f>
        <v/>
      </c>
      <c r="C202" t="str">
        <f>IF('Base Encuesta'!E176="","",'Base Encuesta'!E176)</f>
        <v/>
      </c>
      <c r="D202" t="str">
        <f>IF('Base Encuesta'!F176="","",'Base Encuesta'!F176)</f>
        <v/>
      </c>
      <c r="E202" t="str">
        <f>IF('Base Encuesta'!G176="","",'Base Encuesta'!G176)</f>
        <v/>
      </c>
      <c r="F202" t="str">
        <f>IF('Base Encuesta'!H176="","",'Base Encuesta'!H176)</f>
        <v/>
      </c>
      <c r="G202" t="str">
        <f>IF('Base Encuesta'!I176="","",'Base Encuesta'!I176)</f>
        <v/>
      </c>
      <c r="H202" t="str">
        <f>IF('Base Encuesta'!J176="","",'Base Encuesta'!J176)</f>
        <v/>
      </c>
      <c r="I202" t="str">
        <f>IF('Base Encuesta'!K176="","",'Base Encuesta'!K176)</f>
        <v/>
      </c>
      <c r="J202" t="str">
        <f>IF(OR('Base Encuesta'!P176="",IFERROR(VALUE(LEFT('Base Encuesta'!K176,1)),"")&gt;=3),"",PROPER(TRIM('Base Encuesta'!P176)))</f>
        <v/>
      </c>
      <c r="K202" t="str">
        <f>IF(OR('Base Encuesta'!Q176="",IFERROR(VALUE(LEFT('Base Encuesta'!K176,1)),"")&gt;=3),"",'Base Encuesta'!Q176)</f>
        <v/>
      </c>
      <c r="L202" t="str">
        <f>IF(OR('Base Encuesta'!R176="",IFERROR(VALUE(LEFT('Base Encuesta'!K176,1)),"")&gt;=3),"",VALUE(LEFT('Base Encuesta'!R176,1)))</f>
        <v/>
      </c>
      <c r="M202" t="str">
        <f>IF(OR('Base Encuesta'!S176="",IFERROR(VALUE(LEFT('Base Encuesta'!K176,1)),"")&gt;=3),"",VALUE(LEFT('Base Encuesta'!S176,1)))</f>
        <v/>
      </c>
      <c r="N202" t="str">
        <f>IF(OR('Base Encuesta'!T176="",IFERROR(VALUE(LEFT('Base Encuesta'!K176,1)),"")&gt;=3),"",VALUE(LEFT('Base Encuesta'!T176,1)))</f>
        <v/>
      </c>
      <c r="O202" t="str">
        <f>IF(OR('Base Encuesta'!V176="",IFERROR(VALUE(LEFT('Base Encuesta'!K176,1)),"")&gt;=3),"",VALUE(LEFT('Base Encuesta'!V176,1)))</f>
        <v/>
      </c>
      <c r="P202" t="str">
        <f>IF(OR('Base Encuesta'!W176="",IFERROR(VALUE(LEFT('Base Encuesta'!K176,1)),"")&gt;=3),"",VALUE(LEFT('Base Encuesta'!W176,1)))</f>
        <v/>
      </c>
      <c r="Q202" t="str">
        <f>IF(OR('Base Encuesta'!X176="",IFERROR(VALUE(LEFT('Base Encuesta'!K176,1)),"")&gt;=3),"",VALUE(LEFT('Base Encuesta'!X176,1)))</f>
        <v/>
      </c>
      <c r="R202" t="str">
        <f>IF(OR('Base Encuesta'!Y176="",IFERROR(VALUE(LEFT('Base Encuesta'!K176,1)),"")&gt;=3),"",VALUE(LEFT('Base Encuesta'!Y176,1)))</f>
        <v/>
      </c>
      <c r="S202" t="str">
        <f>IF(OR('Base Encuesta'!Z176="",IFERROR(VALUE(LEFT('Base Encuesta'!K176,1)),"")&gt;=3),"",VALUE(LEFT('Base Encuesta'!Z176,1)))</f>
        <v/>
      </c>
      <c r="T202" t="str">
        <f>IF(OR('Base Encuesta'!AA176="",IFERROR(VALUE(LEFT('Base Encuesta'!K176,1)),"")&gt;=3),"",VALUE(LEFT('Base Encuesta'!AA176,1)))</f>
        <v/>
      </c>
      <c r="U202" t="str">
        <f>IF(OR('Base Encuesta'!AB176="",IFERROR(VALUE(LEFT('Base Encuesta'!K176,1)),"")&gt;=3),"",VALUE(LEFT('Base Encuesta'!AB176,1)))</f>
        <v/>
      </c>
      <c r="V202" t="str">
        <f>IF(OR('Base Encuesta'!AC176="",IFERROR(VALUE(LEFT('Base Encuesta'!K176,1)),"")&gt;=3),"",VALUE(LEFT('Base Encuesta'!AC176,1)))</f>
        <v/>
      </c>
      <c r="W202" t="str">
        <f>IF(OR('Base Encuesta'!AE176="",IFERROR(VALUE(LEFT('Base Encuesta'!K176,1)),"")&gt;=3),"",VALUE(LEFT('Base Encuesta'!AE176,1)))</f>
        <v/>
      </c>
      <c r="X202" t="str">
        <f>IF(OR('Base Encuesta'!AF176="",IFERROR(VALUE(LEFT('Base Encuesta'!K176,1)),"")&gt;=3),"",IF(W202=1,VALUE(LEFT('Base Encuesta'!AF176,1)),""))</f>
        <v/>
      </c>
      <c r="Y202" t="str">
        <f>IF(OR('Base Encuesta'!AG176="",IFERROR(VALUE(LEFT('Base Encuesta'!K176,1)),"")&gt;=3),"",IF(W202=1,VALUE(LEFT('Base Encuesta'!AG176,1)),""))</f>
        <v/>
      </c>
      <c r="Z202" t="str">
        <f>IF(OR('Base Encuesta'!AH176="",IFERROR(VALUE(LEFT('Base Encuesta'!K176,1)),"")&gt;=3),"",IF(W202=1,VALUE(LEFT('Base Encuesta'!AH176,1)),""))</f>
        <v/>
      </c>
      <c r="AA202" t="str">
        <f>IF(OR('Base Encuesta'!AI176="",IFERROR(VALUE(LEFT('Base Encuesta'!K176,1)),"")&gt;=3),"",IF(W202=1,VALUE(LEFT('Base Encuesta'!AI176,1)),""))</f>
        <v/>
      </c>
      <c r="AB202" t="str">
        <f>IF(OR('Base Encuesta'!AJ176="",IFERROR(VALUE(LEFT('Base Encuesta'!K176,1)),"")&gt;=3),"",IF(W202=1,VALUE(LEFT('Base Encuesta'!AJ176,1)),""))</f>
        <v/>
      </c>
      <c r="AC202" t="str">
        <f>IF(OR('Base Encuesta'!AL176="",IFERROR(VALUE(LEFT('Base Encuesta'!K176,1)),"")&gt;=3),"",VALUE(LEFT('Base Encuesta'!AL176,1)))</f>
        <v/>
      </c>
      <c r="AD202" t="str">
        <f>IF(OR('Base Encuesta'!AM176="",IFERROR(VALUE(LEFT('Base Encuesta'!K176,1)),"")&gt;=3),"",VALUE(LEFT('Base Encuesta'!AM176,1)))</f>
        <v/>
      </c>
      <c r="AE202" t="str">
        <f>IF(OR('Base Encuesta'!AN176="",IFERROR(VALUE(LEFT('Base Encuesta'!K176,1)),"")&gt;=3),"",VALUE(LEFT('Base Encuesta'!AN176,1)))</f>
        <v/>
      </c>
      <c r="AF202" t="str">
        <f>IF(OR('Base Encuesta'!AO176="",IFERROR(VALUE(LEFT('Base Encuesta'!K176,1)),"")&gt;=3),"",VALUE(LEFT('Base Encuesta'!AO176,1)))</f>
        <v/>
      </c>
      <c r="AG202" t="str">
        <f>IF(OR('Base Encuesta'!AQ176="",IFERROR(VALUE(LEFT('Base Encuesta'!K176,1)),"")&gt;=3),"",VALUE(LEFT('Base Encuesta'!AQ176,1)))</f>
        <v/>
      </c>
      <c r="AH202" t="str">
        <f>IF(OR('Base Encuesta'!AR176="",IFERROR(VALUE(LEFT('Base Encuesta'!K176,1)),"")&gt;=3),"",VALUE(LEFT('Base Encuesta'!AR176,1)))</f>
        <v/>
      </c>
    </row>
    <row r="203" spans="1:34">
      <c r="A203" t="str">
        <f>IF('Base Encuesta'!C177="","",'Base Encuesta'!C177)</f>
        <v/>
      </c>
      <c r="B203" t="str">
        <f>IF('Base Encuesta'!D177="","",'Base Encuesta'!D177)</f>
        <v/>
      </c>
      <c r="C203" t="str">
        <f>IF('Base Encuesta'!E177="","",'Base Encuesta'!E177)</f>
        <v/>
      </c>
      <c r="D203" t="str">
        <f>IF('Base Encuesta'!F177="","",'Base Encuesta'!F177)</f>
        <v/>
      </c>
      <c r="E203" t="str">
        <f>IF('Base Encuesta'!G177="","",'Base Encuesta'!G177)</f>
        <v/>
      </c>
      <c r="F203" t="str">
        <f>IF('Base Encuesta'!H177="","",'Base Encuesta'!H177)</f>
        <v/>
      </c>
      <c r="G203" t="str">
        <f>IF('Base Encuesta'!I177="","",'Base Encuesta'!I177)</f>
        <v/>
      </c>
      <c r="H203" t="str">
        <f>IF('Base Encuesta'!J177="","",'Base Encuesta'!J177)</f>
        <v/>
      </c>
      <c r="I203" t="str">
        <f>IF('Base Encuesta'!K177="","",'Base Encuesta'!K177)</f>
        <v/>
      </c>
      <c r="J203" t="str">
        <f>IF(OR('Base Encuesta'!P177="",IFERROR(VALUE(LEFT('Base Encuesta'!K177,1)),"")&gt;=3),"",PROPER(TRIM('Base Encuesta'!P177)))</f>
        <v/>
      </c>
      <c r="K203" t="str">
        <f>IF(OR('Base Encuesta'!Q177="",IFERROR(VALUE(LEFT('Base Encuesta'!K177,1)),"")&gt;=3),"",'Base Encuesta'!Q177)</f>
        <v/>
      </c>
      <c r="L203" t="str">
        <f>IF(OR('Base Encuesta'!R177="",IFERROR(VALUE(LEFT('Base Encuesta'!K177,1)),"")&gt;=3),"",VALUE(LEFT('Base Encuesta'!R177,1)))</f>
        <v/>
      </c>
      <c r="M203" t="str">
        <f>IF(OR('Base Encuesta'!S177="",IFERROR(VALUE(LEFT('Base Encuesta'!K177,1)),"")&gt;=3),"",VALUE(LEFT('Base Encuesta'!S177,1)))</f>
        <v/>
      </c>
      <c r="N203" t="str">
        <f>IF(OR('Base Encuesta'!T177="",IFERROR(VALUE(LEFT('Base Encuesta'!K177,1)),"")&gt;=3),"",VALUE(LEFT('Base Encuesta'!T177,1)))</f>
        <v/>
      </c>
      <c r="O203" t="str">
        <f>IF(OR('Base Encuesta'!V177="",IFERROR(VALUE(LEFT('Base Encuesta'!K177,1)),"")&gt;=3),"",VALUE(LEFT('Base Encuesta'!V177,1)))</f>
        <v/>
      </c>
      <c r="P203" t="str">
        <f>IF(OR('Base Encuesta'!W177="",IFERROR(VALUE(LEFT('Base Encuesta'!K177,1)),"")&gt;=3),"",VALUE(LEFT('Base Encuesta'!W177,1)))</f>
        <v/>
      </c>
      <c r="Q203" t="str">
        <f>IF(OR('Base Encuesta'!X177="",IFERROR(VALUE(LEFT('Base Encuesta'!K177,1)),"")&gt;=3),"",VALUE(LEFT('Base Encuesta'!X177,1)))</f>
        <v/>
      </c>
      <c r="R203" t="str">
        <f>IF(OR('Base Encuesta'!Y177="",IFERROR(VALUE(LEFT('Base Encuesta'!K177,1)),"")&gt;=3),"",VALUE(LEFT('Base Encuesta'!Y177,1)))</f>
        <v/>
      </c>
      <c r="S203" t="str">
        <f>IF(OR('Base Encuesta'!Z177="",IFERROR(VALUE(LEFT('Base Encuesta'!K177,1)),"")&gt;=3),"",VALUE(LEFT('Base Encuesta'!Z177,1)))</f>
        <v/>
      </c>
      <c r="T203" t="str">
        <f>IF(OR('Base Encuesta'!AA177="",IFERROR(VALUE(LEFT('Base Encuesta'!K177,1)),"")&gt;=3),"",VALUE(LEFT('Base Encuesta'!AA177,1)))</f>
        <v/>
      </c>
      <c r="U203" t="str">
        <f>IF(OR('Base Encuesta'!AB177="",IFERROR(VALUE(LEFT('Base Encuesta'!K177,1)),"")&gt;=3),"",VALUE(LEFT('Base Encuesta'!AB177,1)))</f>
        <v/>
      </c>
      <c r="V203" t="str">
        <f>IF(OR('Base Encuesta'!AC177="",IFERROR(VALUE(LEFT('Base Encuesta'!K177,1)),"")&gt;=3),"",VALUE(LEFT('Base Encuesta'!AC177,1)))</f>
        <v/>
      </c>
      <c r="W203" t="str">
        <f>IF(OR('Base Encuesta'!AE177="",IFERROR(VALUE(LEFT('Base Encuesta'!K177,1)),"")&gt;=3),"",VALUE(LEFT('Base Encuesta'!AE177,1)))</f>
        <v/>
      </c>
      <c r="X203" t="str">
        <f>IF(OR('Base Encuesta'!AF177="",IFERROR(VALUE(LEFT('Base Encuesta'!K177,1)),"")&gt;=3),"",IF(W203=1,VALUE(LEFT('Base Encuesta'!AF177,1)),""))</f>
        <v/>
      </c>
      <c r="Y203" t="str">
        <f>IF(OR('Base Encuesta'!AG177="",IFERROR(VALUE(LEFT('Base Encuesta'!K177,1)),"")&gt;=3),"",IF(W203=1,VALUE(LEFT('Base Encuesta'!AG177,1)),""))</f>
        <v/>
      </c>
      <c r="Z203" t="str">
        <f>IF(OR('Base Encuesta'!AH177="",IFERROR(VALUE(LEFT('Base Encuesta'!K177,1)),"")&gt;=3),"",IF(W203=1,VALUE(LEFT('Base Encuesta'!AH177,1)),""))</f>
        <v/>
      </c>
      <c r="AA203" t="str">
        <f>IF(OR('Base Encuesta'!AI177="",IFERROR(VALUE(LEFT('Base Encuesta'!K177,1)),"")&gt;=3),"",IF(W203=1,VALUE(LEFT('Base Encuesta'!AI177,1)),""))</f>
        <v/>
      </c>
      <c r="AB203" t="str">
        <f>IF(OR('Base Encuesta'!AJ177="",IFERROR(VALUE(LEFT('Base Encuesta'!K177,1)),"")&gt;=3),"",IF(W203=1,VALUE(LEFT('Base Encuesta'!AJ177,1)),""))</f>
        <v/>
      </c>
      <c r="AC203" t="str">
        <f>IF(OR('Base Encuesta'!AL177="",IFERROR(VALUE(LEFT('Base Encuesta'!K177,1)),"")&gt;=3),"",VALUE(LEFT('Base Encuesta'!AL177,1)))</f>
        <v/>
      </c>
      <c r="AD203" t="str">
        <f>IF(OR('Base Encuesta'!AM177="",IFERROR(VALUE(LEFT('Base Encuesta'!K177,1)),"")&gt;=3),"",VALUE(LEFT('Base Encuesta'!AM177,1)))</f>
        <v/>
      </c>
      <c r="AE203" t="str">
        <f>IF(OR('Base Encuesta'!AN177="",IFERROR(VALUE(LEFT('Base Encuesta'!K177,1)),"")&gt;=3),"",VALUE(LEFT('Base Encuesta'!AN177,1)))</f>
        <v/>
      </c>
      <c r="AF203" t="str">
        <f>IF(OR('Base Encuesta'!AO177="",IFERROR(VALUE(LEFT('Base Encuesta'!K177,1)),"")&gt;=3),"",VALUE(LEFT('Base Encuesta'!AO177,1)))</f>
        <v/>
      </c>
      <c r="AG203" t="str">
        <f>IF(OR('Base Encuesta'!AQ177="",IFERROR(VALUE(LEFT('Base Encuesta'!K177,1)),"")&gt;=3),"",VALUE(LEFT('Base Encuesta'!AQ177,1)))</f>
        <v/>
      </c>
      <c r="AH203" t="str">
        <f>IF(OR('Base Encuesta'!AR177="",IFERROR(VALUE(LEFT('Base Encuesta'!K177,1)),"")&gt;=3),"",VALUE(LEFT('Base Encuesta'!AR177,1)))</f>
        <v/>
      </c>
    </row>
    <row r="204" spans="1:34">
      <c r="A204" t="str">
        <f>IF('Base Encuesta'!C178="","",'Base Encuesta'!C178)</f>
        <v/>
      </c>
      <c r="B204" t="str">
        <f>IF('Base Encuesta'!D178="","",'Base Encuesta'!D178)</f>
        <v/>
      </c>
      <c r="C204" t="str">
        <f>IF('Base Encuesta'!E178="","",'Base Encuesta'!E178)</f>
        <v/>
      </c>
      <c r="D204" t="str">
        <f>IF('Base Encuesta'!F178="","",'Base Encuesta'!F178)</f>
        <v/>
      </c>
      <c r="E204" t="str">
        <f>IF('Base Encuesta'!G178="","",'Base Encuesta'!G178)</f>
        <v/>
      </c>
      <c r="F204" t="str">
        <f>IF('Base Encuesta'!H178="","",'Base Encuesta'!H178)</f>
        <v/>
      </c>
      <c r="G204" t="str">
        <f>IF('Base Encuesta'!I178="","",'Base Encuesta'!I178)</f>
        <v/>
      </c>
      <c r="H204" t="str">
        <f>IF('Base Encuesta'!J178="","",'Base Encuesta'!J178)</f>
        <v/>
      </c>
      <c r="I204" t="str">
        <f>IF('Base Encuesta'!K178="","",'Base Encuesta'!K178)</f>
        <v/>
      </c>
      <c r="J204" t="str">
        <f>IF(OR('Base Encuesta'!P178="",IFERROR(VALUE(LEFT('Base Encuesta'!K178,1)),"")&gt;=3),"",PROPER(TRIM('Base Encuesta'!P178)))</f>
        <v/>
      </c>
      <c r="K204" t="str">
        <f>IF(OR('Base Encuesta'!Q178="",IFERROR(VALUE(LEFT('Base Encuesta'!K178,1)),"")&gt;=3),"",'Base Encuesta'!Q178)</f>
        <v/>
      </c>
      <c r="L204" t="str">
        <f>IF(OR('Base Encuesta'!R178="",IFERROR(VALUE(LEFT('Base Encuesta'!K178,1)),"")&gt;=3),"",VALUE(LEFT('Base Encuesta'!R178,1)))</f>
        <v/>
      </c>
      <c r="M204" t="str">
        <f>IF(OR('Base Encuesta'!S178="",IFERROR(VALUE(LEFT('Base Encuesta'!K178,1)),"")&gt;=3),"",VALUE(LEFT('Base Encuesta'!S178,1)))</f>
        <v/>
      </c>
      <c r="N204" t="str">
        <f>IF(OR('Base Encuesta'!T178="",IFERROR(VALUE(LEFT('Base Encuesta'!K178,1)),"")&gt;=3),"",VALUE(LEFT('Base Encuesta'!T178,1)))</f>
        <v/>
      </c>
      <c r="O204" t="str">
        <f>IF(OR('Base Encuesta'!V178="",IFERROR(VALUE(LEFT('Base Encuesta'!K178,1)),"")&gt;=3),"",VALUE(LEFT('Base Encuesta'!V178,1)))</f>
        <v/>
      </c>
      <c r="P204" t="str">
        <f>IF(OR('Base Encuesta'!W178="",IFERROR(VALUE(LEFT('Base Encuesta'!K178,1)),"")&gt;=3),"",VALUE(LEFT('Base Encuesta'!W178,1)))</f>
        <v/>
      </c>
      <c r="Q204" t="str">
        <f>IF(OR('Base Encuesta'!X178="",IFERROR(VALUE(LEFT('Base Encuesta'!K178,1)),"")&gt;=3),"",VALUE(LEFT('Base Encuesta'!X178,1)))</f>
        <v/>
      </c>
      <c r="R204" t="str">
        <f>IF(OR('Base Encuesta'!Y178="",IFERROR(VALUE(LEFT('Base Encuesta'!K178,1)),"")&gt;=3),"",VALUE(LEFT('Base Encuesta'!Y178,1)))</f>
        <v/>
      </c>
      <c r="S204" t="str">
        <f>IF(OR('Base Encuesta'!Z178="",IFERROR(VALUE(LEFT('Base Encuesta'!K178,1)),"")&gt;=3),"",VALUE(LEFT('Base Encuesta'!Z178,1)))</f>
        <v/>
      </c>
      <c r="T204" t="str">
        <f>IF(OR('Base Encuesta'!AA178="",IFERROR(VALUE(LEFT('Base Encuesta'!K178,1)),"")&gt;=3),"",VALUE(LEFT('Base Encuesta'!AA178,1)))</f>
        <v/>
      </c>
      <c r="U204" t="str">
        <f>IF(OR('Base Encuesta'!AB178="",IFERROR(VALUE(LEFT('Base Encuesta'!K178,1)),"")&gt;=3),"",VALUE(LEFT('Base Encuesta'!AB178,1)))</f>
        <v/>
      </c>
      <c r="V204" t="str">
        <f>IF(OR('Base Encuesta'!AC178="",IFERROR(VALUE(LEFT('Base Encuesta'!K178,1)),"")&gt;=3),"",VALUE(LEFT('Base Encuesta'!AC178,1)))</f>
        <v/>
      </c>
      <c r="W204" t="str">
        <f>IF(OR('Base Encuesta'!AE178="",IFERROR(VALUE(LEFT('Base Encuesta'!K178,1)),"")&gt;=3),"",VALUE(LEFT('Base Encuesta'!AE178,1)))</f>
        <v/>
      </c>
      <c r="X204" t="str">
        <f>IF(OR('Base Encuesta'!AF178="",IFERROR(VALUE(LEFT('Base Encuesta'!K178,1)),"")&gt;=3),"",IF(W204=1,VALUE(LEFT('Base Encuesta'!AF178,1)),""))</f>
        <v/>
      </c>
      <c r="Y204" t="str">
        <f>IF(OR('Base Encuesta'!AG178="",IFERROR(VALUE(LEFT('Base Encuesta'!K178,1)),"")&gt;=3),"",IF(W204=1,VALUE(LEFT('Base Encuesta'!AG178,1)),""))</f>
        <v/>
      </c>
      <c r="Z204" t="str">
        <f>IF(OR('Base Encuesta'!AH178="",IFERROR(VALUE(LEFT('Base Encuesta'!K178,1)),"")&gt;=3),"",IF(W204=1,VALUE(LEFT('Base Encuesta'!AH178,1)),""))</f>
        <v/>
      </c>
      <c r="AA204" t="str">
        <f>IF(OR('Base Encuesta'!AI178="",IFERROR(VALUE(LEFT('Base Encuesta'!K178,1)),"")&gt;=3),"",IF(W204=1,VALUE(LEFT('Base Encuesta'!AI178,1)),""))</f>
        <v/>
      </c>
      <c r="AB204" t="str">
        <f>IF(OR('Base Encuesta'!AJ178="",IFERROR(VALUE(LEFT('Base Encuesta'!K178,1)),"")&gt;=3),"",IF(W204=1,VALUE(LEFT('Base Encuesta'!AJ178,1)),""))</f>
        <v/>
      </c>
      <c r="AC204" t="str">
        <f>IF(OR('Base Encuesta'!AL178="",IFERROR(VALUE(LEFT('Base Encuesta'!K178,1)),"")&gt;=3),"",VALUE(LEFT('Base Encuesta'!AL178,1)))</f>
        <v/>
      </c>
      <c r="AD204" t="str">
        <f>IF(OR('Base Encuesta'!AM178="",IFERROR(VALUE(LEFT('Base Encuesta'!K178,1)),"")&gt;=3),"",VALUE(LEFT('Base Encuesta'!AM178,1)))</f>
        <v/>
      </c>
      <c r="AE204" t="str">
        <f>IF(OR('Base Encuesta'!AN178="",IFERROR(VALUE(LEFT('Base Encuesta'!K178,1)),"")&gt;=3),"",VALUE(LEFT('Base Encuesta'!AN178,1)))</f>
        <v/>
      </c>
      <c r="AF204" t="str">
        <f>IF(OR('Base Encuesta'!AO178="",IFERROR(VALUE(LEFT('Base Encuesta'!K178,1)),"")&gt;=3),"",VALUE(LEFT('Base Encuesta'!AO178,1)))</f>
        <v/>
      </c>
      <c r="AG204" t="str">
        <f>IF(OR('Base Encuesta'!AQ178="",IFERROR(VALUE(LEFT('Base Encuesta'!K178,1)),"")&gt;=3),"",VALUE(LEFT('Base Encuesta'!AQ178,1)))</f>
        <v/>
      </c>
      <c r="AH204" t="str">
        <f>IF(OR('Base Encuesta'!AR178="",IFERROR(VALUE(LEFT('Base Encuesta'!K178,1)),"")&gt;=3),"",VALUE(LEFT('Base Encuesta'!AR178,1)))</f>
        <v/>
      </c>
    </row>
    <row r="205" spans="1:34">
      <c r="A205" t="str">
        <f>IF('Base Encuesta'!C179="","",'Base Encuesta'!C179)</f>
        <v/>
      </c>
      <c r="B205" t="str">
        <f>IF('Base Encuesta'!D179="","",'Base Encuesta'!D179)</f>
        <v/>
      </c>
      <c r="C205" t="str">
        <f>IF('Base Encuesta'!E179="","",'Base Encuesta'!E179)</f>
        <v/>
      </c>
      <c r="D205" t="str">
        <f>IF('Base Encuesta'!F179="","",'Base Encuesta'!F179)</f>
        <v/>
      </c>
      <c r="E205" t="str">
        <f>IF('Base Encuesta'!G179="","",'Base Encuesta'!G179)</f>
        <v/>
      </c>
      <c r="F205" t="str">
        <f>IF('Base Encuesta'!H179="","",'Base Encuesta'!H179)</f>
        <v/>
      </c>
      <c r="G205" t="str">
        <f>IF('Base Encuesta'!I179="","",'Base Encuesta'!I179)</f>
        <v/>
      </c>
      <c r="H205" t="str">
        <f>IF('Base Encuesta'!J179="","",'Base Encuesta'!J179)</f>
        <v/>
      </c>
      <c r="I205" t="str">
        <f>IF('Base Encuesta'!K179="","",'Base Encuesta'!K179)</f>
        <v/>
      </c>
      <c r="J205" t="str">
        <f>IF(OR('Base Encuesta'!P179="",IFERROR(VALUE(LEFT('Base Encuesta'!K179,1)),"")&gt;=3),"",PROPER(TRIM('Base Encuesta'!P179)))</f>
        <v/>
      </c>
      <c r="K205" t="str">
        <f>IF(OR('Base Encuesta'!Q179="",IFERROR(VALUE(LEFT('Base Encuesta'!K179,1)),"")&gt;=3),"",'Base Encuesta'!Q179)</f>
        <v/>
      </c>
      <c r="L205" t="str">
        <f>IF(OR('Base Encuesta'!R179="",IFERROR(VALUE(LEFT('Base Encuesta'!K179,1)),"")&gt;=3),"",VALUE(LEFT('Base Encuesta'!R179,1)))</f>
        <v/>
      </c>
      <c r="M205" t="str">
        <f>IF(OR('Base Encuesta'!S179="",IFERROR(VALUE(LEFT('Base Encuesta'!K179,1)),"")&gt;=3),"",VALUE(LEFT('Base Encuesta'!S179,1)))</f>
        <v/>
      </c>
      <c r="N205" t="str">
        <f>IF(OR('Base Encuesta'!T179="",IFERROR(VALUE(LEFT('Base Encuesta'!K179,1)),"")&gt;=3),"",VALUE(LEFT('Base Encuesta'!T179,1)))</f>
        <v/>
      </c>
      <c r="O205" t="str">
        <f>IF(OR('Base Encuesta'!V179="",IFERROR(VALUE(LEFT('Base Encuesta'!K179,1)),"")&gt;=3),"",VALUE(LEFT('Base Encuesta'!V179,1)))</f>
        <v/>
      </c>
      <c r="P205" t="str">
        <f>IF(OR('Base Encuesta'!W179="",IFERROR(VALUE(LEFT('Base Encuesta'!K179,1)),"")&gt;=3),"",VALUE(LEFT('Base Encuesta'!W179,1)))</f>
        <v/>
      </c>
      <c r="Q205" t="str">
        <f>IF(OR('Base Encuesta'!X179="",IFERROR(VALUE(LEFT('Base Encuesta'!K179,1)),"")&gt;=3),"",VALUE(LEFT('Base Encuesta'!X179,1)))</f>
        <v/>
      </c>
      <c r="R205" t="str">
        <f>IF(OR('Base Encuesta'!Y179="",IFERROR(VALUE(LEFT('Base Encuesta'!K179,1)),"")&gt;=3),"",VALUE(LEFT('Base Encuesta'!Y179,1)))</f>
        <v/>
      </c>
      <c r="S205" t="str">
        <f>IF(OR('Base Encuesta'!Z179="",IFERROR(VALUE(LEFT('Base Encuesta'!K179,1)),"")&gt;=3),"",VALUE(LEFT('Base Encuesta'!Z179,1)))</f>
        <v/>
      </c>
      <c r="T205" t="str">
        <f>IF(OR('Base Encuesta'!AA179="",IFERROR(VALUE(LEFT('Base Encuesta'!K179,1)),"")&gt;=3),"",VALUE(LEFT('Base Encuesta'!AA179,1)))</f>
        <v/>
      </c>
      <c r="U205" t="str">
        <f>IF(OR('Base Encuesta'!AB179="",IFERROR(VALUE(LEFT('Base Encuesta'!K179,1)),"")&gt;=3),"",VALUE(LEFT('Base Encuesta'!AB179,1)))</f>
        <v/>
      </c>
      <c r="V205" t="str">
        <f>IF(OR('Base Encuesta'!AC179="",IFERROR(VALUE(LEFT('Base Encuesta'!K179,1)),"")&gt;=3),"",VALUE(LEFT('Base Encuesta'!AC179,1)))</f>
        <v/>
      </c>
      <c r="W205" t="str">
        <f>IF(OR('Base Encuesta'!AE179="",IFERROR(VALUE(LEFT('Base Encuesta'!K179,1)),"")&gt;=3),"",VALUE(LEFT('Base Encuesta'!AE179,1)))</f>
        <v/>
      </c>
      <c r="X205" t="str">
        <f>IF(OR('Base Encuesta'!AF179="",IFERROR(VALUE(LEFT('Base Encuesta'!K179,1)),"")&gt;=3),"",IF(W205=1,VALUE(LEFT('Base Encuesta'!AF179,1)),""))</f>
        <v/>
      </c>
      <c r="Y205" t="str">
        <f>IF(OR('Base Encuesta'!AG179="",IFERROR(VALUE(LEFT('Base Encuesta'!K179,1)),"")&gt;=3),"",IF(W205=1,VALUE(LEFT('Base Encuesta'!AG179,1)),""))</f>
        <v/>
      </c>
      <c r="Z205" t="str">
        <f>IF(OR('Base Encuesta'!AH179="",IFERROR(VALUE(LEFT('Base Encuesta'!K179,1)),"")&gt;=3),"",IF(W205=1,VALUE(LEFT('Base Encuesta'!AH179,1)),""))</f>
        <v/>
      </c>
      <c r="AA205" t="str">
        <f>IF(OR('Base Encuesta'!AI179="",IFERROR(VALUE(LEFT('Base Encuesta'!K179,1)),"")&gt;=3),"",IF(W205=1,VALUE(LEFT('Base Encuesta'!AI179,1)),""))</f>
        <v/>
      </c>
      <c r="AB205" t="str">
        <f>IF(OR('Base Encuesta'!AJ179="",IFERROR(VALUE(LEFT('Base Encuesta'!K179,1)),"")&gt;=3),"",IF(W205=1,VALUE(LEFT('Base Encuesta'!AJ179,1)),""))</f>
        <v/>
      </c>
      <c r="AC205" t="str">
        <f>IF(OR('Base Encuesta'!AL179="",IFERROR(VALUE(LEFT('Base Encuesta'!K179,1)),"")&gt;=3),"",VALUE(LEFT('Base Encuesta'!AL179,1)))</f>
        <v/>
      </c>
      <c r="AD205" t="str">
        <f>IF(OR('Base Encuesta'!AM179="",IFERROR(VALUE(LEFT('Base Encuesta'!K179,1)),"")&gt;=3),"",VALUE(LEFT('Base Encuesta'!AM179,1)))</f>
        <v/>
      </c>
      <c r="AE205" t="str">
        <f>IF(OR('Base Encuesta'!AN179="",IFERROR(VALUE(LEFT('Base Encuesta'!K179,1)),"")&gt;=3),"",VALUE(LEFT('Base Encuesta'!AN179,1)))</f>
        <v/>
      </c>
      <c r="AF205" t="str">
        <f>IF(OR('Base Encuesta'!AO179="",IFERROR(VALUE(LEFT('Base Encuesta'!K179,1)),"")&gt;=3),"",VALUE(LEFT('Base Encuesta'!AO179,1)))</f>
        <v/>
      </c>
      <c r="AG205" t="str">
        <f>IF(OR('Base Encuesta'!AQ179="",IFERROR(VALUE(LEFT('Base Encuesta'!K179,1)),"")&gt;=3),"",VALUE(LEFT('Base Encuesta'!AQ179,1)))</f>
        <v/>
      </c>
      <c r="AH205" t="str">
        <f>IF(OR('Base Encuesta'!AR179="",IFERROR(VALUE(LEFT('Base Encuesta'!K179,1)),"")&gt;=3),"",VALUE(LEFT('Base Encuesta'!AR179,1)))</f>
        <v/>
      </c>
    </row>
    <row r="206" spans="1:34">
      <c r="A206" t="str">
        <f>IF('Base Encuesta'!C180="","",'Base Encuesta'!C180)</f>
        <v/>
      </c>
      <c r="B206" t="str">
        <f>IF('Base Encuesta'!D180="","",'Base Encuesta'!D180)</f>
        <v/>
      </c>
      <c r="C206" t="str">
        <f>IF('Base Encuesta'!E180="","",'Base Encuesta'!E180)</f>
        <v/>
      </c>
      <c r="D206" t="str">
        <f>IF('Base Encuesta'!F180="","",'Base Encuesta'!F180)</f>
        <v/>
      </c>
      <c r="E206" t="str">
        <f>IF('Base Encuesta'!G180="","",'Base Encuesta'!G180)</f>
        <v/>
      </c>
      <c r="F206" t="str">
        <f>IF('Base Encuesta'!H180="","",'Base Encuesta'!H180)</f>
        <v/>
      </c>
      <c r="G206" t="str">
        <f>IF('Base Encuesta'!I180="","",'Base Encuesta'!I180)</f>
        <v/>
      </c>
      <c r="H206" t="str">
        <f>IF('Base Encuesta'!J180="","",'Base Encuesta'!J180)</f>
        <v/>
      </c>
      <c r="I206" t="str">
        <f>IF('Base Encuesta'!K180="","",'Base Encuesta'!K180)</f>
        <v/>
      </c>
      <c r="J206" t="str">
        <f>IF(OR('Base Encuesta'!P180="",IFERROR(VALUE(LEFT('Base Encuesta'!K180,1)),"")&gt;=3),"",PROPER(TRIM('Base Encuesta'!P180)))</f>
        <v/>
      </c>
      <c r="K206" t="str">
        <f>IF(OR('Base Encuesta'!Q180="",IFERROR(VALUE(LEFT('Base Encuesta'!K180,1)),"")&gt;=3),"",'Base Encuesta'!Q180)</f>
        <v/>
      </c>
      <c r="L206" t="str">
        <f>IF(OR('Base Encuesta'!R180="",IFERROR(VALUE(LEFT('Base Encuesta'!K180,1)),"")&gt;=3),"",VALUE(LEFT('Base Encuesta'!R180,1)))</f>
        <v/>
      </c>
      <c r="M206" t="str">
        <f>IF(OR('Base Encuesta'!S180="",IFERROR(VALUE(LEFT('Base Encuesta'!K180,1)),"")&gt;=3),"",VALUE(LEFT('Base Encuesta'!S180,1)))</f>
        <v/>
      </c>
      <c r="N206" t="str">
        <f>IF(OR('Base Encuesta'!T180="",IFERROR(VALUE(LEFT('Base Encuesta'!K180,1)),"")&gt;=3),"",VALUE(LEFT('Base Encuesta'!T180,1)))</f>
        <v/>
      </c>
      <c r="O206" t="str">
        <f>IF(OR('Base Encuesta'!V180="",IFERROR(VALUE(LEFT('Base Encuesta'!K180,1)),"")&gt;=3),"",VALUE(LEFT('Base Encuesta'!V180,1)))</f>
        <v/>
      </c>
      <c r="P206" t="str">
        <f>IF(OR('Base Encuesta'!W180="",IFERROR(VALUE(LEFT('Base Encuesta'!K180,1)),"")&gt;=3),"",VALUE(LEFT('Base Encuesta'!W180,1)))</f>
        <v/>
      </c>
      <c r="Q206" t="str">
        <f>IF(OR('Base Encuesta'!X180="",IFERROR(VALUE(LEFT('Base Encuesta'!K180,1)),"")&gt;=3),"",VALUE(LEFT('Base Encuesta'!X180,1)))</f>
        <v/>
      </c>
      <c r="R206" t="str">
        <f>IF(OR('Base Encuesta'!Y180="",IFERROR(VALUE(LEFT('Base Encuesta'!K180,1)),"")&gt;=3),"",VALUE(LEFT('Base Encuesta'!Y180,1)))</f>
        <v/>
      </c>
      <c r="S206" t="str">
        <f>IF(OR('Base Encuesta'!Z180="",IFERROR(VALUE(LEFT('Base Encuesta'!K180,1)),"")&gt;=3),"",VALUE(LEFT('Base Encuesta'!Z180,1)))</f>
        <v/>
      </c>
      <c r="T206" t="str">
        <f>IF(OR('Base Encuesta'!AA180="",IFERROR(VALUE(LEFT('Base Encuesta'!K180,1)),"")&gt;=3),"",VALUE(LEFT('Base Encuesta'!AA180,1)))</f>
        <v/>
      </c>
      <c r="U206" t="str">
        <f>IF(OR('Base Encuesta'!AB180="",IFERROR(VALUE(LEFT('Base Encuesta'!K180,1)),"")&gt;=3),"",VALUE(LEFT('Base Encuesta'!AB180,1)))</f>
        <v/>
      </c>
      <c r="V206" t="str">
        <f>IF(OR('Base Encuesta'!AC180="",IFERROR(VALUE(LEFT('Base Encuesta'!K180,1)),"")&gt;=3),"",VALUE(LEFT('Base Encuesta'!AC180,1)))</f>
        <v/>
      </c>
      <c r="W206" t="str">
        <f>IF(OR('Base Encuesta'!AE180="",IFERROR(VALUE(LEFT('Base Encuesta'!K180,1)),"")&gt;=3),"",VALUE(LEFT('Base Encuesta'!AE180,1)))</f>
        <v/>
      </c>
      <c r="X206" t="str">
        <f>IF(OR('Base Encuesta'!AF180="",IFERROR(VALUE(LEFT('Base Encuesta'!K180,1)),"")&gt;=3),"",IF(W206=1,VALUE(LEFT('Base Encuesta'!AF180,1)),""))</f>
        <v/>
      </c>
      <c r="Y206" t="str">
        <f>IF(OR('Base Encuesta'!AG180="",IFERROR(VALUE(LEFT('Base Encuesta'!K180,1)),"")&gt;=3),"",IF(W206=1,VALUE(LEFT('Base Encuesta'!AG180,1)),""))</f>
        <v/>
      </c>
      <c r="Z206" t="str">
        <f>IF(OR('Base Encuesta'!AH180="",IFERROR(VALUE(LEFT('Base Encuesta'!K180,1)),"")&gt;=3),"",IF(W206=1,VALUE(LEFT('Base Encuesta'!AH180,1)),""))</f>
        <v/>
      </c>
      <c r="AA206" t="str">
        <f>IF(OR('Base Encuesta'!AI180="",IFERROR(VALUE(LEFT('Base Encuesta'!K180,1)),"")&gt;=3),"",IF(W206=1,VALUE(LEFT('Base Encuesta'!AI180,1)),""))</f>
        <v/>
      </c>
      <c r="AB206" t="str">
        <f>IF(OR('Base Encuesta'!AJ180="",IFERROR(VALUE(LEFT('Base Encuesta'!K180,1)),"")&gt;=3),"",IF(W206=1,VALUE(LEFT('Base Encuesta'!AJ180,1)),""))</f>
        <v/>
      </c>
      <c r="AC206" t="str">
        <f>IF(OR('Base Encuesta'!AL180="",IFERROR(VALUE(LEFT('Base Encuesta'!K180,1)),"")&gt;=3),"",VALUE(LEFT('Base Encuesta'!AL180,1)))</f>
        <v/>
      </c>
      <c r="AD206" t="str">
        <f>IF(OR('Base Encuesta'!AM180="",IFERROR(VALUE(LEFT('Base Encuesta'!K180,1)),"")&gt;=3),"",VALUE(LEFT('Base Encuesta'!AM180,1)))</f>
        <v/>
      </c>
      <c r="AE206" t="str">
        <f>IF(OR('Base Encuesta'!AN180="",IFERROR(VALUE(LEFT('Base Encuesta'!K180,1)),"")&gt;=3),"",VALUE(LEFT('Base Encuesta'!AN180,1)))</f>
        <v/>
      </c>
      <c r="AF206" t="str">
        <f>IF(OR('Base Encuesta'!AO180="",IFERROR(VALUE(LEFT('Base Encuesta'!K180,1)),"")&gt;=3),"",VALUE(LEFT('Base Encuesta'!AO180,1)))</f>
        <v/>
      </c>
      <c r="AG206" t="str">
        <f>IF(OR('Base Encuesta'!AQ180="",IFERROR(VALUE(LEFT('Base Encuesta'!K180,1)),"")&gt;=3),"",VALUE(LEFT('Base Encuesta'!AQ180,1)))</f>
        <v/>
      </c>
      <c r="AH206" t="str">
        <f>IF(OR('Base Encuesta'!AR180="",IFERROR(VALUE(LEFT('Base Encuesta'!K180,1)),"")&gt;=3),"",VALUE(LEFT('Base Encuesta'!AR180,1)))</f>
        <v/>
      </c>
    </row>
    <row r="207" spans="1:34">
      <c r="A207" t="str">
        <f>IF('Base Encuesta'!C181="","",'Base Encuesta'!C181)</f>
        <v/>
      </c>
      <c r="B207" t="str">
        <f>IF('Base Encuesta'!D181="","",'Base Encuesta'!D181)</f>
        <v/>
      </c>
      <c r="C207" t="str">
        <f>IF('Base Encuesta'!E181="","",'Base Encuesta'!E181)</f>
        <v/>
      </c>
      <c r="D207" t="str">
        <f>IF('Base Encuesta'!F181="","",'Base Encuesta'!F181)</f>
        <v/>
      </c>
      <c r="E207" t="str">
        <f>IF('Base Encuesta'!G181="","",'Base Encuesta'!G181)</f>
        <v/>
      </c>
      <c r="F207" t="str">
        <f>IF('Base Encuesta'!H181="","",'Base Encuesta'!H181)</f>
        <v/>
      </c>
      <c r="G207" t="str">
        <f>IF('Base Encuesta'!I181="","",'Base Encuesta'!I181)</f>
        <v/>
      </c>
      <c r="H207" t="str">
        <f>IF('Base Encuesta'!J181="","",'Base Encuesta'!J181)</f>
        <v/>
      </c>
      <c r="I207" t="str">
        <f>IF('Base Encuesta'!K181="","",'Base Encuesta'!K181)</f>
        <v/>
      </c>
      <c r="J207" t="str">
        <f>IF(OR('Base Encuesta'!P181="",IFERROR(VALUE(LEFT('Base Encuesta'!K181,1)),"")&gt;=3),"",PROPER(TRIM('Base Encuesta'!P181)))</f>
        <v/>
      </c>
      <c r="K207" t="str">
        <f>IF(OR('Base Encuesta'!Q181="",IFERROR(VALUE(LEFT('Base Encuesta'!K181,1)),"")&gt;=3),"",'Base Encuesta'!Q181)</f>
        <v/>
      </c>
      <c r="L207" t="str">
        <f>IF(OR('Base Encuesta'!R181="",IFERROR(VALUE(LEFT('Base Encuesta'!K181,1)),"")&gt;=3),"",VALUE(LEFT('Base Encuesta'!R181,1)))</f>
        <v/>
      </c>
      <c r="M207" t="str">
        <f>IF(OR('Base Encuesta'!S181="",IFERROR(VALUE(LEFT('Base Encuesta'!K181,1)),"")&gt;=3),"",VALUE(LEFT('Base Encuesta'!S181,1)))</f>
        <v/>
      </c>
      <c r="N207" t="str">
        <f>IF(OR('Base Encuesta'!T181="",IFERROR(VALUE(LEFT('Base Encuesta'!K181,1)),"")&gt;=3),"",VALUE(LEFT('Base Encuesta'!T181,1)))</f>
        <v/>
      </c>
      <c r="O207" t="str">
        <f>IF(OR('Base Encuesta'!V181="",IFERROR(VALUE(LEFT('Base Encuesta'!K181,1)),"")&gt;=3),"",VALUE(LEFT('Base Encuesta'!V181,1)))</f>
        <v/>
      </c>
      <c r="P207" t="str">
        <f>IF(OR('Base Encuesta'!W181="",IFERROR(VALUE(LEFT('Base Encuesta'!K181,1)),"")&gt;=3),"",VALUE(LEFT('Base Encuesta'!W181,1)))</f>
        <v/>
      </c>
      <c r="Q207" t="str">
        <f>IF(OR('Base Encuesta'!X181="",IFERROR(VALUE(LEFT('Base Encuesta'!K181,1)),"")&gt;=3),"",VALUE(LEFT('Base Encuesta'!X181,1)))</f>
        <v/>
      </c>
      <c r="R207" t="str">
        <f>IF(OR('Base Encuesta'!Y181="",IFERROR(VALUE(LEFT('Base Encuesta'!K181,1)),"")&gt;=3),"",VALUE(LEFT('Base Encuesta'!Y181,1)))</f>
        <v/>
      </c>
      <c r="S207" t="str">
        <f>IF(OR('Base Encuesta'!Z181="",IFERROR(VALUE(LEFT('Base Encuesta'!K181,1)),"")&gt;=3),"",VALUE(LEFT('Base Encuesta'!Z181,1)))</f>
        <v/>
      </c>
      <c r="T207" t="str">
        <f>IF(OR('Base Encuesta'!AA181="",IFERROR(VALUE(LEFT('Base Encuesta'!K181,1)),"")&gt;=3),"",VALUE(LEFT('Base Encuesta'!AA181,1)))</f>
        <v/>
      </c>
      <c r="U207" t="str">
        <f>IF(OR('Base Encuesta'!AB181="",IFERROR(VALUE(LEFT('Base Encuesta'!K181,1)),"")&gt;=3),"",VALUE(LEFT('Base Encuesta'!AB181,1)))</f>
        <v/>
      </c>
      <c r="V207" t="str">
        <f>IF(OR('Base Encuesta'!AC181="",IFERROR(VALUE(LEFT('Base Encuesta'!K181,1)),"")&gt;=3),"",VALUE(LEFT('Base Encuesta'!AC181,1)))</f>
        <v/>
      </c>
      <c r="W207" t="str">
        <f>IF(OR('Base Encuesta'!AE181="",IFERROR(VALUE(LEFT('Base Encuesta'!K181,1)),"")&gt;=3),"",VALUE(LEFT('Base Encuesta'!AE181,1)))</f>
        <v/>
      </c>
      <c r="X207" t="str">
        <f>IF(OR('Base Encuesta'!AF181="",IFERROR(VALUE(LEFT('Base Encuesta'!K181,1)),"")&gt;=3),"",IF(W207=1,VALUE(LEFT('Base Encuesta'!AF181,1)),""))</f>
        <v/>
      </c>
      <c r="Y207" t="str">
        <f>IF(OR('Base Encuesta'!AG181="",IFERROR(VALUE(LEFT('Base Encuesta'!K181,1)),"")&gt;=3),"",IF(W207=1,VALUE(LEFT('Base Encuesta'!AG181,1)),""))</f>
        <v/>
      </c>
      <c r="Z207" t="str">
        <f>IF(OR('Base Encuesta'!AH181="",IFERROR(VALUE(LEFT('Base Encuesta'!K181,1)),"")&gt;=3),"",IF(W207=1,VALUE(LEFT('Base Encuesta'!AH181,1)),""))</f>
        <v/>
      </c>
      <c r="AA207" t="str">
        <f>IF(OR('Base Encuesta'!AI181="",IFERROR(VALUE(LEFT('Base Encuesta'!K181,1)),"")&gt;=3),"",IF(W207=1,VALUE(LEFT('Base Encuesta'!AI181,1)),""))</f>
        <v/>
      </c>
      <c r="AB207" t="str">
        <f>IF(OR('Base Encuesta'!AJ181="",IFERROR(VALUE(LEFT('Base Encuesta'!K181,1)),"")&gt;=3),"",IF(W207=1,VALUE(LEFT('Base Encuesta'!AJ181,1)),""))</f>
        <v/>
      </c>
      <c r="AC207" t="str">
        <f>IF(OR('Base Encuesta'!AL181="",IFERROR(VALUE(LEFT('Base Encuesta'!K181,1)),"")&gt;=3),"",VALUE(LEFT('Base Encuesta'!AL181,1)))</f>
        <v/>
      </c>
      <c r="AD207" t="str">
        <f>IF(OR('Base Encuesta'!AM181="",IFERROR(VALUE(LEFT('Base Encuesta'!K181,1)),"")&gt;=3),"",VALUE(LEFT('Base Encuesta'!AM181,1)))</f>
        <v/>
      </c>
      <c r="AE207" t="str">
        <f>IF(OR('Base Encuesta'!AN181="",IFERROR(VALUE(LEFT('Base Encuesta'!K181,1)),"")&gt;=3),"",VALUE(LEFT('Base Encuesta'!AN181,1)))</f>
        <v/>
      </c>
      <c r="AF207" t="str">
        <f>IF(OR('Base Encuesta'!AO181="",IFERROR(VALUE(LEFT('Base Encuesta'!K181,1)),"")&gt;=3),"",VALUE(LEFT('Base Encuesta'!AO181,1)))</f>
        <v/>
      </c>
      <c r="AG207" t="str">
        <f>IF(OR('Base Encuesta'!AQ181="",IFERROR(VALUE(LEFT('Base Encuesta'!K181,1)),"")&gt;=3),"",VALUE(LEFT('Base Encuesta'!AQ181,1)))</f>
        <v/>
      </c>
      <c r="AH207" t="str">
        <f>IF(OR('Base Encuesta'!AR181="",IFERROR(VALUE(LEFT('Base Encuesta'!K181,1)),"")&gt;=3),"",VALUE(LEFT('Base Encuesta'!AR181,1)))</f>
        <v/>
      </c>
    </row>
    <row r="208" spans="1:34">
      <c r="A208" t="str">
        <f>IF('Base Encuesta'!C182="","",'Base Encuesta'!C182)</f>
        <v/>
      </c>
      <c r="B208" t="str">
        <f>IF('Base Encuesta'!D182="","",'Base Encuesta'!D182)</f>
        <v/>
      </c>
      <c r="C208" t="str">
        <f>IF('Base Encuesta'!E182="","",'Base Encuesta'!E182)</f>
        <v/>
      </c>
      <c r="D208" t="str">
        <f>IF('Base Encuesta'!F182="","",'Base Encuesta'!F182)</f>
        <v/>
      </c>
      <c r="E208" t="str">
        <f>IF('Base Encuesta'!G182="","",'Base Encuesta'!G182)</f>
        <v/>
      </c>
      <c r="F208" t="str">
        <f>IF('Base Encuesta'!H182="","",'Base Encuesta'!H182)</f>
        <v/>
      </c>
      <c r="G208" t="str">
        <f>IF('Base Encuesta'!I182="","",'Base Encuesta'!I182)</f>
        <v/>
      </c>
      <c r="H208" t="str">
        <f>IF('Base Encuesta'!J182="","",'Base Encuesta'!J182)</f>
        <v/>
      </c>
      <c r="I208" t="str">
        <f>IF('Base Encuesta'!K182="","",'Base Encuesta'!K182)</f>
        <v/>
      </c>
      <c r="J208" t="str">
        <f>IF(OR('Base Encuesta'!P182="",IFERROR(VALUE(LEFT('Base Encuesta'!K182,1)),"")&gt;=3),"",PROPER(TRIM('Base Encuesta'!P182)))</f>
        <v/>
      </c>
      <c r="K208" t="str">
        <f>IF(OR('Base Encuesta'!Q182="",IFERROR(VALUE(LEFT('Base Encuesta'!K182,1)),"")&gt;=3),"",'Base Encuesta'!Q182)</f>
        <v/>
      </c>
      <c r="L208" t="str">
        <f>IF(OR('Base Encuesta'!R182="",IFERROR(VALUE(LEFT('Base Encuesta'!K182,1)),"")&gt;=3),"",VALUE(LEFT('Base Encuesta'!R182,1)))</f>
        <v/>
      </c>
      <c r="M208" t="str">
        <f>IF(OR('Base Encuesta'!S182="",IFERROR(VALUE(LEFT('Base Encuesta'!K182,1)),"")&gt;=3),"",VALUE(LEFT('Base Encuesta'!S182,1)))</f>
        <v/>
      </c>
      <c r="N208" t="str">
        <f>IF(OR('Base Encuesta'!T182="",IFERROR(VALUE(LEFT('Base Encuesta'!K182,1)),"")&gt;=3),"",VALUE(LEFT('Base Encuesta'!T182,1)))</f>
        <v/>
      </c>
      <c r="O208" t="str">
        <f>IF(OR('Base Encuesta'!V182="",IFERROR(VALUE(LEFT('Base Encuesta'!K182,1)),"")&gt;=3),"",VALUE(LEFT('Base Encuesta'!V182,1)))</f>
        <v/>
      </c>
      <c r="P208" t="str">
        <f>IF(OR('Base Encuesta'!W182="",IFERROR(VALUE(LEFT('Base Encuesta'!K182,1)),"")&gt;=3),"",VALUE(LEFT('Base Encuesta'!W182,1)))</f>
        <v/>
      </c>
      <c r="Q208" t="str">
        <f>IF(OR('Base Encuesta'!X182="",IFERROR(VALUE(LEFT('Base Encuesta'!K182,1)),"")&gt;=3),"",VALUE(LEFT('Base Encuesta'!X182,1)))</f>
        <v/>
      </c>
      <c r="R208" t="str">
        <f>IF(OR('Base Encuesta'!Y182="",IFERROR(VALUE(LEFT('Base Encuesta'!K182,1)),"")&gt;=3),"",VALUE(LEFT('Base Encuesta'!Y182,1)))</f>
        <v/>
      </c>
      <c r="S208" t="str">
        <f>IF(OR('Base Encuesta'!Z182="",IFERROR(VALUE(LEFT('Base Encuesta'!K182,1)),"")&gt;=3),"",VALUE(LEFT('Base Encuesta'!Z182,1)))</f>
        <v/>
      </c>
      <c r="T208" t="str">
        <f>IF(OR('Base Encuesta'!AA182="",IFERROR(VALUE(LEFT('Base Encuesta'!K182,1)),"")&gt;=3),"",VALUE(LEFT('Base Encuesta'!AA182,1)))</f>
        <v/>
      </c>
      <c r="U208" t="str">
        <f>IF(OR('Base Encuesta'!AB182="",IFERROR(VALUE(LEFT('Base Encuesta'!K182,1)),"")&gt;=3),"",VALUE(LEFT('Base Encuesta'!AB182,1)))</f>
        <v/>
      </c>
      <c r="V208" t="str">
        <f>IF(OR('Base Encuesta'!AC182="",IFERROR(VALUE(LEFT('Base Encuesta'!K182,1)),"")&gt;=3),"",VALUE(LEFT('Base Encuesta'!AC182,1)))</f>
        <v/>
      </c>
      <c r="W208" t="str">
        <f>IF(OR('Base Encuesta'!AE182="",IFERROR(VALUE(LEFT('Base Encuesta'!K182,1)),"")&gt;=3),"",VALUE(LEFT('Base Encuesta'!AE182,1)))</f>
        <v/>
      </c>
      <c r="X208" t="str">
        <f>IF(OR('Base Encuesta'!AF182="",IFERROR(VALUE(LEFT('Base Encuesta'!K182,1)),"")&gt;=3),"",IF(W208=1,VALUE(LEFT('Base Encuesta'!AF182,1)),""))</f>
        <v/>
      </c>
      <c r="Y208" t="str">
        <f>IF(OR('Base Encuesta'!AG182="",IFERROR(VALUE(LEFT('Base Encuesta'!K182,1)),"")&gt;=3),"",IF(W208=1,VALUE(LEFT('Base Encuesta'!AG182,1)),""))</f>
        <v/>
      </c>
      <c r="Z208" t="str">
        <f>IF(OR('Base Encuesta'!AH182="",IFERROR(VALUE(LEFT('Base Encuesta'!K182,1)),"")&gt;=3),"",IF(W208=1,VALUE(LEFT('Base Encuesta'!AH182,1)),""))</f>
        <v/>
      </c>
      <c r="AA208" t="str">
        <f>IF(OR('Base Encuesta'!AI182="",IFERROR(VALUE(LEFT('Base Encuesta'!K182,1)),"")&gt;=3),"",IF(W208=1,VALUE(LEFT('Base Encuesta'!AI182,1)),""))</f>
        <v/>
      </c>
      <c r="AB208" t="str">
        <f>IF(OR('Base Encuesta'!AJ182="",IFERROR(VALUE(LEFT('Base Encuesta'!K182,1)),"")&gt;=3),"",IF(W208=1,VALUE(LEFT('Base Encuesta'!AJ182,1)),""))</f>
        <v/>
      </c>
      <c r="AC208" t="str">
        <f>IF(OR('Base Encuesta'!AL182="",IFERROR(VALUE(LEFT('Base Encuesta'!K182,1)),"")&gt;=3),"",VALUE(LEFT('Base Encuesta'!AL182,1)))</f>
        <v/>
      </c>
      <c r="AD208" t="str">
        <f>IF(OR('Base Encuesta'!AM182="",IFERROR(VALUE(LEFT('Base Encuesta'!K182,1)),"")&gt;=3),"",VALUE(LEFT('Base Encuesta'!AM182,1)))</f>
        <v/>
      </c>
      <c r="AE208" t="str">
        <f>IF(OR('Base Encuesta'!AN182="",IFERROR(VALUE(LEFT('Base Encuesta'!K182,1)),"")&gt;=3),"",VALUE(LEFT('Base Encuesta'!AN182,1)))</f>
        <v/>
      </c>
      <c r="AF208" t="str">
        <f>IF(OR('Base Encuesta'!AO182="",IFERROR(VALUE(LEFT('Base Encuesta'!K182,1)),"")&gt;=3),"",VALUE(LEFT('Base Encuesta'!AO182,1)))</f>
        <v/>
      </c>
      <c r="AG208" t="str">
        <f>IF(OR('Base Encuesta'!AQ182="",IFERROR(VALUE(LEFT('Base Encuesta'!K182,1)),"")&gt;=3),"",VALUE(LEFT('Base Encuesta'!AQ182,1)))</f>
        <v/>
      </c>
      <c r="AH208" t="str">
        <f>IF(OR('Base Encuesta'!AR182="",IFERROR(VALUE(LEFT('Base Encuesta'!K182,1)),"")&gt;=3),"",VALUE(LEFT('Base Encuesta'!AR182,1)))</f>
        <v/>
      </c>
    </row>
    <row r="209" spans="1:34">
      <c r="A209" t="str">
        <f>IF('Base Encuesta'!C183="","",'Base Encuesta'!C183)</f>
        <v/>
      </c>
      <c r="B209" t="str">
        <f>IF('Base Encuesta'!D183="","",'Base Encuesta'!D183)</f>
        <v/>
      </c>
      <c r="C209" t="str">
        <f>IF('Base Encuesta'!E183="","",'Base Encuesta'!E183)</f>
        <v/>
      </c>
      <c r="D209" t="str">
        <f>IF('Base Encuesta'!F183="","",'Base Encuesta'!F183)</f>
        <v/>
      </c>
      <c r="E209" t="str">
        <f>IF('Base Encuesta'!G183="","",'Base Encuesta'!G183)</f>
        <v/>
      </c>
      <c r="F209" t="str">
        <f>IF('Base Encuesta'!H183="","",'Base Encuesta'!H183)</f>
        <v/>
      </c>
      <c r="G209" t="str">
        <f>IF('Base Encuesta'!I183="","",'Base Encuesta'!I183)</f>
        <v/>
      </c>
      <c r="H209" t="str">
        <f>IF('Base Encuesta'!J183="","",'Base Encuesta'!J183)</f>
        <v/>
      </c>
      <c r="I209" t="str">
        <f>IF('Base Encuesta'!K183="","",'Base Encuesta'!K183)</f>
        <v/>
      </c>
      <c r="J209" t="str">
        <f>IF(OR('Base Encuesta'!P183="",IFERROR(VALUE(LEFT('Base Encuesta'!K183,1)),"")&gt;=3),"",PROPER(TRIM('Base Encuesta'!P183)))</f>
        <v/>
      </c>
      <c r="K209" t="str">
        <f>IF(OR('Base Encuesta'!Q183="",IFERROR(VALUE(LEFT('Base Encuesta'!K183,1)),"")&gt;=3),"",'Base Encuesta'!Q183)</f>
        <v/>
      </c>
      <c r="L209" t="str">
        <f>IF(OR('Base Encuesta'!R183="",IFERROR(VALUE(LEFT('Base Encuesta'!K183,1)),"")&gt;=3),"",VALUE(LEFT('Base Encuesta'!R183,1)))</f>
        <v/>
      </c>
      <c r="M209" t="str">
        <f>IF(OR('Base Encuesta'!S183="",IFERROR(VALUE(LEFT('Base Encuesta'!K183,1)),"")&gt;=3),"",VALUE(LEFT('Base Encuesta'!S183,1)))</f>
        <v/>
      </c>
      <c r="N209" t="str">
        <f>IF(OR('Base Encuesta'!T183="",IFERROR(VALUE(LEFT('Base Encuesta'!K183,1)),"")&gt;=3),"",VALUE(LEFT('Base Encuesta'!T183,1)))</f>
        <v/>
      </c>
      <c r="O209" t="str">
        <f>IF(OR('Base Encuesta'!V183="",IFERROR(VALUE(LEFT('Base Encuesta'!K183,1)),"")&gt;=3),"",VALUE(LEFT('Base Encuesta'!V183,1)))</f>
        <v/>
      </c>
      <c r="P209" t="str">
        <f>IF(OR('Base Encuesta'!W183="",IFERROR(VALUE(LEFT('Base Encuesta'!K183,1)),"")&gt;=3),"",VALUE(LEFT('Base Encuesta'!W183,1)))</f>
        <v/>
      </c>
      <c r="Q209" t="str">
        <f>IF(OR('Base Encuesta'!X183="",IFERROR(VALUE(LEFT('Base Encuesta'!K183,1)),"")&gt;=3),"",VALUE(LEFT('Base Encuesta'!X183,1)))</f>
        <v/>
      </c>
      <c r="R209" t="str">
        <f>IF(OR('Base Encuesta'!Y183="",IFERROR(VALUE(LEFT('Base Encuesta'!K183,1)),"")&gt;=3),"",VALUE(LEFT('Base Encuesta'!Y183,1)))</f>
        <v/>
      </c>
      <c r="S209" t="str">
        <f>IF(OR('Base Encuesta'!Z183="",IFERROR(VALUE(LEFT('Base Encuesta'!K183,1)),"")&gt;=3),"",VALUE(LEFT('Base Encuesta'!Z183,1)))</f>
        <v/>
      </c>
      <c r="T209" t="str">
        <f>IF(OR('Base Encuesta'!AA183="",IFERROR(VALUE(LEFT('Base Encuesta'!K183,1)),"")&gt;=3),"",VALUE(LEFT('Base Encuesta'!AA183,1)))</f>
        <v/>
      </c>
      <c r="U209" t="str">
        <f>IF(OR('Base Encuesta'!AB183="",IFERROR(VALUE(LEFT('Base Encuesta'!K183,1)),"")&gt;=3),"",VALUE(LEFT('Base Encuesta'!AB183,1)))</f>
        <v/>
      </c>
      <c r="V209" t="str">
        <f>IF(OR('Base Encuesta'!AC183="",IFERROR(VALUE(LEFT('Base Encuesta'!K183,1)),"")&gt;=3),"",VALUE(LEFT('Base Encuesta'!AC183,1)))</f>
        <v/>
      </c>
      <c r="W209" t="str">
        <f>IF(OR('Base Encuesta'!AE183="",IFERROR(VALUE(LEFT('Base Encuesta'!K183,1)),"")&gt;=3),"",VALUE(LEFT('Base Encuesta'!AE183,1)))</f>
        <v/>
      </c>
      <c r="X209" t="str">
        <f>IF(OR('Base Encuesta'!AF183="",IFERROR(VALUE(LEFT('Base Encuesta'!K183,1)),"")&gt;=3),"",IF(W209=1,VALUE(LEFT('Base Encuesta'!AF183,1)),""))</f>
        <v/>
      </c>
      <c r="Y209" t="str">
        <f>IF(OR('Base Encuesta'!AG183="",IFERROR(VALUE(LEFT('Base Encuesta'!K183,1)),"")&gt;=3),"",IF(W209=1,VALUE(LEFT('Base Encuesta'!AG183,1)),""))</f>
        <v/>
      </c>
      <c r="Z209" t="str">
        <f>IF(OR('Base Encuesta'!AH183="",IFERROR(VALUE(LEFT('Base Encuesta'!K183,1)),"")&gt;=3),"",IF(W209=1,VALUE(LEFT('Base Encuesta'!AH183,1)),""))</f>
        <v/>
      </c>
      <c r="AA209" t="str">
        <f>IF(OR('Base Encuesta'!AI183="",IFERROR(VALUE(LEFT('Base Encuesta'!K183,1)),"")&gt;=3),"",IF(W209=1,VALUE(LEFT('Base Encuesta'!AI183,1)),""))</f>
        <v/>
      </c>
      <c r="AB209" t="str">
        <f>IF(OR('Base Encuesta'!AJ183="",IFERROR(VALUE(LEFT('Base Encuesta'!K183,1)),"")&gt;=3),"",IF(W209=1,VALUE(LEFT('Base Encuesta'!AJ183,1)),""))</f>
        <v/>
      </c>
      <c r="AC209" t="str">
        <f>IF(OR('Base Encuesta'!AL183="",IFERROR(VALUE(LEFT('Base Encuesta'!K183,1)),"")&gt;=3),"",VALUE(LEFT('Base Encuesta'!AL183,1)))</f>
        <v/>
      </c>
      <c r="AD209" t="str">
        <f>IF(OR('Base Encuesta'!AM183="",IFERROR(VALUE(LEFT('Base Encuesta'!K183,1)),"")&gt;=3),"",VALUE(LEFT('Base Encuesta'!AM183,1)))</f>
        <v/>
      </c>
      <c r="AE209" t="str">
        <f>IF(OR('Base Encuesta'!AN183="",IFERROR(VALUE(LEFT('Base Encuesta'!K183,1)),"")&gt;=3),"",VALUE(LEFT('Base Encuesta'!AN183,1)))</f>
        <v/>
      </c>
      <c r="AF209" t="str">
        <f>IF(OR('Base Encuesta'!AO183="",IFERROR(VALUE(LEFT('Base Encuesta'!K183,1)),"")&gt;=3),"",VALUE(LEFT('Base Encuesta'!AO183,1)))</f>
        <v/>
      </c>
      <c r="AG209" t="str">
        <f>IF(OR('Base Encuesta'!AQ183="",IFERROR(VALUE(LEFT('Base Encuesta'!K183,1)),"")&gt;=3),"",VALUE(LEFT('Base Encuesta'!AQ183,1)))</f>
        <v/>
      </c>
      <c r="AH209" t="str">
        <f>IF(OR('Base Encuesta'!AR183="",IFERROR(VALUE(LEFT('Base Encuesta'!K183,1)),"")&gt;=3),"",VALUE(LEFT('Base Encuesta'!AR183,1)))</f>
        <v/>
      </c>
    </row>
    <row r="210" spans="1:34">
      <c r="A210" t="str">
        <f>IF('Base Encuesta'!C184="","",'Base Encuesta'!C184)</f>
        <v/>
      </c>
      <c r="B210" t="str">
        <f>IF('Base Encuesta'!D184="","",'Base Encuesta'!D184)</f>
        <v/>
      </c>
      <c r="C210" t="str">
        <f>IF('Base Encuesta'!E184="","",'Base Encuesta'!E184)</f>
        <v/>
      </c>
      <c r="D210" t="str">
        <f>IF('Base Encuesta'!F184="","",'Base Encuesta'!F184)</f>
        <v/>
      </c>
      <c r="E210" t="str">
        <f>IF('Base Encuesta'!G184="","",'Base Encuesta'!G184)</f>
        <v/>
      </c>
      <c r="F210" t="str">
        <f>IF('Base Encuesta'!H184="","",'Base Encuesta'!H184)</f>
        <v/>
      </c>
      <c r="G210" t="str">
        <f>IF('Base Encuesta'!I184="","",'Base Encuesta'!I184)</f>
        <v/>
      </c>
      <c r="H210" t="str">
        <f>IF('Base Encuesta'!J184="","",'Base Encuesta'!J184)</f>
        <v/>
      </c>
      <c r="I210" t="str">
        <f>IF('Base Encuesta'!K184="","",'Base Encuesta'!K184)</f>
        <v/>
      </c>
      <c r="J210" t="str">
        <f>IF(OR('Base Encuesta'!P184="",IFERROR(VALUE(LEFT('Base Encuesta'!K184,1)),"")&gt;=3),"",PROPER(TRIM('Base Encuesta'!P184)))</f>
        <v/>
      </c>
      <c r="K210" t="str">
        <f>IF(OR('Base Encuesta'!Q184="",IFERROR(VALUE(LEFT('Base Encuesta'!K184,1)),"")&gt;=3),"",'Base Encuesta'!Q184)</f>
        <v/>
      </c>
      <c r="L210" t="str">
        <f>IF(OR('Base Encuesta'!R184="",IFERROR(VALUE(LEFT('Base Encuesta'!K184,1)),"")&gt;=3),"",VALUE(LEFT('Base Encuesta'!R184,1)))</f>
        <v/>
      </c>
      <c r="M210" t="str">
        <f>IF(OR('Base Encuesta'!S184="",IFERROR(VALUE(LEFT('Base Encuesta'!K184,1)),"")&gt;=3),"",VALUE(LEFT('Base Encuesta'!S184,1)))</f>
        <v/>
      </c>
      <c r="N210" t="str">
        <f>IF(OR('Base Encuesta'!T184="",IFERROR(VALUE(LEFT('Base Encuesta'!K184,1)),"")&gt;=3),"",VALUE(LEFT('Base Encuesta'!T184,1)))</f>
        <v/>
      </c>
      <c r="O210" t="str">
        <f>IF(OR('Base Encuesta'!V184="",IFERROR(VALUE(LEFT('Base Encuesta'!K184,1)),"")&gt;=3),"",VALUE(LEFT('Base Encuesta'!V184,1)))</f>
        <v/>
      </c>
      <c r="P210" t="str">
        <f>IF(OR('Base Encuesta'!W184="",IFERROR(VALUE(LEFT('Base Encuesta'!K184,1)),"")&gt;=3),"",VALUE(LEFT('Base Encuesta'!W184,1)))</f>
        <v/>
      </c>
      <c r="Q210" t="str">
        <f>IF(OR('Base Encuesta'!X184="",IFERROR(VALUE(LEFT('Base Encuesta'!K184,1)),"")&gt;=3),"",VALUE(LEFT('Base Encuesta'!X184,1)))</f>
        <v/>
      </c>
      <c r="R210" t="str">
        <f>IF(OR('Base Encuesta'!Y184="",IFERROR(VALUE(LEFT('Base Encuesta'!K184,1)),"")&gt;=3),"",VALUE(LEFT('Base Encuesta'!Y184,1)))</f>
        <v/>
      </c>
      <c r="S210" t="str">
        <f>IF(OR('Base Encuesta'!Z184="",IFERROR(VALUE(LEFT('Base Encuesta'!K184,1)),"")&gt;=3),"",VALUE(LEFT('Base Encuesta'!Z184,1)))</f>
        <v/>
      </c>
      <c r="T210" t="str">
        <f>IF(OR('Base Encuesta'!AA184="",IFERROR(VALUE(LEFT('Base Encuesta'!K184,1)),"")&gt;=3),"",VALUE(LEFT('Base Encuesta'!AA184,1)))</f>
        <v/>
      </c>
      <c r="U210" t="str">
        <f>IF(OR('Base Encuesta'!AB184="",IFERROR(VALUE(LEFT('Base Encuesta'!K184,1)),"")&gt;=3),"",VALUE(LEFT('Base Encuesta'!AB184,1)))</f>
        <v/>
      </c>
      <c r="V210" t="str">
        <f>IF(OR('Base Encuesta'!AC184="",IFERROR(VALUE(LEFT('Base Encuesta'!K184,1)),"")&gt;=3),"",VALUE(LEFT('Base Encuesta'!AC184,1)))</f>
        <v/>
      </c>
      <c r="W210" t="str">
        <f>IF(OR('Base Encuesta'!AE184="",IFERROR(VALUE(LEFT('Base Encuesta'!K184,1)),"")&gt;=3),"",VALUE(LEFT('Base Encuesta'!AE184,1)))</f>
        <v/>
      </c>
      <c r="X210" t="str">
        <f>IF(OR('Base Encuesta'!AF184="",IFERROR(VALUE(LEFT('Base Encuesta'!K184,1)),"")&gt;=3),"",IF(W210=1,VALUE(LEFT('Base Encuesta'!AF184,1)),""))</f>
        <v/>
      </c>
      <c r="Y210" t="str">
        <f>IF(OR('Base Encuesta'!AG184="",IFERROR(VALUE(LEFT('Base Encuesta'!K184,1)),"")&gt;=3),"",IF(W210=1,VALUE(LEFT('Base Encuesta'!AG184,1)),""))</f>
        <v/>
      </c>
      <c r="Z210" t="str">
        <f>IF(OR('Base Encuesta'!AH184="",IFERROR(VALUE(LEFT('Base Encuesta'!K184,1)),"")&gt;=3),"",IF(W210=1,VALUE(LEFT('Base Encuesta'!AH184,1)),""))</f>
        <v/>
      </c>
      <c r="AA210" t="str">
        <f>IF(OR('Base Encuesta'!AI184="",IFERROR(VALUE(LEFT('Base Encuesta'!K184,1)),"")&gt;=3),"",IF(W210=1,VALUE(LEFT('Base Encuesta'!AI184,1)),""))</f>
        <v/>
      </c>
      <c r="AB210" t="str">
        <f>IF(OR('Base Encuesta'!AJ184="",IFERROR(VALUE(LEFT('Base Encuesta'!K184,1)),"")&gt;=3),"",IF(W210=1,VALUE(LEFT('Base Encuesta'!AJ184,1)),""))</f>
        <v/>
      </c>
      <c r="AC210" t="str">
        <f>IF(OR('Base Encuesta'!AL184="",IFERROR(VALUE(LEFT('Base Encuesta'!K184,1)),"")&gt;=3),"",VALUE(LEFT('Base Encuesta'!AL184,1)))</f>
        <v/>
      </c>
      <c r="AD210" t="str">
        <f>IF(OR('Base Encuesta'!AM184="",IFERROR(VALUE(LEFT('Base Encuesta'!K184,1)),"")&gt;=3),"",VALUE(LEFT('Base Encuesta'!AM184,1)))</f>
        <v/>
      </c>
      <c r="AE210" t="str">
        <f>IF(OR('Base Encuesta'!AN184="",IFERROR(VALUE(LEFT('Base Encuesta'!K184,1)),"")&gt;=3),"",VALUE(LEFT('Base Encuesta'!AN184,1)))</f>
        <v/>
      </c>
      <c r="AF210" t="str">
        <f>IF(OR('Base Encuesta'!AO184="",IFERROR(VALUE(LEFT('Base Encuesta'!K184,1)),"")&gt;=3),"",VALUE(LEFT('Base Encuesta'!AO184,1)))</f>
        <v/>
      </c>
      <c r="AG210" t="str">
        <f>IF(OR('Base Encuesta'!AQ184="",IFERROR(VALUE(LEFT('Base Encuesta'!K184,1)),"")&gt;=3),"",VALUE(LEFT('Base Encuesta'!AQ184,1)))</f>
        <v/>
      </c>
      <c r="AH210" t="str">
        <f>IF(OR('Base Encuesta'!AR184="",IFERROR(VALUE(LEFT('Base Encuesta'!K184,1)),"")&gt;=3),"",VALUE(LEFT('Base Encuesta'!AR184,1)))</f>
        <v/>
      </c>
    </row>
    <row r="211" spans="1:34">
      <c r="A211" t="str">
        <f>IF('Base Encuesta'!C185="","",'Base Encuesta'!C185)</f>
        <v/>
      </c>
      <c r="B211" t="str">
        <f>IF('Base Encuesta'!D185="","",'Base Encuesta'!D185)</f>
        <v/>
      </c>
      <c r="C211" t="str">
        <f>IF('Base Encuesta'!E185="","",'Base Encuesta'!E185)</f>
        <v/>
      </c>
      <c r="D211" t="str">
        <f>IF('Base Encuesta'!F185="","",'Base Encuesta'!F185)</f>
        <v/>
      </c>
      <c r="E211" t="str">
        <f>IF('Base Encuesta'!G185="","",'Base Encuesta'!G185)</f>
        <v/>
      </c>
      <c r="F211" t="str">
        <f>IF('Base Encuesta'!H185="","",'Base Encuesta'!H185)</f>
        <v/>
      </c>
      <c r="G211" t="str">
        <f>IF('Base Encuesta'!I185="","",'Base Encuesta'!I185)</f>
        <v/>
      </c>
      <c r="H211" t="str">
        <f>IF('Base Encuesta'!J185="","",'Base Encuesta'!J185)</f>
        <v/>
      </c>
      <c r="I211" t="str">
        <f>IF('Base Encuesta'!K185="","",'Base Encuesta'!K185)</f>
        <v/>
      </c>
      <c r="J211" t="str">
        <f>IF(OR('Base Encuesta'!P185="",IFERROR(VALUE(LEFT('Base Encuesta'!K185,1)),"")&gt;=3),"",PROPER(TRIM('Base Encuesta'!P185)))</f>
        <v/>
      </c>
      <c r="K211" t="str">
        <f>IF(OR('Base Encuesta'!Q185="",IFERROR(VALUE(LEFT('Base Encuesta'!K185,1)),"")&gt;=3),"",'Base Encuesta'!Q185)</f>
        <v/>
      </c>
      <c r="L211" t="str">
        <f>IF(OR('Base Encuesta'!R185="",IFERROR(VALUE(LEFT('Base Encuesta'!K185,1)),"")&gt;=3),"",VALUE(LEFT('Base Encuesta'!R185,1)))</f>
        <v/>
      </c>
      <c r="M211" t="str">
        <f>IF(OR('Base Encuesta'!S185="",IFERROR(VALUE(LEFT('Base Encuesta'!K185,1)),"")&gt;=3),"",VALUE(LEFT('Base Encuesta'!S185,1)))</f>
        <v/>
      </c>
      <c r="N211" t="str">
        <f>IF(OR('Base Encuesta'!T185="",IFERROR(VALUE(LEFT('Base Encuesta'!K185,1)),"")&gt;=3),"",VALUE(LEFT('Base Encuesta'!T185,1)))</f>
        <v/>
      </c>
      <c r="O211" t="str">
        <f>IF(OR('Base Encuesta'!V185="",IFERROR(VALUE(LEFT('Base Encuesta'!K185,1)),"")&gt;=3),"",VALUE(LEFT('Base Encuesta'!V185,1)))</f>
        <v/>
      </c>
      <c r="P211" t="str">
        <f>IF(OR('Base Encuesta'!W185="",IFERROR(VALUE(LEFT('Base Encuesta'!K185,1)),"")&gt;=3),"",VALUE(LEFT('Base Encuesta'!W185,1)))</f>
        <v/>
      </c>
      <c r="Q211" t="str">
        <f>IF(OR('Base Encuesta'!X185="",IFERROR(VALUE(LEFT('Base Encuesta'!K185,1)),"")&gt;=3),"",VALUE(LEFT('Base Encuesta'!X185,1)))</f>
        <v/>
      </c>
      <c r="R211" t="str">
        <f>IF(OR('Base Encuesta'!Y185="",IFERROR(VALUE(LEFT('Base Encuesta'!K185,1)),"")&gt;=3),"",VALUE(LEFT('Base Encuesta'!Y185,1)))</f>
        <v/>
      </c>
      <c r="S211" t="str">
        <f>IF(OR('Base Encuesta'!Z185="",IFERROR(VALUE(LEFT('Base Encuesta'!K185,1)),"")&gt;=3),"",VALUE(LEFT('Base Encuesta'!Z185,1)))</f>
        <v/>
      </c>
      <c r="T211" t="str">
        <f>IF(OR('Base Encuesta'!AA185="",IFERROR(VALUE(LEFT('Base Encuesta'!K185,1)),"")&gt;=3),"",VALUE(LEFT('Base Encuesta'!AA185,1)))</f>
        <v/>
      </c>
      <c r="U211" t="str">
        <f>IF(OR('Base Encuesta'!AB185="",IFERROR(VALUE(LEFT('Base Encuesta'!K185,1)),"")&gt;=3),"",VALUE(LEFT('Base Encuesta'!AB185,1)))</f>
        <v/>
      </c>
      <c r="V211" t="str">
        <f>IF(OR('Base Encuesta'!AC185="",IFERROR(VALUE(LEFT('Base Encuesta'!K185,1)),"")&gt;=3),"",VALUE(LEFT('Base Encuesta'!AC185,1)))</f>
        <v/>
      </c>
      <c r="W211" t="str">
        <f>IF(OR('Base Encuesta'!AE185="",IFERROR(VALUE(LEFT('Base Encuesta'!K185,1)),"")&gt;=3),"",VALUE(LEFT('Base Encuesta'!AE185,1)))</f>
        <v/>
      </c>
      <c r="X211" t="str">
        <f>IF(OR('Base Encuesta'!AF185="",IFERROR(VALUE(LEFT('Base Encuesta'!K185,1)),"")&gt;=3),"",IF(W211=1,VALUE(LEFT('Base Encuesta'!AF185,1)),""))</f>
        <v/>
      </c>
      <c r="Y211" t="str">
        <f>IF(OR('Base Encuesta'!AG185="",IFERROR(VALUE(LEFT('Base Encuesta'!K185,1)),"")&gt;=3),"",IF(W211=1,VALUE(LEFT('Base Encuesta'!AG185,1)),""))</f>
        <v/>
      </c>
      <c r="Z211" t="str">
        <f>IF(OR('Base Encuesta'!AH185="",IFERROR(VALUE(LEFT('Base Encuesta'!K185,1)),"")&gt;=3),"",IF(W211=1,VALUE(LEFT('Base Encuesta'!AH185,1)),""))</f>
        <v/>
      </c>
      <c r="AA211" t="str">
        <f>IF(OR('Base Encuesta'!AI185="",IFERROR(VALUE(LEFT('Base Encuesta'!K185,1)),"")&gt;=3),"",IF(W211=1,VALUE(LEFT('Base Encuesta'!AI185,1)),""))</f>
        <v/>
      </c>
      <c r="AB211" t="str">
        <f>IF(OR('Base Encuesta'!AJ185="",IFERROR(VALUE(LEFT('Base Encuesta'!K185,1)),"")&gt;=3),"",IF(W211=1,VALUE(LEFT('Base Encuesta'!AJ185,1)),""))</f>
        <v/>
      </c>
      <c r="AC211" t="str">
        <f>IF(OR('Base Encuesta'!AL185="",IFERROR(VALUE(LEFT('Base Encuesta'!K185,1)),"")&gt;=3),"",VALUE(LEFT('Base Encuesta'!AL185,1)))</f>
        <v/>
      </c>
      <c r="AD211" t="str">
        <f>IF(OR('Base Encuesta'!AM185="",IFERROR(VALUE(LEFT('Base Encuesta'!K185,1)),"")&gt;=3),"",VALUE(LEFT('Base Encuesta'!AM185,1)))</f>
        <v/>
      </c>
      <c r="AE211" t="str">
        <f>IF(OR('Base Encuesta'!AN185="",IFERROR(VALUE(LEFT('Base Encuesta'!K185,1)),"")&gt;=3),"",VALUE(LEFT('Base Encuesta'!AN185,1)))</f>
        <v/>
      </c>
      <c r="AF211" t="str">
        <f>IF(OR('Base Encuesta'!AO185="",IFERROR(VALUE(LEFT('Base Encuesta'!K185,1)),"")&gt;=3),"",VALUE(LEFT('Base Encuesta'!AO185,1)))</f>
        <v/>
      </c>
      <c r="AG211" t="str">
        <f>IF(OR('Base Encuesta'!AQ185="",IFERROR(VALUE(LEFT('Base Encuesta'!K185,1)),"")&gt;=3),"",VALUE(LEFT('Base Encuesta'!AQ185,1)))</f>
        <v/>
      </c>
      <c r="AH211" t="str">
        <f>IF(OR('Base Encuesta'!AR185="",IFERROR(VALUE(LEFT('Base Encuesta'!K185,1)),"")&gt;=3),"",VALUE(LEFT('Base Encuesta'!AR185,1)))</f>
        <v/>
      </c>
    </row>
    <row r="212" spans="1:34">
      <c r="A212" t="str">
        <f>IF('Base Encuesta'!C186="","",'Base Encuesta'!C186)</f>
        <v/>
      </c>
      <c r="B212" t="str">
        <f>IF('Base Encuesta'!D186="","",'Base Encuesta'!D186)</f>
        <v/>
      </c>
      <c r="C212" t="str">
        <f>IF('Base Encuesta'!E186="","",'Base Encuesta'!E186)</f>
        <v/>
      </c>
      <c r="D212" t="str">
        <f>IF('Base Encuesta'!F186="","",'Base Encuesta'!F186)</f>
        <v/>
      </c>
      <c r="E212" t="str">
        <f>IF('Base Encuesta'!G186="","",'Base Encuesta'!G186)</f>
        <v/>
      </c>
      <c r="F212" t="str">
        <f>IF('Base Encuesta'!H186="","",'Base Encuesta'!H186)</f>
        <v/>
      </c>
      <c r="G212" t="str">
        <f>IF('Base Encuesta'!I186="","",'Base Encuesta'!I186)</f>
        <v/>
      </c>
      <c r="H212" t="str">
        <f>IF('Base Encuesta'!J186="","",'Base Encuesta'!J186)</f>
        <v/>
      </c>
      <c r="I212" t="str">
        <f>IF('Base Encuesta'!K186="","",'Base Encuesta'!K186)</f>
        <v/>
      </c>
      <c r="J212" t="str">
        <f>IF(OR('Base Encuesta'!P186="",IFERROR(VALUE(LEFT('Base Encuesta'!K186,1)),"")&gt;=3),"",PROPER(TRIM('Base Encuesta'!P186)))</f>
        <v/>
      </c>
      <c r="K212" t="str">
        <f>IF(OR('Base Encuesta'!Q186="",IFERROR(VALUE(LEFT('Base Encuesta'!K186,1)),"")&gt;=3),"",'Base Encuesta'!Q186)</f>
        <v/>
      </c>
      <c r="L212" t="str">
        <f>IF(OR('Base Encuesta'!R186="",IFERROR(VALUE(LEFT('Base Encuesta'!K186,1)),"")&gt;=3),"",VALUE(LEFT('Base Encuesta'!R186,1)))</f>
        <v/>
      </c>
      <c r="M212" t="str">
        <f>IF(OR('Base Encuesta'!S186="",IFERROR(VALUE(LEFT('Base Encuesta'!K186,1)),"")&gt;=3),"",VALUE(LEFT('Base Encuesta'!S186,1)))</f>
        <v/>
      </c>
      <c r="N212" t="str">
        <f>IF(OR('Base Encuesta'!T186="",IFERROR(VALUE(LEFT('Base Encuesta'!K186,1)),"")&gt;=3),"",VALUE(LEFT('Base Encuesta'!T186,1)))</f>
        <v/>
      </c>
      <c r="O212" t="str">
        <f>IF(OR('Base Encuesta'!V186="",IFERROR(VALUE(LEFT('Base Encuesta'!K186,1)),"")&gt;=3),"",VALUE(LEFT('Base Encuesta'!V186,1)))</f>
        <v/>
      </c>
      <c r="P212" t="str">
        <f>IF(OR('Base Encuesta'!W186="",IFERROR(VALUE(LEFT('Base Encuesta'!K186,1)),"")&gt;=3),"",VALUE(LEFT('Base Encuesta'!W186,1)))</f>
        <v/>
      </c>
      <c r="Q212" t="str">
        <f>IF(OR('Base Encuesta'!X186="",IFERROR(VALUE(LEFT('Base Encuesta'!K186,1)),"")&gt;=3),"",VALUE(LEFT('Base Encuesta'!X186,1)))</f>
        <v/>
      </c>
      <c r="R212" t="str">
        <f>IF(OR('Base Encuesta'!Y186="",IFERROR(VALUE(LEFT('Base Encuesta'!K186,1)),"")&gt;=3),"",VALUE(LEFT('Base Encuesta'!Y186,1)))</f>
        <v/>
      </c>
      <c r="S212" t="str">
        <f>IF(OR('Base Encuesta'!Z186="",IFERROR(VALUE(LEFT('Base Encuesta'!K186,1)),"")&gt;=3),"",VALUE(LEFT('Base Encuesta'!Z186,1)))</f>
        <v/>
      </c>
      <c r="T212" t="str">
        <f>IF(OR('Base Encuesta'!AA186="",IFERROR(VALUE(LEFT('Base Encuesta'!K186,1)),"")&gt;=3),"",VALUE(LEFT('Base Encuesta'!AA186,1)))</f>
        <v/>
      </c>
      <c r="U212" t="str">
        <f>IF(OR('Base Encuesta'!AB186="",IFERROR(VALUE(LEFT('Base Encuesta'!K186,1)),"")&gt;=3),"",VALUE(LEFT('Base Encuesta'!AB186,1)))</f>
        <v/>
      </c>
      <c r="V212" t="str">
        <f>IF(OR('Base Encuesta'!AC186="",IFERROR(VALUE(LEFT('Base Encuesta'!K186,1)),"")&gt;=3),"",VALUE(LEFT('Base Encuesta'!AC186,1)))</f>
        <v/>
      </c>
      <c r="W212" t="str">
        <f>IF(OR('Base Encuesta'!AE186="",IFERROR(VALUE(LEFT('Base Encuesta'!K186,1)),"")&gt;=3),"",VALUE(LEFT('Base Encuesta'!AE186,1)))</f>
        <v/>
      </c>
      <c r="X212" t="str">
        <f>IF(OR('Base Encuesta'!AF186="",IFERROR(VALUE(LEFT('Base Encuesta'!K186,1)),"")&gt;=3),"",IF(W212=1,VALUE(LEFT('Base Encuesta'!AF186,1)),""))</f>
        <v/>
      </c>
      <c r="Y212" t="str">
        <f>IF(OR('Base Encuesta'!AG186="",IFERROR(VALUE(LEFT('Base Encuesta'!K186,1)),"")&gt;=3),"",IF(W212=1,VALUE(LEFT('Base Encuesta'!AG186,1)),""))</f>
        <v/>
      </c>
      <c r="Z212" t="str">
        <f>IF(OR('Base Encuesta'!AH186="",IFERROR(VALUE(LEFT('Base Encuesta'!K186,1)),"")&gt;=3),"",IF(W212=1,VALUE(LEFT('Base Encuesta'!AH186,1)),""))</f>
        <v/>
      </c>
      <c r="AA212" t="str">
        <f>IF(OR('Base Encuesta'!AI186="",IFERROR(VALUE(LEFT('Base Encuesta'!K186,1)),"")&gt;=3),"",IF(W212=1,VALUE(LEFT('Base Encuesta'!AI186,1)),""))</f>
        <v/>
      </c>
      <c r="AB212" t="str">
        <f>IF(OR('Base Encuesta'!AJ186="",IFERROR(VALUE(LEFT('Base Encuesta'!K186,1)),"")&gt;=3),"",IF(W212=1,VALUE(LEFT('Base Encuesta'!AJ186,1)),""))</f>
        <v/>
      </c>
      <c r="AC212" t="str">
        <f>IF(OR('Base Encuesta'!AL186="",IFERROR(VALUE(LEFT('Base Encuesta'!K186,1)),"")&gt;=3),"",VALUE(LEFT('Base Encuesta'!AL186,1)))</f>
        <v/>
      </c>
      <c r="AD212" t="str">
        <f>IF(OR('Base Encuesta'!AM186="",IFERROR(VALUE(LEFT('Base Encuesta'!K186,1)),"")&gt;=3),"",VALUE(LEFT('Base Encuesta'!AM186,1)))</f>
        <v/>
      </c>
      <c r="AE212" t="str">
        <f>IF(OR('Base Encuesta'!AN186="",IFERROR(VALUE(LEFT('Base Encuesta'!K186,1)),"")&gt;=3),"",VALUE(LEFT('Base Encuesta'!AN186,1)))</f>
        <v/>
      </c>
      <c r="AF212" t="str">
        <f>IF(OR('Base Encuesta'!AO186="",IFERROR(VALUE(LEFT('Base Encuesta'!K186,1)),"")&gt;=3),"",VALUE(LEFT('Base Encuesta'!AO186,1)))</f>
        <v/>
      </c>
      <c r="AG212" t="str">
        <f>IF(OR('Base Encuesta'!AQ186="",IFERROR(VALUE(LEFT('Base Encuesta'!K186,1)),"")&gt;=3),"",VALUE(LEFT('Base Encuesta'!AQ186,1)))</f>
        <v/>
      </c>
      <c r="AH212" t="str">
        <f>IF(OR('Base Encuesta'!AR186="",IFERROR(VALUE(LEFT('Base Encuesta'!K186,1)),"")&gt;=3),"",VALUE(LEFT('Base Encuesta'!AR186,1)))</f>
        <v/>
      </c>
    </row>
    <row r="213" spans="1:34">
      <c r="A213" t="str">
        <f>IF('Base Encuesta'!C187="","",'Base Encuesta'!C187)</f>
        <v/>
      </c>
      <c r="B213" t="str">
        <f>IF('Base Encuesta'!D187="","",'Base Encuesta'!D187)</f>
        <v/>
      </c>
      <c r="C213" t="str">
        <f>IF('Base Encuesta'!E187="","",'Base Encuesta'!E187)</f>
        <v/>
      </c>
      <c r="D213" t="str">
        <f>IF('Base Encuesta'!F187="","",'Base Encuesta'!F187)</f>
        <v/>
      </c>
      <c r="E213" t="str">
        <f>IF('Base Encuesta'!G187="","",'Base Encuesta'!G187)</f>
        <v/>
      </c>
      <c r="F213" t="str">
        <f>IF('Base Encuesta'!H187="","",'Base Encuesta'!H187)</f>
        <v/>
      </c>
      <c r="G213" t="str">
        <f>IF('Base Encuesta'!I187="","",'Base Encuesta'!I187)</f>
        <v/>
      </c>
      <c r="H213" t="str">
        <f>IF('Base Encuesta'!J187="","",'Base Encuesta'!J187)</f>
        <v/>
      </c>
      <c r="I213" t="str">
        <f>IF('Base Encuesta'!K187="","",'Base Encuesta'!K187)</f>
        <v/>
      </c>
      <c r="J213" t="str">
        <f>IF(OR('Base Encuesta'!P187="",IFERROR(VALUE(LEFT('Base Encuesta'!K187,1)),"")&gt;=3),"",PROPER(TRIM('Base Encuesta'!P187)))</f>
        <v/>
      </c>
      <c r="K213" t="str">
        <f>IF(OR('Base Encuesta'!Q187="",IFERROR(VALUE(LEFT('Base Encuesta'!K187,1)),"")&gt;=3),"",'Base Encuesta'!Q187)</f>
        <v/>
      </c>
      <c r="L213" t="str">
        <f>IF(OR('Base Encuesta'!R187="",IFERROR(VALUE(LEFT('Base Encuesta'!K187,1)),"")&gt;=3),"",VALUE(LEFT('Base Encuesta'!R187,1)))</f>
        <v/>
      </c>
      <c r="M213" t="str">
        <f>IF(OR('Base Encuesta'!S187="",IFERROR(VALUE(LEFT('Base Encuesta'!K187,1)),"")&gt;=3),"",VALUE(LEFT('Base Encuesta'!S187,1)))</f>
        <v/>
      </c>
      <c r="N213" t="str">
        <f>IF(OR('Base Encuesta'!T187="",IFERROR(VALUE(LEFT('Base Encuesta'!K187,1)),"")&gt;=3),"",VALUE(LEFT('Base Encuesta'!T187,1)))</f>
        <v/>
      </c>
      <c r="O213" t="str">
        <f>IF(OR('Base Encuesta'!V187="",IFERROR(VALUE(LEFT('Base Encuesta'!K187,1)),"")&gt;=3),"",VALUE(LEFT('Base Encuesta'!V187,1)))</f>
        <v/>
      </c>
      <c r="P213" t="str">
        <f>IF(OR('Base Encuesta'!W187="",IFERROR(VALUE(LEFT('Base Encuesta'!K187,1)),"")&gt;=3),"",VALUE(LEFT('Base Encuesta'!W187,1)))</f>
        <v/>
      </c>
      <c r="Q213" t="str">
        <f>IF(OR('Base Encuesta'!X187="",IFERROR(VALUE(LEFT('Base Encuesta'!K187,1)),"")&gt;=3),"",VALUE(LEFT('Base Encuesta'!X187,1)))</f>
        <v/>
      </c>
      <c r="R213" t="str">
        <f>IF(OR('Base Encuesta'!Y187="",IFERROR(VALUE(LEFT('Base Encuesta'!K187,1)),"")&gt;=3),"",VALUE(LEFT('Base Encuesta'!Y187,1)))</f>
        <v/>
      </c>
      <c r="S213" t="str">
        <f>IF(OR('Base Encuesta'!Z187="",IFERROR(VALUE(LEFT('Base Encuesta'!K187,1)),"")&gt;=3),"",VALUE(LEFT('Base Encuesta'!Z187,1)))</f>
        <v/>
      </c>
      <c r="T213" t="str">
        <f>IF(OR('Base Encuesta'!AA187="",IFERROR(VALUE(LEFT('Base Encuesta'!K187,1)),"")&gt;=3),"",VALUE(LEFT('Base Encuesta'!AA187,1)))</f>
        <v/>
      </c>
      <c r="U213" t="str">
        <f>IF(OR('Base Encuesta'!AB187="",IFERROR(VALUE(LEFT('Base Encuesta'!K187,1)),"")&gt;=3),"",VALUE(LEFT('Base Encuesta'!AB187,1)))</f>
        <v/>
      </c>
      <c r="V213" t="str">
        <f>IF(OR('Base Encuesta'!AC187="",IFERROR(VALUE(LEFT('Base Encuesta'!K187,1)),"")&gt;=3),"",VALUE(LEFT('Base Encuesta'!AC187,1)))</f>
        <v/>
      </c>
      <c r="W213" t="str">
        <f>IF(OR('Base Encuesta'!AE187="",IFERROR(VALUE(LEFT('Base Encuesta'!K187,1)),"")&gt;=3),"",VALUE(LEFT('Base Encuesta'!AE187,1)))</f>
        <v/>
      </c>
      <c r="X213" t="str">
        <f>IF(OR('Base Encuesta'!AF187="",IFERROR(VALUE(LEFT('Base Encuesta'!K187,1)),"")&gt;=3),"",IF(W213=1,VALUE(LEFT('Base Encuesta'!AF187,1)),""))</f>
        <v/>
      </c>
      <c r="Y213" t="str">
        <f>IF(OR('Base Encuesta'!AG187="",IFERROR(VALUE(LEFT('Base Encuesta'!K187,1)),"")&gt;=3),"",IF(W213=1,VALUE(LEFT('Base Encuesta'!AG187,1)),""))</f>
        <v/>
      </c>
      <c r="Z213" t="str">
        <f>IF(OR('Base Encuesta'!AH187="",IFERROR(VALUE(LEFT('Base Encuesta'!K187,1)),"")&gt;=3),"",IF(W213=1,VALUE(LEFT('Base Encuesta'!AH187,1)),""))</f>
        <v/>
      </c>
      <c r="AA213" t="str">
        <f>IF(OR('Base Encuesta'!AI187="",IFERROR(VALUE(LEFT('Base Encuesta'!K187,1)),"")&gt;=3),"",IF(W213=1,VALUE(LEFT('Base Encuesta'!AI187,1)),""))</f>
        <v/>
      </c>
      <c r="AB213" t="str">
        <f>IF(OR('Base Encuesta'!AJ187="",IFERROR(VALUE(LEFT('Base Encuesta'!K187,1)),"")&gt;=3),"",IF(W213=1,VALUE(LEFT('Base Encuesta'!AJ187,1)),""))</f>
        <v/>
      </c>
      <c r="AC213" t="str">
        <f>IF(OR('Base Encuesta'!AL187="",IFERROR(VALUE(LEFT('Base Encuesta'!K187,1)),"")&gt;=3),"",VALUE(LEFT('Base Encuesta'!AL187,1)))</f>
        <v/>
      </c>
      <c r="AD213" t="str">
        <f>IF(OR('Base Encuesta'!AM187="",IFERROR(VALUE(LEFT('Base Encuesta'!K187,1)),"")&gt;=3),"",VALUE(LEFT('Base Encuesta'!AM187,1)))</f>
        <v/>
      </c>
      <c r="AE213" t="str">
        <f>IF(OR('Base Encuesta'!AN187="",IFERROR(VALUE(LEFT('Base Encuesta'!K187,1)),"")&gt;=3),"",VALUE(LEFT('Base Encuesta'!AN187,1)))</f>
        <v/>
      </c>
      <c r="AF213" t="str">
        <f>IF(OR('Base Encuesta'!AO187="",IFERROR(VALUE(LEFT('Base Encuesta'!K187,1)),"")&gt;=3),"",VALUE(LEFT('Base Encuesta'!AO187,1)))</f>
        <v/>
      </c>
      <c r="AG213" t="str">
        <f>IF(OR('Base Encuesta'!AQ187="",IFERROR(VALUE(LEFT('Base Encuesta'!K187,1)),"")&gt;=3),"",VALUE(LEFT('Base Encuesta'!AQ187,1)))</f>
        <v/>
      </c>
      <c r="AH213" t="str">
        <f>IF(OR('Base Encuesta'!AR187="",IFERROR(VALUE(LEFT('Base Encuesta'!K187,1)),"")&gt;=3),"",VALUE(LEFT('Base Encuesta'!AR187,1)))</f>
        <v/>
      </c>
    </row>
    <row r="214" spans="1:34">
      <c r="A214" t="str">
        <f>IF('Base Encuesta'!C188="","",'Base Encuesta'!C188)</f>
        <v/>
      </c>
      <c r="B214" t="str">
        <f>IF('Base Encuesta'!D188="","",'Base Encuesta'!D188)</f>
        <v/>
      </c>
      <c r="C214" t="str">
        <f>IF('Base Encuesta'!E188="","",'Base Encuesta'!E188)</f>
        <v/>
      </c>
      <c r="D214" t="str">
        <f>IF('Base Encuesta'!F188="","",'Base Encuesta'!F188)</f>
        <v/>
      </c>
      <c r="E214" t="str">
        <f>IF('Base Encuesta'!G188="","",'Base Encuesta'!G188)</f>
        <v/>
      </c>
      <c r="F214" t="str">
        <f>IF('Base Encuesta'!H188="","",'Base Encuesta'!H188)</f>
        <v/>
      </c>
      <c r="G214" t="str">
        <f>IF('Base Encuesta'!I188="","",'Base Encuesta'!I188)</f>
        <v/>
      </c>
      <c r="H214" t="str">
        <f>IF('Base Encuesta'!J188="","",'Base Encuesta'!J188)</f>
        <v/>
      </c>
      <c r="I214" t="str">
        <f>IF('Base Encuesta'!K188="","",'Base Encuesta'!K188)</f>
        <v/>
      </c>
      <c r="J214" t="str">
        <f>IF(OR('Base Encuesta'!P188="",IFERROR(VALUE(LEFT('Base Encuesta'!K188,1)),"")&gt;=3),"",PROPER(TRIM('Base Encuesta'!P188)))</f>
        <v/>
      </c>
      <c r="K214" t="str">
        <f>IF(OR('Base Encuesta'!Q188="",IFERROR(VALUE(LEFT('Base Encuesta'!K188,1)),"")&gt;=3),"",'Base Encuesta'!Q188)</f>
        <v/>
      </c>
      <c r="L214" t="str">
        <f>IF(OR('Base Encuesta'!R188="",IFERROR(VALUE(LEFT('Base Encuesta'!K188,1)),"")&gt;=3),"",VALUE(LEFT('Base Encuesta'!R188,1)))</f>
        <v/>
      </c>
      <c r="M214" t="str">
        <f>IF(OR('Base Encuesta'!S188="",IFERROR(VALUE(LEFT('Base Encuesta'!K188,1)),"")&gt;=3),"",VALUE(LEFT('Base Encuesta'!S188,1)))</f>
        <v/>
      </c>
      <c r="N214" t="str">
        <f>IF(OR('Base Encuesta'!T188="",IFERROR(VALUE(LEFT('Base Encuesta'!K188,1)),"")&gt;=3),"",VALUE(LEFT('Base Encuesta'!T188,1)))</f>
        <v/>
      </c>
      <c r="O214" t="str">
        <f>IF(OR('Base Encuesta'!V188="",IFERROR(VALUE(LEFT('Base Encuesta'!K188,1)),"")&gt;=3),"",VALUE(LEFT('Base Encuesta'!V188,1)))</f>
        <v/>
      </c>
      <c r="P214" t="str">
        <f>IF(OR('Base Encuesta'!W188="",IFERROR(VALUE(LEFT('Base Encuesta'!K188,1)),"")&gt;=3),"",VALUE(LEFT('Base Encuesta'!W188,1)))</f>
        <v/>
      </c>
      <c r="Q214" t="str">
        <f>IF(OR('Base Encuesta'!X188="",IFERROR(VALUE(LEFT('Base Encuesta'!K188,1)),"")&gt;=3),"",VALUE(LEFT('Base Encuesta'!X188,1)))</f>
        <v/>
      </c>
      <c r="R214" t="str">
        <f>IF(OR('Base Encuesta'!Y188="",IFERROR(VALUE(LEFT('Base Encuesta'!K188,1)),"")&gt;=3),"",VALUE(LEFT('Base Encuesta'!Y188,1)))</f>
        <v/>
      </c>
      <c r="S214" t="str">
        <f>IF(OR('Base Encuesta'!Z188="",IFERROR(VALUE(LEFT('Base Encuesta'!K188,1)),"")&gt;=3),"",VALUE(LEFT('Base Encuesta'!Z188,1)))</f>
        <v/>
      </c>
      <c r="T214" t="str">
        <f>IF(OR('Base Encuesta'!AA188="",IFERROR(VALUE(LEFT('Base Encuesta'!K188,1)),"")&gt;=3),"",VALUE(LEFT('Base Encuesta'!AA188,1)))</f>
        <v/>
      </c>
      <c r="U214" t="str">
        <f>IF(OR('Base Encuesta'!AB188="",IFERROR(VALUE(LEFT('Base Encuesta'!K188,1)),"")&gt;=3),"",VALUE(LEFT('Base Encuesta'!AB188,1)))</f>
        <v/>
      </c>
      <c r="V214" t="str">
        <f>IF(OR('Base Encuesta'!AC188="",IFERROR(VALUE(LEFT('Base Encuesta'!K188,1)),"")&gt;=3),"",VALUE(LEFT('Base Encuesta'!AC188,1)))</f>
        <v/>
      </c>
      <c r="W214" t="str">
        <f>IF(OR('Base Encuesta'!AE188="",IFERROR(VALUE(LEFT('Base Encuesta'!K188,1)),"")&gt;=3),"",VALUE(LEFT('Base Encuesta'!AE188,1)))</f>
        <v/>
      </c>
      <c r="X214" t="str">
        <f>IF(OR('Base Encuesta'!AF188="",IFERROR(VALUE(LEFT('Base Encuesta'!K188,1)),"")&gt;=3),"",IF(W214=1,VALUE(LEFT('Base Encuesta'!AF188,1)),""))</f>
        <v/>
      </c>
      <c r="Y214" t="str">
        <f>IF(OR('Base Encuesta'!AG188="",IFERROR(VALUE(LEFT('Base Encuesta'!K188,1)),"")&gt;=3),"",IF(W214=1,VALUE(LEFT('Base Encuesta'!AG188,1)),""))</f>
        <v/>
      </c>
      <c r="Z214" t="str">
        <f>IF(OR('Base Encuesta'!AH188="",IFERROR(VALUE(LEFT('Base Encuesta'!K188,1)),"")&gt;=3),"",IF(W214=1,VALUE(LEFT('Base Encuesta'!AH188,1)),""))</f>
        <v/>
      </c>
      <c r="AA214" t="str">
        <f>IF(OR('Base Encuesta'!AI188="",IFERROR(VALUE(LEFT('Base Encuesta'!K188,1)),"")&gt;=3),"",IF(W214=1,VALUE(LEFT('Base Encuesta'!AI188,1)),""))</f>
        <v/>
      </c>
      <c r="AB214" t="str">
        <f>IF(OR('Base Encuesta'!AJ188="",IFERROR(VALUE(LEFT('Base Encuesta'!K188,1)),"")&gt;=3),"",IF(W214=1,VALUE(LEFT('Base Encuesta'!AJ188,1)),""))</f>
        <v/>
      </c>
      <c r="AC214" t="str">
        <f>IF(OR('Base Encuesta'!AL188="",IFERROR(VALUE(LEFT('Base Encuesta'!K188,1)),"")&gt;=3),"",VALUE(LEFT('Base Encuesta'!AL188,1)))</f>
        <v/>
      </c>
      <c r="AD214" t="str">
        <f>IF(OR('Base Encuesta'!AM188="",IFERROR(VALUE(LEFT('Base Encuesta'!K188,1)),"")&gt;=3),"",VALUE(LEFT('Base Encuesta'!AM188,1)))</f>
        <v/>
      </c>
      <c r="AE214" t="str">
        <f>IF(OR('Base Encuesta'!AN188="",IFERROR(VALUE(LEFT('Base Encuesta'!K188,1)),"")&gt;=3),"",VALUE(LEFT('Base Encuesta'!AN188,1)))</f>
        <v/>
      </c>
      <c r="AF214" t="str">
        <f>IF(OR('Base Encuesta'!AO188="",IFERROR(VALUE(LEFT('Base Encuesta'!K188,1)),"")&gt;=3),"",VALUE(LEFT('Base Encuesta'!AO188,1)))</f>
        <v/>
      </c>
      <c r="AG214" t="str">
        <f>IF(OR('Base Encuesta'!AQ188="",IFERROR(VALUE(LEFT('Base Encuesta'!K188,1)),"")&gt;=3),"",VALUE(LEFT('Base Encuesta'!AQ188,1)))</f>
        <v/>
      </c>
      <c r="AH214" t="str">
        <f>IF(OR('Base Encuesta'!AR188="",IFERROR(VALUE(LEFT('Base Encuesta'!K188,1)),"")&gt;=3),"",VALUE(LEFT('Base Encuesta'!AR188,1)))</f>
        <v/>
      </c>
    </row>
    <row r="215" spans="1:34">
      <c r="A215" t="str">
        <f>IF('Base Encuesta'!C189="","",'Base Encuesta'!C189)</f>
        <v/>
      </c>
      <c r="B215" t="str">
        <f>IF('Base Encuesta'!D189="","",'Base Encuesta'!D189)</f>
        <v/>
      </c>
      <c r="C215" t="str">
        <f>IF('Base Encuesta'!E189="","",'Base Encuesta'!E189)</f>
        <v/>
      </c>
      <c r="D215" t="str">
        <f>IF('Base Encuesta'!F189="","",'Base Encuesta'!F189)</f>
        <v/>
      </c>
      <c r="E215" t="str">
        <f>IF('Base Encuesta'!G189="","",'Base Encuesta'!G189)</f>
        <v/>
      </c>
      <c r="F215" t="str">
        <f>IF('Base Encuesta'!H189="","",'Base Encuesta'!H189)</f>
        <v/>
      </c>
      <c r="G215" t="str">
        <f>IF('Base Encuesta'!I189="","",'Base Encuesta'!I189)</f>
        <v/>
      </c>
      <c r="H215" t="str">
        <f>IF('Base Encuesta'!J189="","",'Base Encuesta'!J189)</f>
        <v/>
      </c>
      <c r="I215" t="str">
        <f>IF('Base Encuesta'!K189="","",'Base Encuesta'!K189)</f>
        <v/>
      </c>
      <c r="J215" t="str">
        <f>IF(OR('Base Encuesta'!P189="",IFERROR(VALUE(LEFT('Base Encuesta'!K189,1)),"")&gt;=3),"",PROPER(TRIM('Base Encuesta'!P189)))</f>
        <v/>
      </c>
      <c r="K215" t="str">
        <f>IF(OR('Base Encuesta'!Q189="",IFERROR(VALUE(LEFT('Base Encuesta'!K189,1)),"")&gt;=3),"",'Base Encuesta'!Q189)</f>
        <v/>
      </c>
      <c r="L215" t="str">
        <f>IF(OR('Base Encuesta'!R189="",IFERROR(VALUE(LEFT('Base Encuesta'!K189,1)),"")&gt;=3),"",VALUE(LEFT('Base Encuesta'!R189,1)))</f>
        <v/>
      </c>
      <c r="M215" t="str">
        <f>IF(OR('Base Encuesta'!S189="",IFERROR(VALUE(LEFT('Base Encuesta'!K189,1)),"")&gt;=3),"",VALUE(LEFT('Base Encuesta'!S189,1)))</f>
        <v/>
      </c>
      <c r="N215" t="str">
        <f>IF(OR('Base Encuesta'!T189="",IFERROR(VALUE(LEFT('Base Encuesta'!K189,1)),"")&gt;=3),"",VALUE(LEFT('Base Encuesta'!T189,1)))</f>
        <v/>
      </c>
      <c r="O215" t="str">
        <f>IF(OR('Base Encuesta'!V189="",IFERROR(VALUE(LEFT('Base Encuesta'!K189,1)),"")&gt;=3),"",VALUE(LEFT('Base Encuesta'!V189,1)))</f>
        <v/>
      </c>
      <c r="P215" t="str">
        <f>IF(OR('Base Encuesta'!W189="",IFERROR(VALUE(LEFT('Base Encuesta'!K189,1)),"")&gt;=3),"",VALUE(LEFT('Base Encuesta'!W189,1)))</f>
        <v/>
      </c>
      <c r="Q215" t="str">
        <f>IF(OR('Base Encuesta'!X189="",IFERROR(VALUE(LEFT('Base Encuesta'!K189,1)),"")&gt;=3),"",VALUE(LEFT('Base Encuesta'!X189,1)))</f>
        <v/>
      </c>
      <c r="R215" t="str">
        <f>IF(OR('Base Encuesta'!Y189="",IFERROR(VALUE(LEFT('Base Encuesta'!K189,1)),"")&gt;=3),"",VALUE(LEFT('Base Encuesta'!Y189,1)))</f>
        <v/>
      </c>
      <c r="S215" t="str">
        <f>IF(OR('Base Encuesta'!Z189="",IFERROR(VALUE(LEFT('Base Encuesta'!K189,1)),"")&gt;=3),"",VALUE(LEFT('Base Encuesta'!Z189,1)))</f>
        <v/>
      </c>
      <c r="T215" t="str">
        <f>IF(OR('Base Encuesta'!AA189="",IFERROR(VALUE(LEFT('Base Encuesta'!K189,1)),"")&gt;=3),"",VALUE(LEFT('Base Encuesta'!AA189,1)))</f>
        <v/>
      </c>
      <c r="U215" t="str">
        <f>IF(OR('Base Encuesta'!AB189="",IFERROR(VALUE(LEFT('Base Encuesta'!K189,1)),"")&gt;=3),"",VALUE(LEFT('Base Encuesta'!AB189,1)))</f>
        <v/>
      </c>
      <c r="V215" t="str">
        <f>IF(OR('Base Encuesta'!AC189="",IFERROR(VALUE(LEFT('Base Encuesta'!K189,1)),"")&gt;=3),"",VALUE(LEFT('Base Encuesta'!AC189,1)))</f>
        <v/>
      </c>
      <c r="W215" t="str">
        <f>IF(OR('Base Encuesta'!AE189="",IFERROR(VALUE(LEFT('Base Encuesta'!K189,1)),"")&gt;=3),"",VALUE(LEFT('Base Encuesta'!AE189,1)))</f>
        <v/>
      </c>
      <c r="X215" t="str">
        <f>IF(OR('Base Encuesta'!AF189="",IFERROR(VALUE(LEFT('Base Encuesta'!K189,1)),"")&gt;=3),"",IF(W215=1,VALUE(LEFT('Base Encuesta'!AF189,1)),""))</f>
        <v/>
      </c>
      <c r="Y215" t="str">
        <f>IF(OR('Base Encuesta'!AG189="",IFERROR(VALUE(LEFT('Base Encuesta'!K189,1)),"")&gt;=3),"",IF(W215=1,VALUE(LEFT('Base Encuesta'!AG189,1)),""))</f>
        <v/>
      </c>
      <c r="Z215" t="str">
        <f>IF(OR('Base Encuesta'!AH189="",IFERROR(VALUE(LEFT('Base Encuesta'!K189,1)),"")&gt;=3),"",IF(W215=1,VALUE(LEFT('Base Encuesta'!AH189,1)),""))</f>
        <v/>
      </c>
      <c r="AA215" t="str">
        <f>IF(OR('Base Encuesta'!AI189="",IFERROR(VALUE(LEFT('Base Encuesta'!K189,1)),"")&gt;=3),"",IF(W215=1,VALUE(LEFT('Base Encuesta'!AI189,1)),""))</f>
        <v/>
      </c>
      <c r="AB215" t="str">
        <f>IF(OR('Base Encuesta'!AJ189="",IFERROR(VALUE(LEFT('Base Encuesta'!K189,1)),"")&gt;=3),"",IF(W215=1,VALUE(LEFT('Base Encuesta'!AJ189,1)),""))</f>
        <v/>
      </c>
      <c r="AC215" t="str">
        <f>IF(OR('Base Encuesta'!AL189="",IFERROR(VALUE(LEFT('Base Encuesta'!K189,1)),"")&gt;=3),"",VALUE(LEFT('Base Encuesta'!AL189,1)))</f>
        <v/>
      </c>
      <c r="AD215" t="str">
        <f>IF(OR('Base Encuesta'!AM189="",IFERROR(VALUE(LEFT('Base Encuesta'!K189,1)),"")&gt;=3),"",VALUE(LEFT('Base Encuesta'!AM189,1)))</f>
        <v/>
      </c>
      <c r="AE215" t="str">
        <f>IF(OR('Base Encuesta'!AN189="",IFERROR(VALUE(LEFT('Base Encuesta'!K189,1)),"")&gt;=3),"",VALUE(LEFT('Base Encuesta'!AN189,1)))</f>
        <v/>
      </c>
      <c r="AF215" t="str">
        <f>IF(OR('Base Encuesta'!AO189="",IFERROR(VALUE(LEFT('Base Encuesta'!K189,1)),"")&gt;=3),"",VALUE(LEFT('Base Encuesta'!AO189,1)))</f>
        <v/>
      </c>
      <c r="AG215" t="str">
        <f>IF(OR('Base Encuesta'!AQ189="",IFERROR(VALUE(LEFT('Base Encuesta'!K189,1)),"")&gt;=3),"",VALUE(LEFT('Base Encuesta'!AQ189,1)))</f>
        <v/>
      </c>
      <c r="AH215" t="str">
        <f>IF(OR('Base Encuesta'!AR189="",IFERROR(VALUE(LEFT('Base Encuesta'!K189,1)),"")&gt;=3),"",VALUE(LEFT('Base Encuesta'!AR189,1)))</f>
        <v/>
      </c>
    </row>
    <row r="216" spans="1:34">
      <c r="A216" t="str">
        <f>IF('Base Encuesta'!C190="","",'Base Encuesta'!C190)</f>
        <v/>
      </c>
      <c r="B216" t="str">
        <f>IF('Base Encuesta'!D190="","",'Base Encuesta'!D190)</f>
        <v/>
      </c>
      <c r="C216" t="str">
        <f>IF('Base Encuesta'!E190="","",'Base Encuesta'!E190)</f>
        <v/>
      </c>
      <c r="D216" t="str">
        <f>IF('Base Encuesta'!F190="","",'Base Encuesta'!F190)</f>
        <v/>
      </c>
      <c r="E216" t="str">
        <f>IF('Base Encuesta'!G190="","",'Base Encuesta'!G190)</f>
        <v/>
      </c>
      <c r="F216" t="str">
        <f>IF('Base Encuesta'!H190="","",'Base Encuesta'!H190)</f>
        <v/>
      </c>
      <c r="G216" t="str">
        <f>IF('Base Encuesta'!I190="","",'Base Encuesta'!I190)</f>
        <v/>
      </c>
      <c r="H216" t="str">
        <f>IF('Base Encuesta'!J190="","",'Base Encuesta'!J190)</f>
        <v/>
      </c>
      <c r="I216" t="str">
        <f>IF('Base Encuesta'!K190="","",'Base Encuesta'!K190)</f>
        <v/>
      </c>
      <c r="J216" t="str">
        <f>IF(OR('Base Encuesta'!P190="",IFERROR(VALUE(LEFT('Base Encuesta'!K190,1)),"")&gt;=3),"",PROPER(TRIM('Base Encuesta'!P190)))</f>
        <v/>
      </c>
      <c r="K216" t="str">
        <f>IF(OR('Base Encuesta'!Q190="",IFERROR(VALUE(LEFT('Base Encuesta'!K190,1)),"")&gt;=3),"",'Base Encuesta'!Q190)</f>
        <v/>
      </c>
      <c r="L216" t="str">
        <f>IF(OR('Base Encuesta'!R190="",IFERROR(VALUE(LEFT('Base Encuesta'!K190,1)),"")&gt;=3),"",VALUE(LEFT('Base Encuesta'!R190,1)))</f>
        <v/>
      </c>
      <c r="M216" t="str">
        <f>IF(OR('Base Encuesta'!S190="",IFERROR(VALUE(LEFT('Base Encuesta'!K190,1)),"")&gt;=3),"",VALUE(LEFT('Base Encuesta'!S190,1)))</f>
        <v/>
      </c>
      <c r="N216" t="str">
        <f>IF(OR('Base Encuesta'!T190="",IFERROR(VALUE(LEFT('Base Encuesta'!K190,1)),"")&gt;=3),"",VALUE(LEFT('Base Encuesta'!T190,1)))</f>
        <v/>
      </c>
      <c r="O216" t="str">
        <f>IF(OR('Base Encuesta'!V190="",IFERROR(VALUE(LEFT('Base Encuesta'!K190,1)),"")&gt;=3),"",VALUE(LEFT('Base Encuesta'!V190,1)))</f>
        <v/>
      </c>
      <c r="P216" t="str">
        <f>IF(OR('Base Encuesta'!W190="",IFERROR(VALUE(LEFT('Base Encuesta'!K190,1)),"")&gt;=3),"",VALUE(LEFT('Base Encuesta'!W190,1)))</f>
        <v/>
      </c>
      <c r="Q216" t="str">
        <f>IF(OR('Base Encuesta'!X190="",IFERROR(VALUE(LEFT('Base Encuesta'!K190,1)),"")&gt;=3),"",VALUE(LEFT('Base Encuesta'!X190,1)))</f>
        <v/>
      </c>
      <c r="R216" t="str">
        <f>IF(OR('Base Encuesta'!Y190="",IFERROR(VALUE(LEFT('Base Encuesta'!K190,1)),"")&gt;=3),"",VALUE(LEFT('Base Encuesta'!Y190,1)))</f>
        <v/>
      </c>
      <c r="S216" t="str">
        <f>IF(OR('Base Encuesta'!Z190="",IFERROR(VALUE(LEFT('Base Encuesta'!K190,1)),"")&gt;=3),"",VALUE(LEFT('Base Encuesta'!Z190,1)))</f>
        <v/>
      </c>
      <c r="T216" t="str">
        <f>IF(OR('Base Encuesta'!AA190="",IFERROR(VALUE(LEFT('Base Encuesta'!K190,1)),"")&gt;=3),"",VALUE(LEFT('Base Encuesta'!AA190,1)))</f>
        <v/>
      </c>
      <c r="U216" t="str">
        <f>IF(OR('Base Encuesta'!AB190="",IFERROR(VALUE(LEFT('Base Encuesta'!K190,1)),"")&gt;=3),"",VALUE(LEFT('Base Encuesta'!AB190,1)))</f>
        <v/>
      </c>
      <c r="V216" t="str">
        <f>IF(OR('Base Encuesta'!AC190="",IFERROR(VALUE(LEFT('Base Encuesta'!K190,1)),"")&gt;=3),"",VALUE(LEFT('Base Encuesta'!AC190,1)))</f>
        <v/>
      </c>
      <c r="W216" t="str">
        <f>IF(OR('Base Encuesta'!AE190="",IFERROR(VALUE(LEFT('Base Encuesta'!K190,1)),"")&gt;=3),"",VALUE(LEFT('Base Encuesta'!AE190,1)))</f>
        <v/>
      </c>
      <c r="X216" t="str">
        <f>IF(OR('Base Encuesta'!AF190="",IFERROR(VALUE(LEFT('Base Encuesta'!K190,1)),"")&gt;=3),"",IF(W216=1,VALUE(LEFT('Base Encuesta'!AF190,1)),""))</f>
        <v/>
      </c>
      <c r="Y216" t="str">
        <f>IF(OR('Base Encuesta'!AG190="",IFERROR(VALUE(LEFT('Base Encuesta'!K190,1)),"")&gt;=3),"",IF(W216=1,VALUE(LEFT('Base Encuesta'!AG190,1)),""))</f>
        <v/>
      </c>
      <c r="Z216" t="str">
        <f>IF(OR('Base Encuesta'!AH190="",IFERROR(VALUE(LEFT('Base Encuesta'!K190,1)),"")&gt;=3),"",IF(W216=1,VALUE(LEFT('Base Encuesta'!AH190,1)),""))</f>
        <v/>
      </c>
      <c r="AA216" t="str">
        <f>IF(OR('Base Encuesta'!AI190="",IFERROR(VALUE(LEFT('Base Encuesta'!K190,1)),"")&gt;=3),"",IF(W216=1,VALUE(LEFT('Base Encuesta'!AI190,1)),""))</f>
        <v/>
      </c>
      <c r="AB216" t="str">
        <f>IF(OR('Base Encuesta'!AJ190="",IFERROR(VALUE(LEFT('Base Encuesta'!K190,1)),"")&gt;=3),"",IF(W216=1,VALUE(LEFT('Base Encuesta'!AJ190,1)),""))</f>
        <v/>
      </c>
      <c r="AC216" t="str">
        <f>IF(OR('Base Encuesta'!AL190="",IFERROR(VALUE(LEFT('Base Encuesta'!K190,1)),"")&gt;=3),"",VALUE(LEFT('Base Encuesta'!AL190,1)))</f>
        <v/>
      </c>
      <c r="AD216" t="str">
        <f>IF(OR('Base Encuesta'!AM190="",IFERROR(VALUE(LEFT('Base Encuesta'!K190,1)),"")&gt;=3),"",VALUE(LEFT('Base Encuesta'!AM190,1)))</f>
        <v/>
      </c>
      <c r="AE216" t="str">
        <f>IF(OR('Base Encuesta'!AN190="",IFERROR(VALUE(LEFT('Base Encuesta'!K190,1)),"")&gt;=3),"",VALUE(LEFT('Base Encuesta'!AN190,1)))</f>
        <v/>
      </c>
      <c r="AF216" t="str">
        <f>IF(OR('Base Encuesta'!AO190="",IFERROR(VALUE(LEFT('Base Encuesta'!K190,1)),"")&gt;=3),"",VALUE(LEFT('Base Encuesta'!AO190,1)))</f>
        <v/>
      </c>
      <c r="AG216" t="str">
        <f>IF(OR('Base Encuesta'!AQ190="",IFERROR(VALUE(LEFT('Base Encuesta'!K190,1)),"")&gt;=3),"",VALUE(LEFT('Base Encuesta'!AQ190,1)))</f>
        <v/>
      </c>
      <c r="AH216" t="str">
        <f>IF(OR('Base Encuesta'!AR190="",IFERROR(VALUE(LEFT('Base Encuesta'!K190,1)),"")&gt;=3),"",VALUE(LEFT('Base Encuesta'!AR190,1)))</f>
        <v/>
      </c>
    </row>
    <row r="217" spans="1:34">
      <c r="A217" t="str">
        <f>IF('Base Encuesta'!C191="","",'Base Encuesta'!C191)</f>
        <v/>
      </c>
      <c r="B217" t="str">
        <f>IF('Base Encuesta'!D191="","",'Base Encuesta'!D191)</f>
        <v/>
      </c>
      <c r="C217" t="str">
        <f>IF('Base Encuesta'!E191="","",'Base Encuesta'!E191)</f>
        <v/>
      </c>
      <c r="D217" t="str">
        <f>IF('Base Encuesta'!F191="","",'Base Encuesta'!F191)</f>
        <v/>
      </c>
      <c r="E217" t="str">
        <f>IF('Base Encuesta'!G191="","",'Base Encuesta'!G191)</f>
        <v/>
      </c>
      <c r="F217" t="str">
        <f>IF('Base Encuesta'!H191="","",'Base Encuesta'!H191)</f>
        <v/>
      </c>
      <c r="G217" t="str">
        <f>IF('Base Encuesta'!I191="","",'Base Encuesta'!I191)</f>
        <v/>
      </c>
      <c r="H217" t="str">
        <f>IF('Base Encuesta'!J191="","",'Base Encuesta'!J191)</f>
        <v/>
      </c>
      <c r="I217" t="str">
        <f>IF('Base Encuesta'!K191="","",'Base Encuesta'!K191)</f>
        <v/>
      </c>
      <c r="J217" t="str">
        <f>IF(OR('Base Encuesta'!P191="",IFERROR(VALUE(LEFT('Base Encuesta'!K191,1)),"")&gt;=3),"",PROPER(TRIM('Base Encuesta'!P191)))</f>
        <v/>
      </c>
      <c r="K217" t="str">
        <f>IF(OR('Base Encuesta'!Q191="",IFERROR(VALUE(LEFT('Base Encuesta'!K191,1)),"")&gt;=3),"",'Base Encuesta'!Q191)</f>
        <v/>
      </c>
      <c r="L217" t="str">
        <f>IF(OR('Base Encuesta'!R191="",IFERROR(VALUE(LEFT('Base Encuesta'!K191,1)),"")&gt;=3),"",VALUE(LEFT('Base Encuesta'!R191,1)))</f>
        <v/>
      </c>
      <c r="M217" t="str">
        <f>IF(OR('Base Encuesta'!S191="",IFERROR(VALUE(LEFT('Base Encuesta'!K191,1)),"")&gt;=3),"",VALUE(LEFT('Base Encuesta'!S191,1)))</f>
        <v/>
      </c>
      <c r="N217" t="str">
        <f>IF(OR('Base Encuesta'!T191="",IFERROR(VALUE(LEFT('Base Encuesta'!K191,1)),"")&gt;=3),"",VALUE(LEFT('Base Encuesta'!T191,1)))</f>
        <v/>
      </c>
      <c r="O217" t="str">
        <f>IF(OR('Base Encuesta'!V191="",IFERROR(VALUE(LEFT('Base Encuesta'!K191,1)),"")&gt;=3),"",VALUE(LEFT('Base Encuesta'!V191,1)))</f>
        <v/>
      </c>
      <c r="P217" t="str">
        <f>IF(OR('Base Encuesta'!W191="",IFERROR(VALUE(LEFT('Base Encuesta'!K191,1)),"")&gt;=3),"",VALUE(LEFT('Base Encuesta'!W191,1)))</f>
        <v/>
      </c>
      <c r="Q217" t="str">
        <f>IF(OR('Base Encuesta'!X191="",IFERROR(VALUE(LEFT('Base Encuesta'!K191,1)),"")&gt;=3),"",VALUE(LEFT('Base Encuesta'!X191,1)))</f>
        <v/>
      </c>
      <c r="R217" t="str">
        <f>IF(OR('Base Encuesta'!Y191="",IFERROR(VALUE(LEFT('Base Encuesta'!K191,1)),"")&gt;=3),"",VALUE(LEFT('Base Encuesta'!Y191,1)))</f>
        <v/>
      </c>
      <c r="S217" t="str">
        <f>IF(OR('Base Encuesta'!Z191="",IFERROR(VALUE(LEFT('Base Encuesta'!K191,1)),"")&gt;=3),"",VALUE(LEFT('Base Encuesta'!Z191,1)))</f>
        <v/>
      </c>
      <c r="T217" t="str">
        <f>IF(OR('Base Encuesta'!AA191="",IFERROR(VALUE(LEFT('Base Encuesta'!K191,1)),"")&gt;=3),"",VALUE(LEFT('Base Encuesta'!AA191,1)))</f>
        <v/>
      </c>
      <c r="U217" t="str">
        <f>IF(OR('Base Encuesta'!AB191="",IFERROR(VALUE(LEFT('Base Encuesta'!K191,1)),"")&gt;=3),"",VALUE(LEFT('Base Encuesta'!AB191,1)))</f>
        <v/>
      </c>
      <c r="V217" t="str">
        <f>IF(OR('Base Encuesta'!AC191="",IFERROR(VALUE(LEFT('Base Encuesta'!K191,1)),"")&gt;=3),"",VALUE(LEFT('Base Encuesta'!AC191,1)))</f>
        <v/>
      </c>
      <c r="W217" t="str">
        <f>IF(OR('Base Encuesta'!AE191="",IFERROR(VALUE(LEFT('Base Encuesta'!K191,1)),"")&gt;=3),"",VALUE(LEFT('Base Encuesta'!AE191,1)))</f>
        <v/>
      </c>
      <c r="X217" t="str">
        <f>IF(OR('Base Encuesta'!AF191="",IFERROR(VALUE(LEFT('Base Encuesta'!K191,1)),"")&gt;=3),"",IF(W217=1,VALUE(LEFT('Base Encuesta'!AF191,1)),""))</f>
        <v/>
      </c>
      <c r="Y217" t="str">
        <f>IF(OR('Base Encuesta'!AG191="",IFERROR(VALUE(LEFT('Base Encuesta'!K191,1)),"")&gt;=3),"",IF(W217=1,VALUE(LEFT('Base Encuesta'!AG191,1)),""))</f>
        <v/>
      </c>
      <c r="Z217" t="str">
        <f>IF(OR('Base Encuesta'!AH191="",IFERROR(VALUE(LEFT('Base Encuesta'!K191,1)),"")&gt;=3),"",IF(W217=1,VALUE(LEFT('Base Encuesta'!AH191,1)),""))</f>
        <v/>
      </c>
      <c r="AA217" t="str">
        <f>IF(OR('Base Encuesta'!AI191="",IFERROR(VALUE(LEFT('Base Encuesta'!K191,1)),"")&gt;=3),"",IF(W217=1,VALUE(LEFT('Base Encuesta'!AI191,1)),""))</f>
        <v/>
      </c>
      <c r="AB217" t="str">
        <f>IF(OR('Base Encuesta'!AJ191="",IFERROR(VALUE(LEFT('Base Encuesta'!K191,1)),"")&gt;=3),"",IF(W217=1,VALUE(LEFT('Base Encuesta'!AJ191,1)),""))</f>
        <v/>
      </c>
      <c r="AC217" t="str">
        <f>IF(OR('Base Encuesta'!AL191="",IFERROR(VALUE(LEFT('Base Encuesta'!K191,1)),"")&gt;=3),"",VALUE(LEFT('Base Encuesta'!AL191,1)))</f>
        <v/>
      </c>
      <c r="AD217" t="str">
        <f>IF(OR('Base Encuesta'!AM191="",IFERROR(VALUE(LEFT('Base Encuesta'!K191,1)),"")&gt;=3),"",VALUE(LEFT('Base Encuesta'!AM191,1)))</f>
        <v/>
      </c>
      <c r="AE217" t="str">
        <f>IF(OR('Base Encuesta'!AN191="",IFERROR(VALUE(LEFT('Base Encuesta'!K191,1)),"")&gt;=3),"",VALUE(LEFT('Base Encuesta'!AN191,1)))</f>
        <v/>
      </c>
      <c r="AF217" t="str">
        <f>IF(OR('Base Encuesta'!AO191="",IFERROR(VALUE(LEFT('Base Encuesta'!K191,1)),"")&gt;=3),"",VALUE(LEFT('Base Encuesta'!AO191,1)))</f>
        <v/>
      </c>
      <c r="AG217" t="str">
        <f>IF(OR('Base Encuesta'!AQ191="",IFERROR(VALUE(LEFT('Base Encuesta'!K191,1)),"")&gt;=3),"",VALUE(LEFT('Base Encuesta'!AQ191,1)))</f>
        <v/>
      </c>
      <c r="AH217" t="str">
        <f>IF(OR('Base Encuesta'!AR191="",IFERROR(VALUE(LEFT('Base Encuesta'!K191,1)),"")&gt;=3),"",VALUE(LEFT('Base Encuesta'!AR191,1)))</f>
        <v/>
      </c>
    </row>
    <row r="218" spans="1:34">
      <c r="A218" t="str">
        <f>IF('Base Encuesta'!C192="","",'Base Encuesta'!C192)</f>
        <v/>
      </c>
      <c r="B218" t="str">
        <f>IF('Base Encuesta'!D192="","",'Base Encuesta'!D192)</f>
        <v/>
      </c>
      <c r="C218" t="str">
        <f>IF('Base Encuesta'!E192="","",'Base Encuesta'!E192)</f>
        <v/>
      </c>
      <c r="D218" t="str">
        <f>IF('Base Encuesta'!F192="","",'Base Encuesta'!F192)</f>
        <v/>
      </c>
      <c r="E218" t="str">
        <f>IF('Base Encuesta'!G192="","",'Base Encuesta'!G192)</f>
        <v/>
      </c>
      <c r="F218" t="str">
        <f>IF('Base Encuesta'!H192="","",'Base Encuesta'!H192)</f>
        <v/>
      </c>
      <c r="G218" t="str">
        <f>IF('Base Encuesta'!I192="","",'Base Encuesta'!I192)</f>
        <v/>
      </c>
      <c r="H218" t="str">
        <f>IF('Base Encuesta'!J192="","",'Base Encuesta'!J192)</f>
        <v/>
      </c>
      <c r="I218" t="str">
        <f>IF('Base Encuesta'!K192="","",'Base Encuesta'!K192)</f>
        <v/>
      </c>
      <c r="J218" t="str">
        <f>IF(OR('Base Encuesta'!P192="",IFERROR(VALUE(LEFT('Base Encuesta'!K192,1)),"")&gt;=3),"",PROPER(TRIM('Base Encuesta'!P192)))</f>
        <v/>
      </c>
      <c r="K218" t="str">
        <f>IF(OR('Base Encuesta'!Q192="",IFERROR(VALUE(LEFT('Base Encuesta'!K192,1)),"")&gt;=3),"",'Base Encuesta'!Q192)</f>
        <v/>
      </c>
      <c r="L218" t="str">
        <f>IF(OR('Base Encuesta'!R192="",IFERROR(VALUE(LEFT('Base Encuesta'!K192,1)),"")&gt;=3),"",VALUE(LEFT('Base Encuesta'!R192,1)))</f>
        <v/>
      </c>
      <c r="M218" t="str">
        <f>IF(OR('Base Encuesta'!S192="",IFERROR(VALUE(LEFT('Base Encuesta'!K192,1)),"")&gt;=3),"",VALUE(LEFT('Base Encuesta'!S192,1)))</f>
        <v/>
      </c>
      <c r="N218" t="str">
        <f>IF(OR('Base Encuesta'!T192="",IFERROR(VALUE(LEFT('Base Encuesta'!K192,1)),"")&gt;=3),"",VALUE(LEFT('Base Encuesta'!T192,1)))</f>
        <v/>
      </c>
      <c r="O218" t="str">
        <f>IF(OR('Base Encuesta'!V192="",IFERROR(VALUE(LEFT('Base Encuesta'!K192,1)),"")&gt;=3),"",VALUE(LEFT('Base Encuesta'!V192,1)))</f>
        <v/>
      </c>
      <c r="P218" t="str">
        <f>IF(OR('Base Encuesta'!W192="",IFERROR(VALUE(LEFT('Base Encuesta'!K192,1)),"")&gt;=3),"",VALUE(LEFT('Base Encuesta'!W192,1)))</f>
        <v/>
      </c>
      <c r="Q218" t="str">
        <f>IF(OR('Base Encuesta'!X192="",IFERROR(VALUE(LEFT('Base Encuesta'!K192,1)),"")&gt;=3),"",VALUE(LEFT('Base Encuesta'!X192,1)))</f>
        <v/>
      </c>
      <c r="R218" t="str">
        <f>IF(OR('Base Encuesta'!Y192="",IFERROR(VALUE(LEFT('Base Encuesta'!K192,1)),"")&gt;=3),"",VALUE(LEFT('Base Encuesta'!Y192,1)))</f>
        <v/>
      </c>
      <c r="S218" t="str">
        <f>IF(OR('Base Encuesta'!Z192="",IFERROR(VALUE(LEFT('Base Encuesta'!K192,1)),"")&gt;=3),"",VALUE(LEFT('Base Encuesta'!Z192,1)))</f>
        <v/>
      </c>
      <c r="T218" t="str">
        <f>IF(OR('Base Encuesta'!AA192="",IFERROR(VALUE(LEFT('Base Encuesta'!K192,1)),"")&gt;=3),"",VALUE(LEFT('Base Encuesta'!AA192,1)))</f>
        <v/>
      </c>
      <c r="U218" t="str">
        <f>IF(OR('Base Encuesta'!AB192="",IFERROR(VALUE(LEFT('Base Encuesta'!K192,1)),"")&gt;=3),"",VALUE(LEFT('Base Encuesta'!AB192,1)))</f>
        <v/>
      </c>
      <c r="V218" t="str">
        <f>IF(OR('Base Encuesta'!AC192="",IFERROR(VALUE(LEFT('Base Encuesta'!K192,1)),"")&gt;=3),"",VALUE(LEFT('Base Encuesta'!AC192,1)))</f>
        <v/>
      </c>
      <c r="W218" t="str">
        <f>IF(OR('Base Encuesta'!AE192="",IFERROR(VALUE(LEFT('Base Encuesta'!K192,1)),"")&gt;=3),"",VALUE(LEFT('Base Encuesta'!AE192,1)))</f>
        <v/>
      </c>
      <c r="X218" t="str">
        <f>IF(OR('Base Encuesta'!AF192="",IFERROR(VALUE(LEFT('Base Encuesta'!K192,1)),"")&gt;=3),"",IF(W218=1,VALUE(LEFT('Base Encuesta'!AF192,1)),""))</f>
        <v/>
      </c>
      <c r="Y218" t="str">
        <f>IF(OR('Base Encuesta'!AG192="",IFERROR(VALUE(LEFT('Base Encuesta'!K192,1)),"")&gt;=3),"",IF(W218=1,VALUE(LEFT('Base Encuesta'!AG192,1)),""))</f>
        <v/>
      </c>
      <c r="Z218" t="str">
        <f>IF(OR('Base Encuesta'!AH192="",IFERROR(VALUE(LEFT('Base Encuesta'!K192,1)),"")&gt;=3),"",IF(W218=1,VALUE(LEFT('Base Encuesta'!AH192,1)),""))</f>
        <v/>
      </c>
      <c r="AA218" t="str">
        <f>IF(OR('Base Encuesta'!AI192="",IFERROR(VALUE(LEFT('Base Encuesta'!K192,1)),"")&gt;=3),"",IF(W218=1,VALUE(LEFT('Base Encuesta'!AI192,1)),""))</f>
        <v/>
      </c>
      <c r="AB218" t="str">
        <f>IF(OR('Base Encuesta'!AJ192="",IFERROR(VALUE(LEFT('Base Encuesta'!K192,1)),"")&gt;=3),"",IF(W218=1,VALUE(LEFT('Base Encuesta'!AJ192,1)),""))</f>
        <v/>
      </c>
      <c r="AC218" t="str">
        <f>IF(OR('Base Encuesta'!AL192="",IFERROR(VALUE(LEFT('Base Encuesta'!K192,1)),"")&gt;=3),"",VALUE(LEFT('Base Encuesta'!AL192,1)))</f>
        <v/>
      </c>
      <c r="AD218" t="str">
        <f>IF(OR('Base Encuesta'!AM192="",IFERROR(VALUE(LEFT('Base Encuesta'!K192,1)),"")&gt;=3),"",VALUE(LEFT('Base Encuesta'!AM192,1)))</f>
        <v/>
      </c>
      <c r="AE218" t="str">
        <f>IF(OR('Base Encuesta'!AN192="",IFERROR(VALUE(LEFT('Base Encuesta'!K192,1)),"")&gt;=3),"",VALUE(LEFT('Base Encuesta'!AN192,1)))</f>
        <v/>
      </c>
      <c r="AF218" t="str">
        <f>IF(OR('Base Encuesta'!AO192="",IFERROR(VALUE(LEFT('Base Encuesta'!K192,1)),"")&gt;=3),"",VALUE(LEFT('Base Encuesta'!AO192,1)))</f>
        <v/>
      </c>
      <c r="AG218" t="str">
        <f>IF(OR('Base Encuesta'!AQ192="",IFERROR(VALUE(LEFT('Base Encuesta'!K192,1)),"")&gt;=3),"",VALUE(LEFT('Base Encuesta'!AQ192,1)))</f>
        <v/>
      </c>
      <c r="AH218" t="str">
        <f>IF(OR('Base Encuesta'!AR192="",IFERROR(VALUE(LEFT('Base Encuesta'!K192,1)),"")&gt;=3),"",VALUE(LEFT('Base Encuesta'!AR192,1)))</f>
        <v/>
      </c>
    </row>
    <row r="219" spans="1:34">
      <c r="A219" t="str">
        <f>IF('Base Encuesta'!C193="","",'Base Encuesta'!C193)</f>
        <v/>
      </c>
      <c r="B219" t="str">
        <f>IF('Base Encuesta'!D193="","",'Base Encuesta'!D193)</f>
        <v/>
      </c>
      <c r="C219" t="str">
        <f>IF('Base Encuesta'!E193="","",'Base Encuesta'!E193)</f>
        <v/>
      </c>
      <c r="D219" t="str">
        <f>IF('Base Encuesta'!F193="","",'Base Encuesta'!F193)</f>
        <v/>
      </c>
      <c r="E219" t="str">
        <f>IF('Base Encuesta'!G193="","",'Base Encuesta'!G193)</f>
        <v/>
      </c>
      <c r="F219" t="str">
        <f>IF('Base Encuesta'!H193="","",'Base Encuesta'!H193)</f>
        <v/>
      </c>
      <c r="G219" t="str">
        <f>IF('Base Encuesta'!I193="","",'Base Encuesta'!I193)</f>
        <v/>
      </c>
      <c r="H219" t="str">
        <f>IF('Base Encuesta'!J193="","",'Base Encuesta'!J193)</f>
        <v/>
      </c>
      <c r="I219" t="str">
        <f>IF('Base Encuesta'!K193="","",'Base Encuesta'!K193)</f>
        <v/>
      </c>
      <c r="J219" t="str">
        <f>IF(OR('Base Encuesta'!P193="",IFERROR(VALUE(LEFT('Base Encuesta'!K193,1)),"")&gt;=3),"",PROPER(TRIM('Base Encuesta'!P193)))</f>
        <v/>
      </c>
      <c r="K219" t="str">
        <f>IF(OR('Base Encuesta'!Q193="",IFERROR(VALUE(LEFT('Base Encuesta'!K193,1)),"")&gt;=3),"",'Base Encuesta'!Q193)</f>
        <v/>
      </c>
      <c r="L219" t="str">
        <f>IF(OR('Base Encuesta'!R193="",IFERROR(VALUE(LEFT('Base Encuesta'!K193,1)),"")&gt;=3),"",VALUE(LEFT('Base Encuesta'!R193,1)))</f>
        <v/>
      </c>
      <c r="M219" t="str">
        <f>IF(OR('Base Encuesta'!S193="",IFERROR(VALUE(LEFT('Base Encuesta'!K193,1)),"")&gt;=3),"",VALUE(LEFT('Base Encuesta'!S193,1)))</f>
        <v/>
      </c>
      <c r="N219" t="str">
        <f>IF(OR('Base Encuesta'!T193="",IFERROR(VALUE(LEFT('Base Encuesta'!K193,1)),"")&gt;=3),"",VALUE(LEFT('Base Encuesta'!T193,1)))</f>
        <v/>
      </c>
      <c r="O219" t="str">
        <f>IF(OR('Base Encuesta'!V193="",IFERROR(VALUE(LEFT('Base Encuesta'!K193,1)),"")&gt;=3),"",VALUE(LEFT('Base Encuesta'!V193,1)))</f>
        <v/>
      </c>
      <c r="P219" t="str">
        <f>IF(OR('Base Encuesta'!W193="",IFERROR(VALUE(LEFT('Base Encuesta'!K193,1)),"")&gt;=3),"",VALUE(LEFT('Base Encuesta'!W193,1)))</f>
        <v/>
      </c>
      <c r="Q219" t="str">
        <f>IF(OR('Base Encuesta'!X193="",IFERROR(VALUE(LEFT('Base Encuesta'!K193,1)),"")&gt;=3),"",VALUE(LEFT('Base Encuesta'!X193,1)))</f>
        <v/>
      </c>
      <c r="R219" t="str">
        <f>IF(OR('Base Encuesta'!Y193="",IFERROR(VALUE(LEFT('Base Encuesta'!K193,1)),"")&gt;=3),"",VALUE(LEFT('Base Encuesta'!Y193,1)))</f>
        <v/>
      </c>
      <c r="S219" t="str">
        <f>IF(OR('Base Encuesta'!Z193="",IFERROR(VALUE(LEFT('Base Encuesta'!K193,1)),"")&gt;=3),"",VALUE(LEFT('Base Encuesta'!Z193,1)))</f>
        <v/>
      </c>
      <c r="T219" t="str">
        <f>IF(OR('Base Encuesta'!AA193="",IFERROR(VALUE(LEFT('Base Encuesta'!K193,1)),"")&gt;=3),"",VALUE(LEFT('Base Encuesta'!AA193,1)))</f>
        <v/>
      </c>
      <c r="U219" t="str">
        <f>IF(OR('Base Encuesta'!AB193="",IFERROR(VALUE(LEFT('Base Encuesta'!K193,1)),"")&gt;=3),"",VALUE(LEFT('Base Encuesta'!AB193,1)))</f>
        <v/>
      </c>
      <c r="V219" t="str">
        <f>IF(OR('Base Encuesta'!AC193="",IFERROR(VALUE(LEFT('Base Encuesta'!K193,1)),"")&gt;=3),"",VALUE(LEFT('Base Encuesta'!AC193,1)))</f>
        <v/>
      </c>
      <c r="W219" t="str">
        <f>IF(OR('Base Encuesta'!AE193="",IFERROR(VALUE(LEFT('Base Encuesta'!K193,1)),"")&gt;=3),"",VALUE(LEFT('Base Encuesta'!AE193,1)))</f>
        <v/>
      </c>
      <c r="X219" t="str">
        <f>IF(OR('Base Encuesta'!AF193="",IFERROR(VALUE(LEFT('Base Encuesta'!K193,1)),"")&gt;=3),"",IF(W219=1,VALUE(LEFT('Base Encuesta'!AF193,1)),""))</f>
        <v/>
      </c>
      <c r="Y219" t="str">
        <f>IF(OR('Base Encuesta'!AG193="",IFERROR(VALUE(LEFT('Base Encuesta'!K193,1)),"")&gt;=3),"",IF(W219=1,VALUE(LEFT('Base Encuesta'!AG193,1)),""))</f>
        <v/>
      </c>
      <c r="Z219" t="str">
        <f>IF(OR('Base Encuesta'!AH193="",IFERROR(VALUE(LEFT('Base Encuesta'!K193,1)),"")&gt;=3),"",IF(W219=1,VALUE(LEFT('Base Encuesta'!AH193,1)),""))</f>
        <v/>
      </c>
      <c r="AA219" t="str">
        <f>IF(OR('Base Encuesta'!AI193="",IFERROR(VALUE(LEFT('Base Encuesta'!K193,1)),"")&gt;=3),"",IF(W219=1,VALUE(LEFT('Base Encuesta'!AI193,1)),""))</f>
        <v/>
      </c>
      <c r="AB219" t="str">
        <f>IF(OR('Base Encuesta'!AJ193="",IFERROR(VALUE(LEFT('Base Encuesta'!K193,1)),"")&gt;=3),"",IF(W219=1,VALUE(LEFT('Base Encuesta'!AJ193,1)),""))</f>
        <v/>
      </c>
      <c r="AC219" t="str">
        <f>IF(OR('Base Encuesta'!AL193="",IFERROR(VALUE(LEFT('Base Encuesta'!K193,1)),"")&gt;=3),"",VALUE(LEFT('Base Encuesta'!AL193,1)))</f>
        <v/>
      </c>
      <c r="AD219" t="str">
        <f>IF(OR('Base Encuesta'!AM193="",IFERROR(VALUE(LEFT('Base Encuesta'!K193,1)),"")&gt;=3),"",VALUE(LEFT('Base Encuesta'!AM193,1)))</f>
        <v/>
      </c>
      <c r="AE219" t="str">
        <f>IF(OR('Base Encuesta'!AN193="",IFERROR(VALUE(LEFT('Base Encuesta'!K193,1)),"")&gt;=3),"",VALUE(LEFT('Base Encuesta'!AN193,1)))</f>
        <v/>
      </c>
      <c r="AF219" t="str">
        <f>IF(OR('Base Encuesta'!AO193="",IFERROR(VALUE(LEFT('Base Encuesta'!K193,1)),"")&gt;=3),"",VALUE(LEFT('Base Encuesta'!AO193,1)))</f>
        <v/>
      </c>
      <c r="AG219" t="str">
        <f>IF(OR('Base Encuesta'!AQ193="",IFERROR(VALUE(LEFT('Base Encuesta'!K193,1)),"")&gt;=3),"",VALUE(LEFT('Base Encuesta'!AQ193,1)))</f>
        <v/>
      </c>
      <c r="AH219" t="str">
        <f>IF(OR('Base Encuesta'!AR193="",IFERROR(VALUE(LEFT('Base Encuesta'!K193,1)),"")&gt;=3),"",VALUE(LEFT('Base Encuesta'!AR193,1)))</f>
        <v/>
      </c>
    </row>
    <row r="220" spans="1:34">
      <c r="A220" t="str">
        <f>IF('Base Encuesta'!C194="","",'Base Encuesta'!C194)</f>
        <v/>
      </c>
      <c r="B220" t="str">
        <f>IF('Base Encuesta'!D194="","",'Base Encuesta'!D194)</f>
        <v/>
      </c>
      <c r="C220" t="str">
        <f>IF('Base Encuesta'!E194="","",'Base Encuesta'!E194)</f>
        <v/>
      </c>
      <c r="D220" t="str">
        <f>IF('Base Encuesta'!F194="","",'Base Encuesta'!F194)</f>
        <v/>
      </c>
      <c r="E220" t="str">
        <f>IF('Base Encuesta'!G194="","",'Base Encuesta'!G194)</f>
        <v/>
      </c>
      <c r="F220" t="str">
        <f>IF('Base Encuesta'!H194="","",'Base Encuesta'!H194)</f>
        <v/>
      </c>
      <c r="G220" t="str">
        <f>IF('Base Encuesta'!I194="","",'Base Encuesta'!I194)</f>
        <v/>
      </c>
      <c r="H220" t="str">
        <f>IF('Base Encuesta'!J194="","",'Base Encuesta'!J194)</f>
        <v/>
      </c>
      <c r="I220" t="str">
        <f>IF('Base Encuesta'!K194="","",'Base Encuesta'!K194)</f>
        <v/>
      </c>
      <c r="J220" t="str">
        <f>IF(OR('Base Encuesta'!P194="",IFERROR(VALUE(LEFT('Base Encuesta'!K194,1)),"")&gt;=3),"",PROPER(TRIM('Base Encuesta'!P194)))</f>
        <v/>
      </c>
      <c r="K220" t="str">
        <f>IF(OR('Base Encuesta'!Q194="",IFERROR(VALUE(LEFT('Base Encuesta'!K194,1)),"")&gt;=3),"",'Base Encuesta'!Q194)</f>
        <v/>
      </c>
      <c r="L220" t="str">
        <f>IF(OR('Base Encuesta'!R194="",IFERROR(VALUE(LEFT('Base Encuesta'!K194,1)),"")&gt;=3),"",VALUE(LEFT('Base Encuesta'!R194,1)))</f>
        <v/>
      </c>
      <c r="M220" t="str">
        <f>IF(OR('Base Encuesta'!S194="",IFERROR(VALUE(LEFT('Base Encuesta'!K194,1)),"")&gt;=3),"",VALUE(LEFT('Base Encuesta'!S194,1)))</f>
        <v/>
      </c>
      <c r="N220" t="str">
        <f>IF(OR('Base Encuesta'!T194="",IFERROR(VALUE(LEFT('Base Encuesta'!K194,1)),"")&gt;=3),"",VALUE(LEFT('Base Encuesta'!T194,1)))</f>
        <v/>
      </c>
      <c r="O220" t="str">
        <f>IF(OR('Base Encuesta'!V194="",IFERROR(VALUE(LEFT('Base Encuesta'!K194,1)),"")&gt;=3),"",VALUE(LEFT('Base Encuesta'!V194,1)))</f>
        <v/>
      </c>
      <c r="P220" t="str">
        <f>IF(OR('Base Encuesta'!W194="",IFERROR(VALUE(LEFT('Base Encuesta'!K194,1)),"")&gt;=3),"",VALUE(LEFT('Base Encuesta'!W194,1)))</f>
        <v/>
      </c>
      <c r="Q220" t="str">
        <f>IF(OR('Base Encuesta'!X194="",IFERROR(VALUE(LEFT('Base Encuesta'!K194,1)),"")&gt;=3),"",VALUE(LEFT('Base Encuesta'!X194,1)))</f>
        <v/>
      </c>
      <c r="R220" t="str">
        <f>IF(OR('Base Encuesta'!Y194="",IFERROR(VALUE(LEFT('Base Encuesta'!K194,1)),"")&gt;=3),"",VALUE(LEFT('Base Encuesta'!Y194,1)))</f>
        <v/>
      </c>
      <c r="S220" t="str">
        <f>IF(OR('Base Encuesta'!Z194="",IFERROR(VALUE(LEFT('Base Encuesta'!K194,1)),"")&gt;=3),"",VALUE(LEFT('Base Encuesta'!Z194,1)))</f>
        <v/>
      </c>
      <c r="T220" t="str">
        <f>IF(OR('Base Encuesta'!AA194="",IFERROR(VALUE(LEFT('Base Encuesta'!K194,1)),"")&gt;=3),"",VALUE(LEFT('Base Encuesta'!AA194,1)))</f>
        <v/>
      </c>
      <c r="U220" t="str">
        <f>IF(OR('Base Encuesta'!AB194="",IFERROR(VALUE(LEFT('Base Encuesta'!K194,1)),"")&gt;=3),"",VALUE(LEFT('Base Encuesta'!AB194,1)))</f>
        <v/>
      </c>
      <c r="V220" t="str">
        <f>IF(OR('Base Encuesta'!AC194="",IFERROR(VALUE(LEFT('Base Encuesta'!K194,1)),"")&gt;=3),"",VALUE(LEFT('Base Encuesta'!AC194,1)))</f>
        <v/>
      </c>
      <c r="W220" t="str">
        <f>IF(OR('Base Encuesta'!AE194="",IFERROR(VALUE(LEFT('Base Encuesta'!K194,1)),"")&gt;=3),"",VALUE(LEFT('Base Encuesta'!AE194,1)))</f>
        <v/>
      </c>
      <c r="X220" t="str">
        <f>IF(OR('Base Encuesta'!AF194="",IFERROR(VALUE(LEFT('Base Encuesta'!K194,1)),"")&gt;=3),"",IF(W220=1,VALUE(LEFT('Base Encuesta'!AF194,1)),""))</f>
        <v/>
      </c>
      <c r="Y220" t="str">
        <f>IF(OR('Base Encuesta'!AG194="",IFERROR(VALUE(LEFT('Base Encuesta'!K194,1)),"")&gt;=3),"",IF(W220=1,VALUE(LEFT('Base Encuesta'!AG194,1)),""))</f>
        <v/>
      </c>
      <c r="Z220" t="str">
        <f>IF(OR('Base Encuesta'!AH194="",IFERROR(VALUE(LEFT('Base Encuesta'!K194,1)),"")&gt;=3),"",IF(W220=1,VALUE(LEFT('Base Encuesta'!AH194,1)),""))</f>
        <v/>
      </c>
      <c r="AA220" t="str">
        <f>IF(OR('Base Encuesta'!AI194="",IFERROR(VALUE(LEFT('Base Encuesta'!K194,1)),"")&gt;=3),"",IF(W220=1,VALUE(LEFT('Base Encuesta'!AI194,1)),""))</f>
        <v/>
      </c>
      <c r="AB220" t="str">
        <f>IF(OR('Base Encuesta'!AJ194="",IFERROR(VALUE(LEFT('Base Encuesta'!K194,1)),"")&gt;=3),"",IF(W220=1,VALUE(LEFT('Base Encuesta'!AJ194,1)),""))</f>
        <v/>
      </c>
      <c r="AC220" t="str">
        <f>IF(OR('Base Encuesta'!AL194="",IFERROR(VALUE(LEFT('Base Encuesta'!K194,1)),"")&gt;=3),"",VALUE(LEFT('Base Encuesta'!AL194,1)))</f>
        <v/>
      </c>
      <c r="AD220" t="str">
        <f>IF(OR('Base Encuesta'!AM194="",IFERROR(VALUE(LEFT('Base Encuesta'!K194,1)),"")&gt;=3),"",VALUE(LEFT('Base Encuesta'!AM194,1)))</f>
        <v/>
      </c>
      <c r="AE220" t="str">
        <f>IF(OR('Base Encuesta'!AN194="",IFERROR(VALUE(LEFT('Base Encuesta'!K194,1)),"")&gt;=3),"",VALUE(LEFT('Base Encuesta'!AN194,1)))</f>
        <v/>
      </c>
      <c r="AF220" t="str">
        <f>IF(OR('Base Encuesta'!AO194="",IFERROR(VALUE(LEFT('Base Encuesta'!K194,1)),"")&gt;=3),"",VALUE(LEFT('Base Encuesta'!AO194,1)))</f>
        <v/>
      </c>
      <c r="AG220" t="str">
        <f>IF(OR('Base Encuesta'!AQ194="",IFERROR(VALUE(LEFT('Base Encuesta'!K194,1)),"")&gt;=3),"",VALUE(LEFT('Base Encuesta'!AQ194,1)))</f>
        <v/>
      </c>
      <c r="AH220" t="str">
        <f>IF(OR('Base Encuesta'!AR194="",IFERROR(VALUE(LEFT('Base Encuesta'!K194,1)),"")&gt;=3),"",VALUE(LEFT('Base Encuesta'!AR194,1)))</f>
        <v/>
      </c>
    </row>
    <row r="221" spans="1:34">
      <c r="A221" t="str">
        <f>IF('Base Encuesta'!C195="","",'Base Encuesta'!C195)</f>
        <v/>
      </c>
      <c r="B221" t="str">
        <f>IF('Base Encuesta'!D195="","",'Base Encuesta'!D195)</f>
        <v/>
      </c>
      <c r="C221" t="str">
        <f>IF('Base Encuesta'!E195="","",'Base Encuesta'!E195)</f>
        <v/>
      </c>
      <c r="D221" t="str">
        <f>IF('Base Encuesta'!F195="","",'Base Encuesta'!F195)</f>
        <v/>
      </c>
      <c r="E221" t="str">
        <f>IF('Base Encuesta'!G195="","",'Base Encuesta'!G195)</f>
        <v/>
      </c>
      <c r="F221" t="str">
        <f>IF('Base Encuesta'!H195="","",'Base Encuesta'!H195)</f>
        <v/>
      </c>
      <c r="G221" t="str">
        <f>IF('Base Encuesta'!I195="","",'Base Encuesta'!I195)</f>
        <v/>
      </c>
      <c r="H221" t="str">
        <f>IF('Base Encuesta'!J195="","",'Base Encuesta'!J195)</f>
        <v/>
      </c>
      <c r="I221" t="str">
        <f>IF('Base Encuesta'!K195="","",'Base Encuesta'!K195)</f>
        <v/>
      </c>
      <c r="J221" t="str">
        <f>IF(OR('Base Encuesta'!P195="",IFERROR(VALUE(LEFT('Base Encuesta'!K195,1)),"")&gt;=3),"",PROPER(TRIM('Base Encuesta'!P195)))</f>
        <v/>
      </c>
      <c r="K221" t="str">
        <f>IF(OR('Base Encuesta'!Q195="",IFERROR(VALUE(LEFT('Base Encuesta'!K195,1)),"")&gt;=3),"",'Base Encuesta'!Q195)</f>
        <v/>
      </c>
      <c r="L221" t="str">
        <f>IF(OR('Base Encuesta'!R195="",IFERROR(VALUE(LEFT('Base Encuesta'!K195,1)),"")&gt;=3),"",VALUE(LEFT('Base Encuesta'!R195,1)))</f>
        <v/>
      </c>
      <c r="M221" t="str">
        <f>IF(OR('Base Encuesta'!S195="",IFERROR(VALUE(LEFT('Base Encuesta'!K195,1)),"")&gt;=3),"",VALUE(LEFT('Base Encuesta'!S195,1)))</f>
        <v/>
      </c>
      <c r="N221" t="str">
        <f>IF(OR('Base Encuesta'!T195="",IFERROR(VALUE(LEFT('Base Encuesta'!K195,1)),"")&gt;=3),"",VALUE(LEFT('Base Encuesta'!T195,1)))</f>
        <v/>
      </c>
      <c r="O221" t="str">
        <f>IF(OR('Base Encuesta'!V195="",IFERROR(VALUE(LEFT('Base Encuesta'!K195,1)),"")&gt;=3),"",VALUE(LEFT('Base Encuesta'!V195,1)))</f>
        <v/>
      </c>
      <c r="P221" t="str">
        <f>IF(OR('Base Encuesta'!W195="",IFERROR(VALUE(LEFT('Base Encuesta'!K195,1)),"")&gt;=3),"",VALUE(LEFT('Base Encuesta'!W195,1)))</f>
        <v/>
      </c>
      <c r="Q221" t="str">
        <f>IF(OR('Base Encuesta'!X195="",IFERROR(VALUE(LEFT('Base Encuesta'!K195,1)),"")&gt;=3),"",VALUE(LEFT('Base Encuesta'!X195,1)))</f>
        <v/>
      </c>
      <c r="R221" t="str">
        <f>IF(OR('Base Encuesta'!Y195="",IFERROR(VALUE(LEFT('Base Encuesta'!K195,1)),"")&gt;=3),"",VALUE(LEFT('Base Encuesta'!Y195,1)))</f>
        <v/>
      </c>
      <c r="S221" t="str">
        <f>IF(OR('Base Encuesta'!Z195="",IFERROR(VALUE(LEFT('Base Encuesta'!K195,1)),"")&gt;=3),"",VALUE(LEFT('Base Encuesta'!Z195,1)))</f>
        <v/>
      </c>
      <c r="T221" t="str">
        <f>IF(OR('Base Encuesta'!AA195="",IFERROR(VALUE(LEFT('Base Encuesta'!K195,1)),"")&gt;=3),"",VALUE(LEFT('Base Encuesta'!AA195,1)))</f>
        <v/>
      </c>
      <c r="U221" t="str">
        <f>IF(OR('Base Encuesta'!AB195="",IFERROR(VALUE(LEFT('Base Encuesta'!K195,1)),"")&gt;=3),"",VALUE(LEFT('Base Encuesta'!AB195,1)))</f>
        <v/>
      </c>
      <c r="V221" t="str">
        <f>IF(OR('Base Encuesta'!AC195="",IFERROR(VALUE(LEFT('Base Encuesta'!K195,1)),"")&gt;=3),"",VALUE(LEFT('Base Encuesta'!AC195,1)))</f>
        <v/>
      </c>
      <c r="W221" t="str">
        <f>IF(OR('Base Encuesta'!AE195="",IFERROR(VALUE(LEFT('Base Encuesta'!K195,1)),"")&gt;=3),"",VALUE(LEFT('Base Encuesta'!AE195,1)))</f>
        <v/>
      </c>
      <c r="X221" t="str">
        <f>IF(OR('Base Encuesta'!AF195="",IFERROR(VALUE(LEFT('Base Encuesta'!K195,1)),"")&gt;=3),"",IF(W221=1,VALUE(LEFT('Base Encuesta'!AF195,1)),""))</f>
        <v/>
      </c>
      <c r="Y221" t="str">
        <f>IF(OR('Base Encuesta'!AG195="",IFERROR(VALUE(LEFT('Base Encuesta'!K195,1)),"")&gt;=3),"",IF(W221=1,VALUE(LEFT('Base Encuesta'!AG195,1)),""))</f>
        <v/>
      </c>
      <c r="Z221" t="str">
        <f>IF(OR('Base Encuesta'!AH195="",IFERROR(VALUE(LEFT('Base Encuesta'!K195,1)),"")&gt;=3),"",IF(W221=1,VALUE(LEFT('Base Encuesta'!AH195,1)),""))</f>
        <v/>
      </c>
      <c r="AA221" t="str">
        <f>IF(OR('Base Encuesta'!AI195="",IFERROR(VALUE(LEFT('Base Encuesta'!K195,1)),"")&gt;=3),"",IF(W221=1,VALUE(LEFT('Base Encuesta'!AI195,1)),""))</f>
        <v/>
      </c>
      <c r="AB221" t="str">
        <f>IF(OR('Base Encuesta'!AJ195="",IFERROR(VALUE(LEFT('Base Encuesta'!K195,1)),"")&gt;=3),"",IF(W221=1,VALUE(LEFT('Base Encuesta'!AJ195,1)),""))</f>
        <v/>
      </c>
      <c r="AC221" t="str">
        <f>IF(OR('Base Encuesta'!AL195="",IFERROR(VALUE(LEFT('Base Encuesta'!K195,1)),"")&gt;=3),"",VALUE(LEFT('Base Encuesta'!AL195,1)))</f>
        <v/>
      </c>
      <c r="AD221" t="str">
        <f>IF(OR('Base Encuesta'!AM195="",IFERROR(VALUE(LEFT('Base Encuesta'!K195,1)),"")&gt;=3),"",VALUE(LEFT('Base Encuesta'!AM195,1)))</f>
        <v/>
      </c>
      <c r="AE221" t="str">
        <f>IF(OR('Base Encuesta'!AN195="",IFERROR(VALUE(LEFT('Base Encuesta'!K195,1)),"")&gt;=3),"",VALUE(LEFT('Base Encuesta'!AN195,1)))</f>
        <v/>
      </c>
      <c r="AF221" t="str">
        <f>IF(OR('Base Encuesta'!AO195="",IFERROR(VALUE(LEFT('Base Encuesta'!K195,1)),"")&gt;=3),"",VALUE(LEFT('Base Encuesta'!AO195,1)))</f>
        <v/>
      </c>
      <c r="AG221" t="str">
        <f>IF(OR('Base Encuesta'!AQ195="",IFERROR(VALUE(LEFT('Base Encuesta'!K195,1)),"")&gt;=3),"",VALUE(LEFT('Base Encuesta'!AQ195,1)))</f>
        <v/>
      </c>
      <c r="AH221" t="str">
        <f>IF(OR('Base Encuesta'!AR195="",IFERROR(VALUE(LEFT('Base Encuesta'!K195,1)),"")&gt;=3),"",VALUE(LEFT('Base Encuesta'!AR195,1)))</f>
        <v/>
      </c>
    </row>
    <row r="222" spans="1:34">
      <c r="A222" t="str">
        <f>IF('Base Encuesta'!C196="","",'Base Encuesta'!C196)</f>
        <v/>
      </c>
      <c r="B222" t="str">
        <f>IF('Base Encuesta'!D196="","",'Base Encuesta'!D196)</f>
        <v/>
      </c>
      <c r="C222" t="str">
        <f>IF('Base Encuesta'!E196="","",'Base Encuesta'!E196)</f>
        <v/>
      </c>
      <c r="D222" t="str">
        <f>IF('Base Encuesta'!F196="","",'Base Encuesta'!F196)</f>
        <v/>
      </c>
      <c r="E222" t="str">
        <f>IF('Base Encuesta'!G196="","",'Base Encuesta'!G196)</f>
        <v/>
      </c>
      <c r="F222" t="str">
        <f>IF('Base Encuesta'!H196="","",'Base Encuesta'!H196)</f>
        <v/>
      </c>
      <c r="G222" t="str">
        <f>IF('Base Encuesta'!I196="","",'Base Encuesta'!I196)</f>
        <v/>
      </c>
      <c r="H222" t="str">
        <f>IF('Base Encuesta'!J196="","",'Base Encuesta'!J196)</f>
        <v/>
      </c>
      <c r="I222" t="str">
        <f>IF('Base Encuesta'!K196="","",'Base Encuesta'!K196)</f>
        <v/>
      </c>
      <c r="J222" t="str">
        <f>IF(OR('Base Encuesta'!P196="",IFERROR(VALUE(LEFT('Base Encuesta'!K196,1)),"")&gt;=3),"",PROPER(TRIM('Base Encuesta'!P196)))</f>
        <v/>
      </c>
      <c r="K222" t="str">
        <f>IF(OR('Base Encuesta'!Q196="",IFERROR(VALUE(LEFT('Base Encuesta'!K196,1)),"")&gt;=3),"",'Base Encuesta'!Q196)</f>
        <v/>
      </c>
      <c r="L222" t="str">
        <f>IF(OR('Base Encuesta'!R196="",IFERROR(VALUE(LEFT('Base Encuesta'!K196,1)),"")&gt;=3),"",VALUE(LEFT('Base Encuesta'!R196,1)))</f>
        <v/>
      </c>
      <c r="M222" t="str">
        <f>IF(OR('Base Encuesta'!S196="",IFERROR(VALUE(LEFT('Base Encuesta'!K196,1)),"")&gt;=3),"",VALUE(LEFT('Base Encuesta'!S196,1)))</f>
        <v/>
      </c>
      <c r="N222" t="str">
        <f>IF(OR('Base Encuesta'!T196="",IFERROR(VALUE(LEFT('Base Encuesta'!K196,1)),"")&gt;=3),"",VALUE(LEFT('Base Encuesta'!T196,1)))</f>
        <v/>
      </c>
      <c r="O222" t="str">
        <f>IF(OR('Base Encuesta'!V196="",IFERROR(VALUE(LEFT('Base Encuesta'!K196,1)),"")&gt;=3),"",VALUE(LEFT('Base Encuesta'!V196,1)))</f>
        <v/>
      </c>
      <c r="P222" t="str">
        <f>IF(OR('Base Encuesta'!W196="",IFERROR(VALUE(LEFT('Base Encuesta'!K196,1)),"")&gt;=3),"",VALUE(LEFT('Base Encuesta'!W196,1)))</f>
        <v/>
      </c>
      <c r="Q222" t="str">
        <f>IF(OR('Base Encuesta'!X196="",IFERROR(VALUE(LEFT('Base Encuesta'!K196,1)),"")&gt;=3),"",VALUE(LEFT('Base Encuesta'!X196,1)))</f>
        <v/>
      </c>
      <c r="R222" t="str">
        <f>IF(OR('Base Encuesta'!Y196="",IFERROR(VALUE(LEFT('Base Encuesta'!K196,1)),"")&gt;=3),"",VALUE(LEFT('Base Encuesta'!Y196,1)))</f>
        <v/>
      </c>
      <c r="S222" t="str">
        <f>IF(OR('Base Encuesta'!Z196="",IFERROR(VALUE(LEFT('Base Encuesta'!K196,1)),"")&gt;=3),"",VALUE(LEFT('Base Encuesta'!Z196,1)))</f>
        <v/>
      </c>
      <c r="T222" t="str">
        <f>IF(OR('Base Encuesta'!AA196="",IFERROR(VALUE(LEFT('Base Encuesta'!K196,1)),"")&gt;=3),"",VALUE(LEFT('Base Encuesta'!AA196,1)))</f>
        <v/>
      </c>
      <c r="U222" t="str">
        <f>IF(OR('Base Encuesta'!AB196="",IFERROR(VALUE(LEFT('Base Encuesta'!K196,1)),"")&gt;=3),"",VALUE(LEFT('Base Encuesta'!AB196,1)))</f>
        <v/>
      </c>
      <c r="V222" t="str">
        <f>IF(OR('Base Encuesta'!AC196="",IFERROR(VALUE(LEFT('Base Encuesta'!K196,1)),"")&gt;=3),"",VALUE(LEFT('Base Encuesta'!AC196,1)))</f>
        <v/>
      </c>
      <c r="W222" t="str">
        <f>IF(OR('Base Encuesta'!AE196="",IFERROR(VALUE(LEFT('Base Encuesta'!K196,1)),"")&gt;=3),"",VALUE(LEFT('Base Encuesta'!AE196,1)))</f>
        <v/>
      </c>
      <c r="X222" t="str">
        <f>IF(OR('Base Encuesta'!AF196="",IFERROR(VALUE(LEFT('Base Encuesta'!K196,1)),"")&gt;=3),"",IF(W222=1,VALUE(LEFT('Base Encuesta'!AF196,1)),""))</f>
        <v/>
      </c>
      <c r="Y222" t="str">
        <f>IF(OR('Base Encuesta'!AG196="",IFERROR(VALUE(LEFT('Base Encuesta'!K196,1)),"")&gt;=3),"",IF(W222=1,VALUE(LEFT('Base Encuesta'!AG196,1)),""))</f>
        <v/>
      </c>
      <c r="Z222" t="str">
        <f>IF(OR('Base Encuesta'!AH196="",IFERROR(VALUE(LEFT('Base Encuesta'!K196,1)),"")&gt;=3),"",IF(W222=1,VALUE(LEFT('Base Encuesta'!AH196,1)),""))</f>
        <v/>
      </c>
      <c r="AA222" t="str">
        <f>IF(OR('Base Encuesta'!AI196="",IFERROR(VALUE(LEFT('Base Encuesta'!K196,1)),"")&gt;=3),"",IF(W222=1,VALUE(LEFT('Base Encuesta'!AI196,1)),""))</f>
        <v/>
      </c>
      <c r="AB222" t="str">
        <f>IF(OR('Base Encuesta'!AJ196="",IFERROR(VALUE(LEFT('Base Encuesta'!K196,1)),"")&gt;=3),"",IF(W222=1,VALUE(LEFT('Base Encuesta'!AJ196,1)),""))</f>
        <v/>
      </c>
      <c r="AC222" t="str">
        <f>IF(OR('Base Encuesta'!AL196="",IFERROR(VALUE(LEFT('Base Encuesta'!K196,1)),"")&gt;=3),"",VALUE(LEFT('Base Encuesta'!AL196,1)))</f>
        <v/>
      </c>
      <c r="AD222" t="str">
        <f>IF(OR('Base Encuesta'!AM196="",IFERROR(VALUE(LEFT('Base Encuesta'!K196,1)),"")&gt;=3),"",VALUE(LEFT('Base Encuesta'!AM196,1)))</f>
        <v/>
      </c>
      <c r="AE222" t="str">
        <f>IF(OR('Base Encuesta'!AN196="",IFERROR(VALUE(LEFT('Base Encuesta'!K196,1)),"")&gt;=3),"",VALUE(LEFT('Base Encuesta'!AN196,1)))</f>
        <v/>
      </c>
      <c r="AF222" t="str">
        <f>IF(OR('Base Encuesta'!AO196="",IFERROR(VALUE(LEFT('Base Encuesta'!K196,1)),"")&gt;=3),"",VALUE(LEFT('Base Encuesta'!AO196,1)))</f>
        <v/>
      </c>
      <c r="AG222" t="str">
        <f>IF(OR('Base Encuesta'!AQ196="",IFERROR(VALUE(LEFT('Base Encuesta'!K196,1)),"")&gt;=3),"",VALUE(LEFT('Base Encuesta'!AQ196,1)))</f>
        <v/>
      </c>
      <c r="AH222" t="str">
        <f>IF(OR('Base Encuesta'!AR196="",IFERROR(VALUE(LEFT('Base Encuesta'!K196,1)),"")&gt;=3),"",VALUE(LEFT('Base Encuesta'!AR196,1)))</f>
        <v/>
      </c>
    </row>
    <row r="223" spans="1:34">
      <c r="A223" t="str">
        <f>IF('Base Encuesta'!C197="","",'Base Encuesta'!C197)</f>
        <v/>
      </c>
      <c r="B223" t="str">
        <f>IF('Base Encuesta'!D197="","",'Base Encuesta'!D197)</f>
        <v/>
      </c>
      <c r="C223" t="str">
        <f>IF('Base Encuesta'!E197="","",'Base Encuesta'!E197)</f>
        <v/>
      </c>
      <c r="D223" t="str">
        <f>IF('Base Encuesta'!F197="","",'Base Encuesta'!F197)</f>
        <v/>
      </c>
      <c r="E223" t="str">
        <f>IF('Base Encuesta'!G197="","",'Base Encuesta'!G197)</f>
        <v/>
      </c>
      <c r="F223" t="str">
        <f>IF('Base Encuesta'!H197="","",'Base Encuesta'!H197)</f>
        <v/>
      </c>
      <c r="G223" t="str">
        <f>IF('Base Encuesta'!I197="","",'Base Encuesta'!I197)</f>
        <v/>
      </c>
      <c r="H223" t="str">
        <f>IF('Base Encuesta'!J197="","",'Base Encuesta'!J197)</f>
        <v/>
      </c>
      <c r="I223" t="str">
        <f>IF('Base Encuesta'!K197="","",'Base Encuesta'!K197)</f>
        <v/>
      </c>
      <c r="J223" t="str">
        <f>IF(OR('Base Encuesta'!P197="",IFERROR(VALUE(LEFT('Base Encuesta'!K197,1)),"")&gt;=3),"",PROPER(TRIM('Base Encuesta'!P197)))</f>
        <v/>
      </c>
      <c r="K223" t="str">
        <f>IF(OR('Base Encuesta'!Q197="",IFERROR(VALUE(LEFT('Base Encuesta'!K197,1)),"")&gt;=3),"",'Base Encuesta'!Q197)</f>
        <v/>
      </c>
      <c r="L223" t="str">
        <f>IF(OR('Base Encuesta'!R197="",IFERROR(VALUE(LEFT('Base Encuesta'!K197,1)),"")&gt;=3),"",VALUE(LEFT('Base Encuesta'!R197,1)))</f>
        <v/>
      </c>
      <c r="M223" t="str">
        <f>IF(OR('Base Encuesta'!S197="",IFERROR(VALUE(LEFT('Base Encuesta'!K197,1)),"")&gt;=3),"",VALUE(LEFT('Base Encuesta'!S197,1)))</f>
        <v/>
      </c>
      <c r="N223" t="str">
        <f>IF(OR('Base Encuesta'!T197="",IFERROR(VALUE(LEFT('Base Encuesta'!K197,1)),"")&gt;=3),"",VALUE(LEFT('Base Encuesta'!T197,1)))</f>
        <v/>
      </c>
      <c r="O223" t="str">
        <f>IF(OR('Base Encuesta'!V197="",IFERROR(VALUE(LEFT('Base Encuesta'!K197,1)),"")&gt;=3),"",VALUE(LEFT('Base Encuesta'!V197,1)))</f>
        <v/>
      </c>
      <c r="P223" t="str">
        <f>IF(OR('Base Encuesta'!W197="",IFERROR(VALUE(LEFT('Base Encuesta'!K197,1)),"")&gt;=3),"",VALUE(LEFT('Base Encuesta'!W197,1)))</f>
        <v/>
      </c>
      <c r="Q223" t="str">
        <f>IF(OR('Base Encuesta'!X197="",IFERROR(VALUE(LEFT('Base Encuesta'!K197,1)),"")&gt;=3),"",VALUE(LEFT('Base Encuesta'!X197,1)))</f>
        <v/>
      </c>
      <c r="R223" t="str">
        <f>IF(OR('Base Encuesta'!Y197="",IFERROR(VALUE(LEFT('Base Encuesta'!K197,1)),"")&gt;=3),"",VALUE(LEFT('Base Encuesta'!Y197,1)))</f>
        <v/>
      </c>
      <c r="S223" t="str">
        <f>IF(OR('Base Encuesta'!Z197="",IFERROR(VALUE(LEFT('Base Encuesta'!K197,1)),"")&gt;=3),"",VALUE(LEFT('Base Encuesta'!Z197,1)))</f>
        <v/>
      </c>
      <c r="T223" t="str">
        <f>IF(OR('Base Encuesta'!AA197="",IFERROR(VALUE(LEFT('Base Encuesta'!K197,1)),"")&gt;=3),"",VALUE(LEFT('Base Encuesta'!AA197,1)))</f>
        <v/>
      </c>
      <c r="U223" t="str">
        <f>IF(OR('Base Encuesta'!AB197="",IFERROR(VALUE(LEFT('Base Encuesta'!K197,1)),"")&gt;=3),"",VALUE(LEFT('Base Encuesta'!AB197,1)))</f>
        <v/>
      </c>
      <c r="V223" t="str">
        <f>IF(OR('Base Encuesta'!AC197="",IFERROR(VALUE(LEFT('Base Encuesta'!K197,1)),"")&gt;=3),"",VALUE(LEFT('Base Encuesta'!AC197,1)))</f>
        <v/>
      </c>
      <c r="W223" t="str">
        <f>IF(OR('Base Encuesta'!AE197="",IFERROR(VALUE(LEFT('Base Encuesta'!K197,1)),"")&gt;=3),"",VALUE(LEFT('Base Encuesta'!AE197,1)))</f>
        <v/>
      </c>
      <c r="X223" t="str">
        <f>IF(OR('Base Encuesta'!AF197="",IFERROR(VALUE(LEFT('Base Encuesta'!K197,1)),"")&gt;=3),"",IF(W223=1,VALUE(LEFT('Base Encuesta'!AF197,1)),""))</f>
        <v/>
      </c>
      <c r="Y223" t="str">
        <f>IF(OR('Base Encuesta'!AG197="",IFERROR(VALUE(LEFT('Base Encuesta'!K197,1)),"")&gt;=3),"",IF(W223=1,VALUE(LEFT('Base Encuesta'!AG197,1)),""))</f>
        <v/>
      </c>
      <c r="Z223" t="str">
        <f>IF(OR('Base Encuesta'!AH197="",IFERROR(VALUE(LEFT('Base Encuesta'!K197,1)),"")&gt;=3),"",IF(W223=1,VALUE(LEFT('Base Encuesta'!AH197,1)),""))</f>
        <v/>
      </c>
      <c r="AA223" t="str">
        <f>IF(OR('Base Encuesta'!AI197="",IFERROR(VALUE(LEFT('Base Encuesta'!K197,1)),"")&gt;=3),"",IF(W223=1,VALUE(LEFT('Base Encuesta'!AI197,1)),""))</f>
        <v/>
      </c>
      <c r="AB223" t="str">
        <f>IF(OR('Base Encuesta'!AJ197="",IFERROR(VALUE(LEFT('Base Encuesta'!K197,1)),"")&gt;=3),"",IF(W223=1,VALUE(LEFT('Base Encuesta'!AJ197,1)),""))</f>
        <v/>
      </c>
      <c r="AC223" t="str">
        <f>IF(OR('Base Encuesta'!AL197="",IFERROR(VALUE(LEFT('Base Encuesta'!K197,1)),"")&gt;=3),"",VALUE(LEFT('Base Encuesta'!AL197,1)))</f>
        <v/>
      </c>
      <c r="AD223" t="str">
        <f>IF(OR('Base Encuesta'!AM197="",IFERROR(VALUE(LEFT('Base Encuesta'!K197,1)),"")&gt;=3),"",VALUE(LEFT('Base Encuesta'!AM197,1)))</f>
        <v/>
      </c>
      <c r="AE223" t="str">
        <f>IF(OR('Base Encuesta'!AN197="",IFERROR(VALUE(LEFT('Base Encuesta'!K197,1)),"")&gt;=3),"",VALUE(LEFT('Base Encuesta'!AN197,1)))</f>
        <v/>
      </c>
      <c r="AF223" t="str">
        <f>IF(OR('Base Encuesta'!AO197="",IFERROR(VALUE(LEFT('Base Encuesta'!K197,1)),"")&gt;=3),"",VALUE(LEFT('Base Encuesta'!AO197,1)))</f>
        <v/>
      </c>
      <c r="AG223" t="str">
        <f>IF(OR('Base Encuesta'!AQ197="",IFERROR(VALUE(LEFT('Base Encuesta'!K197,1)),"")&gt;=3),"",VALUE(LEFT('Base Encuesta'!AQ197,1)))</f>
        <v/>
      </c>
      <c r="AH223" t="str">
        <f>IF(OR('Base Encuesta'!AR197="",IFERROR(VALUE(LEFT('Base Encuesta'!K197,1)),"")&gt;=3),"",VALUE(LEFT('Base Encuesta'!AR197,1)))</f>
        <v/>
      </c>
    </row>
    <row r="224" spans="1:34">
      <c r="A224" t="str">
        <f>IF('Base Encuesta'!C198="","",'Base Encuesta'!C198)</f>
        <v/>
      </c>
      <c r="B224" t="str">
        <f>IF('Base Encuesta'!D198="","",'Base Encuesta'!D198)</f>
        <v/>
      </c>
      <c r="C224" t="str">
        <f>IF('Base Encuesta'!E198="","",'Base Encuesta'!E198)</f>
        <v/>
      </c>
      <c r="D224" t="str">
        <f>IF('Base Encuesta'!F198="","",'Base Encuesta'!F198)</f>
        <v/>
      </c>
      <c r="E224" t="str">
        <f>IF('Base Encuesta'!G198="","",'Base Encuesta'!G198)</f>
        <v/>
      </c>
      <c r="F224" t="str">
        <f>IF('Base Encuesta'!H198="","",'Base Encuesta'!H198)</f>
        <v/>
      </c>
      <c r="G224" t="str">
        <f>IF('Base Encuesta'!I198="","",'Base Encuesta'!I198)</f>
        <v/>
      </c>
      <c r="H224" t="str">
        <f>IF('Base Encuesta'!J198="","",'Base Encuesta'!J198)</f>
        <v/>
      </c>
      <c r="I224" t="str">
        <f>IF('Base Encuesta'!K198="","",'Base Encuesta'!K198)</f>
        <v/>
      </c>
      <c r="J224" t="str">
        <f>IF(OR('Base Encuesta'!P198="",IFERROR(VALUE(LEFT('Base Encuesta'!K198,1)),"")&gt;=3),"",PROPER(TRIM('Base Encuesta'!P198)))</f>
        <v/>
      </c>
      <c r="K224" t="str">
        <f>IF(OR('Base Encuesta'!Q198="",IFERROR(VALUE(LEFT('Base Encuesta'!K198,1)),"")&gt;=3),"",'Base Encuesta'!Q198)</f>
        <v/>
      </c>
      <c r="L224" t="str">
        <f>IF(OR('Base Encuesta'!R198="",IFERROR(VALUE(LEFT('Base Encuesta'!K198,1)),"")&gt;=3),"",VALUE(LEFT('Base Encuesta'!R198,1)))</f>
        <v/>
      </c>
      <c r="M224" t="str">
        <f>IF(OR('Base Encuesta'!S198="",IFERROR(VALUE(LEFT('Base Encuesta'!K198,1)),"")&gt;=3),"",VALUE(LEFT('Base Encuesta'!S198,1)))</f>
        <v/>
      </c>
      <c r="N224" t="str">
        <f>IF(OR('Base Encuesta'!T198="",IFERROR(VALUE(LEFT('Base Encuesta'!K198,1)),"")&gt;=3),"",VALUE(LEFT('Base Encuesta'!T198,1)))</f>
        <v/>
      </c>
      <c r="O224" t="str">
        <f>IF(OR('Base Encuesta'!V198="",IFERROR(VALUE(LEFT('Base Encuesta'!K198,1)),"")&gt;=3),"",VALUE(LEFT('Base Encuesta'!V198,1)))</f>
        <v/>
      </c>
      <c r="P224" t="str">
        <f>IF(OR('Base Encuesta'!W198="",IFERROR(VALUE(LEFT('Base Encuesta'!K198,1)),"")&gt;=3),"",VALUE(LEFT('Base Encuesta'!W198,1)))</f>
        <v/>
      </c>
      <c r="Q224" t="str">
        <f>IF(OR('Base Encuesta'!X198="",IFERROR(VALUE(LEFT('Base Encuesta'!K198,1)),"")&gt;=3),"",VALUE(LEFT('Base Encuesta'!X198,1)))</f>
        <v/>
      </c>
      <c r="R224" t="str">
        <f>IF(OR('Base Encuesta'!Y198="",IFERROR(VALUE(LEFT('Base Encuesta'!K198,1)),"")&gt;=3),"",VALUE(LEFT('Base Encuesta'!Y198,1)))</f>
        <v/>
      </c>
      <c r="S224" t="str">
        <f>IF(OR('Base Encuesta'!Z198="",IFERROR(VALUE(LEFT('Base Encuesta'!K198,1)),"")&gt;=3),"",VALUE(LEFT('Base Encuesta'!Z198,1)))</f>
        <v/>
      </c>
      <c r="T224" t="str">
        <f>IF(OR('Base Encuesta'!AA198="",IFERROR(VALUE(LEFT('Base Encuesta'!K198,1)),"")&gt;=3),"",VALUE(LEFT('Base Encuesta'!AA198,1)))</f>
        <v/>
      </c>
      <c r="U224" t="str">
        <f>IF(OR('Base Encuesta'!AB198="",IFERROR(VALUE(LEFT('Base Encuesta'!K198,1)),"")&gt;=3),"",VALUE(LEFT('Base Encuesta'!AB198,1)))</f>
        <v/>
      </c>
      <c r="V224" t="str">
        <f>IF(OR('Base Encuesta'!AC198="",IFERROR(VALUE(LEFT('Base Encuesta'!K198,1)),"")&gt;=3),"",VALUE(LEFT('Base Encuesta'!AC198,1)))</f>
        <v/>
      </c>
      <c r="W224" t="str">
        <f>IF(OR('Base Encuesta'!AE198="",IFERROR(VALUE(LEFT('Base Encuesta'!K198,1)),"")&gt;=3),"",VALUE(LEFT('Base Encuesta'!AE198,1)))</f>
        <v/>
      </c>
      <c r="X224" t="str">
        <f>IF(OR('Base Encuesta'!AF198="",IFERROR(VALUE(LEFT('Base Encuesta'!K198,1)),"")&gt;=3),"",IF(W224=1,VALUE(LEFT('Base Encuesta'!AF198,1)),""))</f>
        <v/>
      </c>
      <c r="Y224" t="str">
        <f>IF(OR('Base Encuesta'!AG198="",IFERROR(VALUE(LEFT('Base Encuesta'!K198,1)),"")&gt;=3),"",IF(W224=1,VALUE(LEFT('Base Encuesta'!AG198,1)),""))</f>
        <v/>
      </c>
      <c r="Z224" t="str">
        <f>IF(OR('Base Encuesta'!AH198="",IFERROR(VALUE(LEFT('Base Encuesta'!K198,1)),"")&gt;=3),"",IF(W224=1,VALUE(LEFT('Base Encuesta'!AH198,1)),""))</f>
        <v/>
      </c>
      <c r="AA224" t="str">
        <f>IF(OR('Base Encuesta'!AI198="",IFERROR(VALUE(LEFT('Base Encuesta'!K198,1)),"")&gt;=3),"",IF(W224=1,VALUE(LEFT('Base Encuesta'!AI198,1)),""))</f>
        <v/>
      </c>
      <c r="AB224" t="str">
        <f>IF(OR('Base Encuesta'!AJ198="",IFERROR(VALUE(LEFT('Base Encuesta'!K198,1)),"")&gt;=3),"",IF(W224=1,VALUE(LEFT('Base Encuesta'!AJ198,1)),""))</f>
        <v/>
      </c>
      <c r="AC224" t="str">
        <f>IF(OR('Base Encuesta'!AL198="",IFERROR(VALUE(LEFT('Base Encuesta'!K198,1)),"")&gt;=3),"",VALUE(LEFT('Base Encuesta'!AL198,1)))</f>
        <v/>
      </c>
      <c r="AD224" t="str">
        <f>IF(OR('Base Encuesta'!AM198="",IFERROR(VALUE(LEFT('Base Encuesta'!K198,1)),"")&gt;=3),"",VALUE(LEFT('Base Encuesta'!AM198,1)))</f>
        <v/>
      </c>
      <c r="AE224" t="str">
        <f>IF(OR('Base Encuesta'!AN198="",IFERROR(VALUE(LEFT('Base Encuesta'!K198,1)),"")&gt;=3),"",VALUE(LEFT('Base Encuesta'!AN198,1)))</f>
        <v/>
      </c>
      <c r="AF224" t="str">
        <f>IF(OR('Base Encuesta'!AO198="",IFERROR(VALUE(LEFT('Base Encuesta'!K198,1)),"")&gt;=3),"",VALUE(LEFT('Base Encuesta'!AO198,1)))</f>
        <v/>
      </c>
      <c r="AG224" t="str">
        <f>IF(OR('Base Encuesta'!AQ198="",IFERROR(VALUE(LEFT('Base Encuesta'!K198,1)),"")&gt;=3),"",VALUE(LEFT('Base Encuesta'!AQ198,1)))</f>
        <v/>
      </c>
      <c r="AH224" t="str">
        <f>IF(OR('Base Encuesta'!AR198="",IFERROR(VALUE(LEFT('Base Encuesta'!K198,1)),"")&gt;=3),"",VALUE(LEFT('Base Encuesta'!AR198,1)))</f>
        <v/>
      </c>
    </row>
    <row r="225" spans="1:34">
      <c r="A225" t="str">
        <f>IF('Base Encuesta'!C199="","",'Base Encuesta'!C199)</f>
        <v/>
      </c>
      <c r="B225" t="str">
        <f>IF('Base Encuesta'!D199="","",'Base Encuesta'!D199)</f>
        <v/>
      </c>
      <c r="C225" t="str">
        <f>IF('Base Encuesta'!E199="","",'Base Encuesta'!E199)</f>
        <v/>
      </c>
      <c r="D225" t="str">
        <f>IF('Base Encuesta'!F199="","",'Base Encuesta'!F199)</f>
        <v/>
      </c>
      <c r="E225" t="str">
        <f>IF('Base Encuesta'!G199="","",'Base Encuesta'!G199)</f>
        <v/>
      </c>
      <c r="F225" t="str">
        <f>IF('Base Encuesta'!H199="","",'Base Encuesta'!H199)</f>
        <v/>
      </c>
      <c r="G225" t="str">
        <f>IF('Base Encuesta'!I199="","",'Base Encuesta'!I199)</f>
        <v/>
      </c>
      <c r="H225" t="str">
        <f>IF('Base Encuesta'!J199="","",'Base Encuesta'!J199)</f>
        <v/>
      </c>
      <c r="I225" t="str">
        <f>IF('Base Encuesta'!K199="","",'Base Encuesta'!K199)</f>
        <v/>
      </c>
      <c r="J225" t="str">
        <f>IF(OR('Base Encuesta'!P199="",IFERROR(VALUE(LEFT('Base Encuesta'!K199,1)),"")&gt;=3),"",PROPER(TRIM('Base Encuesta'!P199)))</f>
        <v/>
      </c>
      <c r="K225" t="str">
        <f>IF(OR('Base Encuesta'!Q199="",IFERROR(VALUE(LEFT('Base Encuesta'!K199,1)),"")&gt;=3),"",'Base Encuesta'!Q199)</f>
        <v/>
      </c>
      <c r="L225" t="str">
        <f>IF(OR('Base Encuesta'!R199="",IFERROR(VALUE(LEFT('Base Encuesta'!K199,1)),"")&gt;=3),"",VALUE(LEFT('Base Encuesta'!R199,1)))</f>
        <v/>
      </c>
      <c r="M225" t="str">
        <f>IF(OR('Base Encuesta'!S199="",IFERROR(VALUE(LEFT('Base Encuesta'!K199,1)),"")&gt;=3),"",VALUE(LEFT('Base Encuesta'!S199,1)))</f>
        <v/>
      </c>
      <c r="N225" t="str">
        <f>IF(OR('Base Encuesta'!T199="",IFERROR(VALUE(LEFT('Base Encuesta'!K199,1)),"")&gt;=3),"",VALUE(LEFT('Base Encuesta'!T199,1)))</f>
        <v/>
      </c>
      <c r="O225" t="str">
        <f>IF(OR('Base Encuesta'!V199="",IFERROR(VALUE(LEFT('Base Encuesta'!K199,1)),"")&gt;=3),"",VALUE(LEFT('Base Encuesta'!V199,1)))</f>
        <v/>
      </c>
      <c r="P225" t="str">
        <f>IF(OR('Base Encuesta'!W199="",IFERROR(VALUE(LEFT('Base Encuesta'!K199,1)),"")&gt;=3),"",VALUE(LEFT('Base Encuesta'!W199,1)))</f>
        <v/>
      </c>
      <c r="Q225" t="str">
        <f>IF(OR('Base Encuesta'!X199="",IFERROR(VALUE(LEFT('Base Encuesta'!K199,1)),"")&gt;=3),"",VALUE(LEFT('Base Encuesta'!X199,1)))</f>
        <v/>
      </c>
      <c r="R225" t="str">
        <f>IF(OR('Base Encuesta'!Y199="",IFERROR(VALUE(LEFT('Base Encuesta'!K199,1)),"")&gt;=3),"",VALUE(LEFT('Base Encuesta'!Y199,1)))</f>
        <v/>
      </c>
      <c r="S225" t="str">
        <f>IF(OR('Base Encuesta'!Z199="",IFERROR(VALUE(LEFT('Base Encuesta'!K199,1)),"")&gt;=3),"",VALUE(LEFT('Base Encuesta'!Z199,1)))</f>
        <v/>
      </c>
      <c r="T225" t="str">
        <f>IF(OR('Base Encuesta'!AA199="",IFERROR(VALUE(LEFT('Base Encuesta'!K199,1)),"")&gt;=3),"",VALUE(LEFT('Base Encuesta'!AA199,1)))</f>
        <v/>
      </c>
      <c r="U225" t="str">
        <f>IF(OR('Base Encuesta'!AB199="",IFERROR(VALUE(LEFT('Base Encuesta'!K199,1)),"")&gt;=3),"",VALUE(LEFT('Base Encuesta'!AB199,1)))</f>
        <v/>
      </c>
      <c r="V225" t="str">
        <f>IF(OR('Base Encuesta'!AC199="",IFERROR(VALUE(LEFT('Base Encuesta'!K199,1)),"")&gt;=3),"",VALUE(LEFT('Base Encuesta'!AC199,1)))</f>
        <v/>
      </c>
      <c r="W225" t="str">
        <f>IF(OR('Base Encuesta'!AE199="",IFERROR(VALUE(LEFT('Base Encuesta'!K199,1)),"")&gt;=3),"",VALUE(LEFT('Base Encuesta'!AE199,1)))</f>
        <v/>
      </c>
      <c r="X225" t="str">
        <f>IF(OR('Base Encuesta'!AF199="",IFERROR(VALUE(LEFT('Base Encuesta'!K199,1)),"")&gt;=3),"",IF(W225=1,VALUE(LEFT('Base Encuesta'!AF199,1)),""))</f>
        <v/>
      </c>
      <c r="Y225" t="str">
        <f>IF(OR('Base Encuesta'!AG199="",IFERROR(VALUE(LEFT('Base Encuesta'!K199,1)),"")&gt;=3),"",IF(W225=1,VALUE(LEFT('Base Encuesta'!AG199,1)),""))</f>
        <v/>
      </c>
      <c r="Z225" t="str">
        <f>IF(OR('Base Encuesta'!AH199="",IFERROR(VALUE(LEFT('Base Encuesta'!K199,1)),"")&gt;=3),"",IF(W225=1,VALUE(LEFT('Base Encuesta'!AH199,1)),""))</f>
        <v/>
      </c>
      <c r="AA225" t="str">
        <f>IF(OR('Base Encuesta'!AI199="",IFERROR(VALUE(LEFT('Base Encuesta'!K199,1)),"")&gt;=3),"",IF(W225=1,VALUE(LEFT('Base Encuesta'!AI199,1)),""))</f>
        <v/>
      </c>
      <c r="AB225" t="str">
        <f>IF(OR('Base Encuesta'!AJ199="",IFERROR(VALUE(LEFT('Base Encuesta'!K199,1)),"")&gt;=3),"",IF(W225=1,VALUE(LEFT('Base Encuesta'!AJ199,1)),""))</f>
        <v/>
      </c>
      <c r="AC225" t="str">
        <f>IF(OR('Base Encuesta'!AL199="",IFERROR(VALUE(LEFT('Base Encuesta'!K199,1)),"")&gt;=3),"",VALUE(LEFT('Base Encuesta'!AL199,1)))</f>
        <v/>
      </c>
      <c r="AD225" t="str">
        <f>IF(OR('Base Encuesta'!AM199="",IFERROR(VALUE(LEFT('Base Encuesta'!K199,1)),"")&gt;=3),"",VALUE(LEFT('Base Encuesta'!AM199,1)))</f>
        <v/>
      </c>
      <c r="AE225" t="str">
        <f>IF(OR('Base Encuesta'!AN199="",IFERROR(VALUE(LEFT('Base Encuesta'!K199,1)),"")&gt;=3),"",VALUE(LEFT('Base Encuesta'!AN199,1)))</f>
        <v/>
      </c>
      <c r="AF225" t="str">
        <f>IF(OR('Base Encuesta'!AO199="",IFERROR(VALUE(LEFT('Base Encuesta'!K199,1)),"")&gt;=3),"",VALUE(LEFT('Base Encuesta'!AO199,1)))</f>
        <v/>
      </c>
      <c r="AG225" t="str">
        <f>IF(OR('Base Encuesta'!AQ199="",IFERROR(VALUE(LEFT('Base Encuesta'!K199,1)),"")&gt;=3),"",VALUE(LEFT('Base Encuesta'!AQ199,1)))</f>
        <v/>
      </c>
      <c r="AH225" t="str">
        <f>IF(OR('Base Encuesta'!AR199="",IFERROR(VALUE(LEFT('Base Encuesta'!K199,1)),"")&gt;=3),"",VALUE(LEFT('Base Encuesta'!AR199,1)))</f>
        <v/>
      </c>
    </row>
    <row r="226" spans="1:34">
      <c r="A226" t="str">
        <f>IF('Base Encuesta'!C200="","",'Base Encuesta'!C200)</f>
        <v/>
      </c>
      <c r="B226" t="str">
        <f>IF('Base Encuesta'!D200="","",'Base Encuesta'!D200)</f>
        <v/>
      </c>
      <c r="C226" t="str">
        <f>IF('Base Encuesta'!E200="","",'Base Encuesta'!E200)</f>
        <v/>
      </c>
      <c r="D226" t="str">
        <f>IF('Base Encuesta'!F200="","",'Base Encuesta'!F200)</f>
        <v/>
      </c>
      <c r="E226" t="str">
        <f>IF('Base Encuesta'!G200="","",'Base Encuesta'!G200)</f>
        <v/>
      </c>
      <c r="F226" t="str">
        <f>IF('Base Encuesta'!H200="","",'Base Encuesta'!H200)</f>
        <v/>
      </c>
      <c r="G226" t="str">
        <f>IF('Base Encuesta'!I200="","",'Base Encuesta'!I200)</f>
        <v/>
      </c>
      <c r="H226" t="str">
        <f>IF('Base Encuesta'!J200="","",'Base Encuesta'!J200)</f>
        <v/>
      </c>
      <c r="I226" t="str">
        <f>IF('Base Encuesta'!K200="","",'Base Encuesta'!K200)</f>
        <v/>
      </c>
      <c r="J226" t="str">
        <f>IF(OR('Base Encuesta'!P200="",IFERROR(VALUE(LEFT('Base Encuesta'!K200,1)),"")&gt;=3),"",PROPER(TRIM('Base Encuesta'!P200)))</f>
        <v/>
      </c>
      <c r="K226" t="str">
        <f>IF(OR('Base Encuesta'!Q200="",IFERROR(VALUE(LEFT('Base Encuesta'!K200,1)),"")&gt;=3),"",'Base Encuesta'!Q200)</f>
        <v/>
      </c>
      <c r="L226" t="str">
        <f>IF(OR('Base Encuesta'!R200="",IFERROR(VALUE(LEFT('Base Encuesta'!K200,1)),"")&gt;=3),"",VALUE(LEFT('Base Encuesta'!R200,1)))</f>
        <v/>
      </c>
      <c r="M226" t="str">
        <f>IF(OR('Base Encuesta'!S200="",IFERROR(VALUE(LEFT('Base Encuesta'!K200,1)),"")&gt;=3),"",VALUE(LEFT('Base Encuesta'!S200,1)))</f>
        <v/>
      </c>
      <c r="N226" t="str">
        <f>IF(OR('Base Encuesta'!T200="",IFERROR(VALUE(LEFT('Base Encuesta'!K200,1)),"")&gt;=3),"",VALUE(LEFT('Base Encuesta'!T200,1)))</f>
        <v/>
      </c>
      <c r="O226" t="str">
        <f>IF(OR('Base Encuesta'!V200="",IFERROR(VALUE(LEFT('Base Encuesta'!K200,1)),"")&gt;=3),"",VALUE(LEFT('Base Encuesta'!V200,1)))</f>
        <v/>
      </c>
      <c r="P226" t="str">
        <f>IF(OR('Base Encuesta'!W200="",IFERROR(VALUE(LEFT('Base Encuesta'!K200,1)),"")&gt;=3),"",VALUE(LEFT('Base Encuesta'!W200,1)))</f>
        <v/>
      </c>
      <c r="Q226" t="str">
        <f>IF(OR('Base Encuesta'!X200="",IFERROR(VALUE(LEFT('Base Encuesta'!K200,1)),"")&gt;=3),"",VALUE(LEFT('Base Encuesta'!X200,1)))</f>
        <v/>
      </c>
      <c r="R226" t="str">
        <f>IF(OR('Base Encuesta'!Y200="",IFERROR(VALUE(LEFT('Base Encuesta'!K200,1)),"")&gt;=3),"",VALUE(LEFT('Base Encuesta'!Y200,1)))</f>
        <v/>
      </c>
      <c r="S226" t="str">
        <f>IF(OR('Base Encuesta'!Z200="",IFERROR(VALUE(LEFT('Base Encuesta'!K200,1)),"")&gt;=3),"",VALUE(LEFT('Base Encuesta'!Z200,1)))</f>
        <v/>
      </c>
      <c r="T226" t="str">
        <f>IF(OR('Base Encuesta'!AA200="",IFERROR(VALUE(LEFT('Base Encuesta'!K200,1)),"")&gt;=3),"",VALUE(LEFT('Base Encuesta'!AA200,1)))</f>
        <v/>
      </c>
      <c r="U226" t="str">
        <f>IF(OR('Base Encuesta'!AB200="",IFERROR(VALUE(LEFT('Base Encuesta'!K200,1)),"")&gt;=3),"",VALUE(LEFT('Base Encuesta'!AB200,1)))</f>
        <v/>
      </c>
      <c r="V226" t="str">
        <f>IF(OR('Base Encuesta'!AC200="",IFERROR(VALUE(LEFT('Base Encuesta'!K200,1)),"")&gt;=3),"",VALUE(LEFT('Base Encuesta'!AC200,1)))</f>
        <v/>
      </c>
      <c r="W226" t="str">
        <f>IF(OR('Base Encuesta'!AE200="",IFERROR(VALUE(LEFT('Base Encuesta'!K200,1)),"")&gt;=3),"",VALUE(LEFT('Base Encuesta'!AE200,1)))</f>
        <v/>
      </c>
      <c r="X226" t="str">
        <f>IF(OR('Base Encuesta'!AF200="",IFERROR(VALUE(LEFT('Base Encuesta'!K200,1)),"")&gt;=3),"",IF(W226=1,VALUE(LEFT('Base Encuesta'!AF200,1)),""))</f>
        <v/>
      </c>
      <c r="Y226" t="str">
        <f>IF(OR('Base Encuesta'!AG200="",IFERROR(VALUE(LEFT('Base Encuesta'!K200,1)),"")&gt;=3),"",IF(W226=1,VALUE(LEFT('Base Encuesta'!AG200,1)),""))</f>
        <v/>
      </c>
      <c r="Z226" t="str">
        <f>IF(OR('Base Encuesta'!AH200="",IFERROR(VALUE(LEFT('Base Encuesta'!K200,1)),"")&gt;=3),"",IF(W226=1,VALUE(LEFT('Base Encuesta'!AH200,1)),""))</f>
        <v/>
      </c>
      <c r="AA226" t="str">
        <f>IF(OR('Base Encuesta'!AI200="",IFERROR(VALUE(LEFT('Base Encuesta'!K200,1)),"")&gt;=3),"",IF(W226=1,VALUE(LEFT('Base Encuesta'!AI200,1)),""))</f>
        <v/>
      </c>
      <c r="AB226" t="str">
        <f>IF(OR('Base Encuesta'!AJ200="",IFERROR(VALUE(LEFT('Base Encuesta'!K200,1)),"")&gt;=3),"",IF(W226=1,VALUE(LEFT('Base Encuesta'!AJ200,1)),""))</f>
        <v/>
      </c>
      <c r="AC226" t="str">
        <f>IF(OR('Base Encuesta'!AL200="",IFERROR(VALUE(LEFT('Base Encuesta'!K200,1)),"")&gt;=3),"",VALUE(LEFT('Base Encuesta'!AL200,1)))</f>
        <v/>
      </c>
      <c r="AD226" t="str">
        <f>IF(OR('Base Encuesta'!AM200="",IFERROR(VALUE(LEFT('Base Encuesta'!K200,1)),"")&gt;=3),"",VALUE(LEFT('Base Encuesta'!AM200,1)))</f>
        <v/>
      </c>
      <c r="AE226" t="str">
        <f>IF(OR('Base Encuesta'!AN200="",IFERROR(VALUE(LEFT('Base Encuesta'!K200,1)),"")&gt;=3),"",VALUE(LEFT('Base Encuesta'!AN200,1)))</f>
        <v/>
      </c>
      <c r="AF226" t="str">
        <f>IF(OR('Base Encuesta'!AO200="",IFERROR(VALUE(LEFT('Base Encuesta'!K200,1)),"")&gt;=3),"",VALUE(LEFT('Base Encuesta'!AO200,1)))</f>
        <v/>
      </c>
      <c r="AG226" t="str">
        <f>IF(OR('Base Encuesta'!AQ200="",IFERROR(VALUE(LEFT('Base Encuesta'!K200,1)),"")&gt;=3),"",VALUE(LEFT('Base Encuesta'!AQ200,1)))</f>
        <v/>
      </c>
      <c r="AH226" t="str">
        <f>IF(OR('Base Encuesta'!AR200="",IFERROR(VALUE(LEFT('Base Encuesta'!K200,1)),"")&gt;=3),"",VALUE(LEFT('Base Encuesta'!AR200,1)))</f>
        <v/>
      </c>
    </row>
    <row r="227" spans="1:34">
      <c r="A227" t="str">
        <f>IF('Base Encuesta'!C201="","",'Base Encuesta'!C201)</f>
        <v/>
      </c>
      <c r="B227" t="str">
        <f>IF('Base Encuesta'!D201="","",'Base Encuesta'!D201)</f>
        <v/>
      </c>
      <c r="C227" t="str">
        <f>IF('Base Encuesta'!E201="","",'Base Encuesta'!E201)</f>
        <v/>
      </c>
      <c r="D227" t="str">
        <f>IF('Base Encuesta'!F201="","",'Base Encuesta'!F201)</f>
        <v/>
      </c>
      <c r="E227" t="str">
        <f>IF('Base Encuesta'!G201="","",'Base Encuesta'!G201)</f>
        <v/>
      </c>
      <c r="F227" t="str">
        <f>IF('Base Encuesta'!H201="","",'Base Encuesta'!H201)</f>
        <v/>
      </c>
      <c r="G227" t="str">
        <f>IF('Base Encuesta'!I201="","",'Base Encuesta'!I201)</f>
        <v/>
      </c>
      <c r="H227" t="str">
        <f>IF('Base Encuesta'!J201="","",'Base Encuesta'!J201)</f>
        <v/>
      </c>
      <c r="I227" t="str">
        <f>IF('Base Encuesta'!K201="","",'Base Encuesta'!K201)</f>
        <v/>
      </c>
      <c r="J227" t="str">
        <f>IF(OR('Base Encuesta'!P201="",IFERROR(VALUE(LEFT('Base Encuesta'!K201,1)),"")&gt;=3),"",PROPER(TRIM('Base Encuesta'!P201)))</f>
        <v/>
      </c>
      <c r="K227" t="str">
        <f>IF(OR('Base Encuesta'!Q201="",IFERROR(VALUE(LEFT('Base Encuesta'!K201,1)),"")&gt;=3),"",'Base Encuesta'!Q201)</f>
        <v/>
      </c>
      <c r="L227" t="str">
        <f>IF(OR('Base Encuesta'!R201="",IFERROR(VALUE(LEFT('Base Encuesta'!K201,1)),"")&gt;=3),"",VALUE(LEFT('Base Encuesta'!R201,1)))</f>
        <v/>
      </c>
      <c r="M227" t="str">
        <f>IF(OR('Base Encuesta'!S201="",IFERROR(VALUE(LEFT('Base Encuesta'!K201,1)),"")&gt;=3),"",VALUE(LEFT('Base Encuesta'!S201,1)))</f>
        <v/>
      </c>
      <c r="N227" t="str">
        <f>IF(OR('Base Encuesta'!T201="",IFERROR(VALUE(LEFT('Base Encuesta'!K201,1)),"")&gt;=3),"",VALUE(LEFT('Base Encuesta'!T201,1)))</f>
        <v/>
      </c>
      <c r="O227" t="str">
        <f>IF(OR('Base Encuesta'!V201="",IFERROR(VALUE(LEFT('Base Encuesta'!K201,1)),"")&gt;=3),"",VALUE(LEFT('Base Encuesta'!V201,1)))</f>
        <v/>
      </c>
      <c r="P227" t="str">
        <f>IF(OR('Base Encuesta'!W201="",IFERROR(VALUE(LEFT('Base Encuesta'!K201,1)),"")&gt;=3),"",VALUE(LEFT('Base Encuesta'!W201,1)))</f>
        <v/>
      </c>
      <c r="Q227" t="str">
        <f>IF(OR('Base Encuesta'!X201="",IFERROR(VALUE(LEFT('Base Encuesta'!K201,1)),"")&gt;=3),"",VALUE(LEFT('Base Encuesta'!X201,1)))</f>
        <v/>
      </c>
      <c r="R227" t="str">
        <f>IF(OR('Base Encuesta'!Y201="",IFERROR(VALUE(LEFT('Base Encuesta'!K201,1)),"")&gt;=3),"",VALUE(LEFT('Base Encuesta'!Y201,1)))</f>
        <v/>
      </c>
      <c r="S227" t="str">
        <f>IF(OR('Base Encuesta'!Z201="",IFERROR(VALUE(LEFT('Base Encuesta'!K201,1)),"")&gt;=3),"",VALUE(LEFT('Base Encuesta'!Z201,1)))</f>
        <v/>
      </c>
      <c r="T227" t="str">
        <f>IF(OR('Base Encuesta'!AA201="",IFERROR(VALUE(LEFT('Base Encuesta'!K201,1)),"")&gt;=3),"",VALUE(LEFT('Base Encuesta'!AA201,1)))</f>
        <v/>
      </c>
      <c r="U227" t="str">
        <f>IF(OR('Base Encuesta'!AB201="",IFERROR(VALUE(LEFT('Base Encuesta'!K201,1)),"")&gt;=3),"",VALUE(LEFT('Base Encuesta'!AB201,1)))</f>
        <v/>
      </c>
      <c r="V227" t="str">
        <f>IF(OR('Base Encuesta'!AC201="",IFERROR(VALUE(LEFT('Base Encuesta'!K201,1)),"")&gt;=3),"",VALUE(LEFT('Base Encuesta'!AC201,1)))</f>
        <v/>
      </c>
      <c r="W227" t="str">
        <f>IF(OR('Base Encuesta'!AE201="",IFERROR(VALUE(LEFT('Base Encuesta'!K201,1)),"")&gt;=3),"",VALUE(LEFT('Base Encuesta'!AE201,1)))</f>
        <v/>
      </c>
      <c r="X227" t="str">
        <f>IF(OR('Base Encuesta'!AF201="",IFERROR(VALUE(LEFT('Base Encuesta'!K201,1)),"")&gt;=3),"",IF(W227=1,VALUE(LEFT('Base Encuesta'!AF201,1)),""))</f>
        <v/>
      </c>
      <c r="Y227" t="str">
        <f>IF(OR('Base Encuesta'!AG201="",IFERROR(VALUE(LEFT('Base Encuesta'!K201,1)),"")&gt;=3),"",IF(W227=1,VALUE(LEFT('Base Encuesta'!AG201,1)),""))</f>
        <v/>
      </c>
      <c r="Z227" t="str">
        <f>IF(OR('Base Encuesta'!AH201="",IFERROR(VALUE(LEFT('Base Encuesta'!K201,1)),"")&gt;=3),"",IF(W227=1,VALUE(LEFT('Base Encuesta'!AH201,1)),""))</f>
        <v/>
      </c>
      <c r="AA227" t="str">
        <f>IF(OR('Base Encuesta'!AI201="",IFERROR(VALUE(LEFT('Base Encuesta'!K201,1)),"")&gt;=3),"",IF(W227=1,VALUE(LEFT('Base Encuesta'!AI201,1)),""))</f>
        <v/>
      </c>
      <c r="AB227" t="str">
        <f>IF(OR('Base Encuesta'!AJ201="",IFERROR(VALUE(LEFT('Base Encuesta'!K201,1)),"")&gt;=3),"",IF(W227=1,VALUE(LEFT('Base Encuesta'!AJ201,1)),""))</f>
        <v/>
      </c>
      <c r="AC227" t="str">
        <f>IF(OR('Base Encuesta'!AL201="",IFERROR(VALUE(LEFT('Base Encuesta'!K201,1)),"")&gt;=3),"",VALUE(LEFT('Base Encuesta'!AL201,1)))</f>
        <v/>
      </c>
      <c r="AD227" t="str">
        <f>IF(OR('Base Encuesta'!AM201="",IFERROR(VALUE(LEFT('Base Encuesta'!K201,1)),"")&gt;=3),"",VALUE(LEFT('Base Encuesta'!AM201,1)))</f>
        <v/>
      </c>
      <c r="AE227" t="str">
        <f>IF(OR('Base Encuesta'!AN201="",IFERROR(VALUE(LEFT('Base Encuesta'!K201,1)),"")&gt;=3),"",VALUE(LEFT('Base Encuesta'!AN201,1)))</f>
        <v/>
      </c>
      <c r="AF227" t="str">
        <f>IF(OR('Base Encuesta'!AO201="",IFERROR(VALUE(LEFT('Base Encuesta'!K201,1)),"")&gt;=3),"",VALUE(LEFT('Base Encuesta'!AO201,1)))</f>
        <v/>
      </c>
      <c r="AG227" t="str">
        <f>IF(OR('Base Encuesta'!AQ201="",IFERROR(VALUE(LEFT('Base Encuesta'!K201,1)),"")&gt;=3),"",VALUE(LEFT('Base Encuesta'!AQ201,1)))</f>
        <v/>
      </c>
      <c r="AH227" t="str">
        <f>IF(OR('Base Encuesta'!AR201="",IFERROR(VALUE(LEFT('Base Encuesta'!K201,1)),"")&gt;=3),"",VALUE(LEFT('Base Encuesta'!AR201,1)))</f>
        <v/>
      </c>
    </row>
    <row r="228" spans="1:34">
      <c r="A228" t="str">
        <f>IF('Base Encuesta'!C202="","",'Base Encuesta'!C202)</f>
        <v/>
      </c>
      <c r="B228" t="str">
        <f>IF('Base Encuesta'!D202="","",'Base Encuesta'!D202)</f>
        <v/>
      </c>
      <c r="C228" t="str">
        <f>IF('Base Encuesta'!E202="","",'Base Encuesta'!E202)</f>
        <v/>
      </c>
      <c r="D228" t="str">
        <f>IF('Base Encuesta'!F202="","",'Base Encuesta'!F202)</f>
        <v/>
      </c>
      <c r="E228" t="str">
        <f>IF('Base Encuesta'!G202="","",'Base Encuesta'!G202)</f>
        <v/>
      </c>
      <c r="F228" t="str">
        <f>IF('Base Encuesta'!H202="","",'Base Encuesta'!H202)</f>
        <v/>
      </c>
      <c r="G228" t="str">
        <f>IF('Base Encuesta'!I202="","",'Base Encuesta'!I202)</f>
        <v/>
      </c>
      <c r="H228" t="str">
        <f>IF('Base Encuesta'!J202="","",'Base Encuesta'!J202)</f>
        <v/>
      </c>
      <c r="I228" t="str">
        <f>IF('Base Encuesta'!K202="","",'Base Encuesta'!K202)</f>
        <v/>
      </c>
      <c r="J228" t="str">
        <f>IF(OR('Base Encuesta'!P202="",IFERROR(VALUE(LEFT('Base Encuesta'!K202,1)),"")&gt;=3),"",PROPER(TRIM('Base Encuesta'!P202)))</f>
        <v/>
      </c>
      <c r="K228" t="str">
        <f>IF(OR('Base Encuesta'!Q202="",IFERROR(VALUE(LEFT('Base Encuesta'!K202,1)),"")&gt;=3),"",'Base Encuesta'!Q202)</f>
        <v/>
      </c>
      <c r="L228" t="str">
        <f>IF(OR('Base Encuesta'!R202="",IFERROR(VALUE(LEFT('Base Encuesta'!K202,1)),"")&gt;=3),"",VALUE(LEFT('Base Encuesta'!R202,1)))</f>
        <v/>
      </c>
      <c r="M228" t="str">
        <f>IF(OR('Base Encuesta'!S202="",IFERROR(VALUE(LEFT('Base Encuesta'!K202,1)),"")&gt;=3),"",VALUE(LEFT('Base Encuesta'!S202,1)))</f>
        <v/>
      </c>
      <c r="N228" t="str">
        <f>IF(OR('Base Encuesta'!T202="",IFERROR(VALUE(LEFT('Base Encuesta'!K202,1)),"")&gt;=3),"",VALUE(LEFT('Base Encuesta'!T202,1)))</f>
        <v/>
      </c>
      <c r="O228" t="str">
        <f>IF(OR('Base Encuesta'!V202="",IFERROR(VALUE(LEFT('Base Encuesta'!K202,1)),"")&gt;=3),"",VALUE(LEFT('Base Encuesta'!V202,1)))</f>
        <v/>
      </c>
      <c r="P228" t="str">
        <f>IF(OR('Base Encuesta'!W202="",IFERROR(VALUE(LEFT('Base Encuesta'!K202,1)),"")&gt;=3),"",VALUE(LEFT('Base Encuesta'!W202,1)))</f>
        <v/>
      </c>
      <c r="Q228" t="str">
        <f>IF(OR('Base Encuesta'!X202="",IFERROR(VALUE(LEFT('Base Encuesta'!K202,1)),"")&gt;=3),"",VALUE(LEFT('Base Encuesta'!X202,1)))</f>
        <v/>
      </c>
      <c r="R228" t="str">
        <f>IF(OR('Base Encuesta'!Y202="",IFERROR(VALUE(LEFT('Base Encuesta'!K202,1)),"")&gt;=3),"",VALUE(LEFT('Base Encuesta'!Y202,1)))</f>
        <v/>
      </c>
      <c r="S228" t="str">
        <f>IF(OR('Base Encuesta'!Z202="",IFERROR(VALUE(LEFT('Base Encuesta'!K202,1)),"")&gt;=3),"",VALUE(LEFT('Base Encuesta'!Z202,1)))</f>
        <v/>
      </c>
      <c r="T228" t="str">
        <f>IF(OR('Base Encuesta'!AA202="",IFERROR(VALUE(LEFT('Base Encuesta'!K202,1)),"")&gt;=3),"",VALUE(LEFT('Base Encuesta'!AA202,1)))</f>
        <v/>
      </c>
      <c r="U228" t="str">
        <f>IF(OR('Base Encuesta'!AB202="",IFERROR(VALUE(LEFT('Base Encuesta'!K202,1)),"")&gt;=3),"",VALUE(LEFT('Base Encuesta'!AB202,1)))</f>
        <v/>
      </c>
      <c r="V228" t="str">
        <f>IF(OR('Base Encuesta'!AC202="",IFERROR(VALUE(LEFT('Base Encuesta'!K202,1)),"")&gt;=3),"",VALUE(LEFT('Base Encuesta'!AC202,1)))</f>
        <v/>
      </c>
      <c r="W228" t="str">
        <f>IF(OR('Base Encuesta'!AE202="",IFERROR(VALUE(LEFT('Base Encuesta'!K202,1)),"")&gt;=3),"",VALUE(LEFT('Base Encuesta'!AE202,1)))</f>
        <v/>
      </c>
      <c r="X228" t="str">
        <f>IF(OR('Base Encuesta'!AF202="",IFERROR(VALUE(LEFT('Base Encuesta'!K202,1)),"")&gt;=3),"",IF(W228=1,VALUE(LEFT('Base Encuesta'!AF202,1)),""))</f>
        <v/>
      </c>
      <c r="Y228" t="str">
        <f>IF(OR('Base Encuesta'!AG202="",IFERROR(VALUE(LEFT('Base Encuesta'!K202,1)),"")&gt;=3),"",IF(W228=1,VALUE(LEFT('Base Encuesta'!AG202,1)),""))</f>
        <v/>
      </c>
      <c r="Z228" t="str">
        <f>IF(OR('Base Encuesta'!AH202="",IFERROR(VALUE(LEFT('Base Encuesta'!K202,1)),"")&gt;=3),"",IF(W228=1,VALUE(LEFT('Base Encuesta'!AH202,1)),""))</f>
        <v/>
      </c>
      <c r="AA228" t="str">
        <f>IF(OR('Base Encuesta'!AI202="",IFERROR(VALUE(LEFT('Base Encuesta'!K202,1)),"")&gt;=3),"",IF(W228=1,VALUE(LEFT('Base Encuesta'!AI202,1)),""))</f>
        <v/>
      </c>
      <c r="AB228" t="str">
        <f>IF(OR('Base Encuesta'!AJ202="",IFERROR(VALUE(LEFT('Base Encuesta'!K202,1)),"")&gt;=3),"",IF(W228=1,VALUE(LEFT('Base Encuesta'!AJ202,1)),""))</f>
        <v/>
      </c>
      <c r="AC228" t="str">
        <f>IF(OR('Base Encuesta'!AL202="",IFERROR(VALUE(LEFT('Base Encuesta'!K202,1)),"")&gt;=3),"",VALUE(LEFT('Base Encuesta'!AL202,1)))</f>
        <v/>
      </c>
      <c r="AD228" t="str">
        <f>IF(OR('Base Encuesta'!AM202="",IFERROR(VALUE(LEFT('Base Encuesta'!K202,1)),"")&gt;=3),"",VALUE(LEFT('Base Encuesta'!AM202,1)))</f>
        <v/>
      </c>
      <c r="AE228" t="str">
        <f>IF(OR('Base Encuesta'!AN202="",IFERROR(VALUE(LEFT('Base Encuesta'!K202,1)),"")&gt;=3),"",VALUE(LEFT('Base Encuesta'!AN202,1)))</f>
        <v/>
      </c>
      <c r="AF228" t="str">
        <f>IF(OR('Base Encuesta'!AO202="",IFERROR(VALUE(LEFT('Base Encuesta'!K202,1)),"")&gt;=3),"",VALUE(LEFT('Base Encuesta'!AO202,1)))</f>
        <v/>
      </c>
      <c r="AG228" t="str">
        <f>IF(OR('Base Encuesta'!AQ202="",IFERROR(VALUE(LEFT('Base Encuesta'!K202,1)),"")&gt;=3),"",VALUE(LEFT('Base Encuesta'!AQ202,1)))</f>
        <v/>
      </c>
      <c r="AH228" t="str">
        <f>IF(OR('Base Encuesta'!AR202="",IFERROR(VALUE(LEFT('Base Encuesta'!K202,1)),"")&gt;=3),"",VALUE(LEFT('Base Encuesta'!AR202,1)))</f>
        <v/>
      </c>
    </row>
    <row r="229" spans="1:34">
      <c r="A229" t="str">
        <f>IF('Base Encuesta'!C203="","",'Base Encuesta'!C203)</f>
        <v/>
      </c>
      <c r="B229" t="str">
        <f>IF('Base Encuesta'!D203="","",'Base Encuesta'!D203)</f>
        <v/>
      </c>
      <c r="C229" t="str">
        <f>IF('Base Encuesta'!E203="","",'Base Encuesta'!E203)</f>
        <v/>
      </c>
      <c r="D229" t="str">
        <f>IF('Base Encuesta'!F203="","",'Base Encuesta'!F203)</f>
        <v/>
      </c>
      <c r="E229" t="str">
        <f>IF('Base Encuesta'!G203="","",'Base Encuesta'!G203)</f>
        <v/>
      </c>
      <c r="F229" t="str">
        <f>IF('Base Encuesta'!H203="","",'Base Encuesta'!H203)</f>
        <v/>
      </c>
      <c r="G229" t="str">
        <f>IF('Base Encuesta'!I203="","",'Base Encuesta'!I203)</f>
        <v/>
      </c>
      <c r="H229" t="str">
        <f>IF('Base Encuesta'!J203="","",'Base Encuesta'!J203)</f>
        <v/>
      </c>
      <c r="I229" t="str">
        <f>IF('Base Encuesta'!K203="","",'Base Encuesta'!K203)</f>
        <v/>
      </c>
      <c r="J229" t="str">
        <f>IF(OR('Base Encuesta'!P203="",IFERROR(VALUE(LEFT('Base Encuesta'!K203,1)),"")&gt;=3),"",PROPER(TRIM('Base Encuesta'!P203)))</f>
        <v/>
      </c>
      <c r="K229" t="str">
        <f>IF(OR('Base Encuesta'!Q203="",IFERROR(VALUE(LEFT('Base Encuesta'!K203,1)),"")&gt;=3),"",'Base Encuesta'!Q203)</f>
        <v/>
      </c>
      <c r="L229" t="str">
        <f>IF(OR('Base Encuesta'!R203="",IFERROR(VALUE(LEFT('Base Encuesta'!K203,1)),"")&gt;=3),"",VALUE(LEFT('Base Encuesta'!R203,1)))</f>
        <v/>
      </c>
      <c r="M229" t="str">
        <f>IF(OR('Base Encuesta'!S203="",IFERROR(VALUE(LEFT('Base Encuesta'!K203,1)),"")&gt;=3),"",VALUE(LEFT('Base Encuesta'!S203,1)))</f>
        <v/>
      </c>
      <c r="N229" t="str">
        <f>IF(OR('Base Encuesta'!T203="",IFERROR(VALUE(LEFT('Base Encuesta'!K203,1)),"")&gt;=3),"",VALUE(LEFT('Base Encuesta'!T203,1)))</f>
        <v/>
      </c>
      <c r="O229" t="str">
        <f>IF(OR('Base Encuesta'!V203="",IFERROR(VALUE(LEFT('Base Encuesta'!K203,1)),"")&gt;=3),"",VALUE(LEFT('Base Encuesta'!V203,1)))</f>
        <v/>
      </c>
      <c r="P229" t="str">
        <f>IF(OR('Base Encuesta'!W203="",IFERROR(VALUE(LEFT('Base Encuesta'!K203,1)),"")&gt;=3),"",VALUE(LEFT('Base Encuesta'!W203,1)))</f>
        <v/>
      </c>
      <c r="Q229" t="str">
        <f>IF(OR('Base Encuesta'!X203="",IFERROR(VALUE(LEFT('Base Encuesta'!K203,1)),"")&gt;=3),"",VALUE(LEFT('Base Encuesta'!X203,1)))</f>
        <v/>
      </c>
      <c r="R229" t="str">
        <f>IF(OR('Base Encuesta'!Y203="",IFERROR(VALUE(LEFT('Base Encuesta'!K203,1)),"")&gt;=3),"",VALUE(LEFT('Base Encuesta'!Y203,1)))</f>
        <v/>
      </c>
      <c r="S229" t="str">
        <f>IF(OR('Base Encuesta'!Z203="",IFERROR(VALUE(LEFT('Base Encuesta'!K203,1)),"")&gt;=3),"",VALUE(LEFT('Base Encuesta'!Z203,1)))</f>
        <v/>
      </c>
      <c r="T229" t="str">
        <f>IF(OR('Base Encuesta'!AA203="",IFERROR(VALUE(LEFT('Base Encuesta'!K203,1)),"")&gt;=3),"",VALUE(LEFT('Base Encuesta'!AA203,1)))</f>
        <v/>
      </c>
      <c r="U229" t="str">
        <f>IF(OR('Base Encuesta'!AB203="",IFERROR(VALUE(LEFT('Base Encuesta'!K203,1)),"")&gt;=3),"",VALUE(LEFT('Base Encuesta'!AB203,1)))</f>
        <v/>
      </c>
      <c r="V229" t="str">
        <f>IF(OR('Base Encuesta'!AC203="",IFERROR(VALUE(LEFT('Base Encuesta'!K203,1)),"")&gt;=3),"",VALUE(LEFT('Base Encuesta'!AC203,1)))</f>
        <v/>
      </c>
      <c r="W229" t="str">
        <f>IF(OR('Base Encuesta'!AE203="",IFERROR(VALUE(LEFT('Base Encuesta'!K203,1)),"")&gt;=3),"",VALUE(LEFT('Base Encuesta'!AE203,1)))</f>
        <v/>
      </c>
      <c r="X229" t="str">
        <f>IF(OR('Base Encuesta'!AF203="",IFERROR(VALUE(LEFT('Base Encuesta'!K203,1)),"")&gt;=3),"",IF(W229=1,VALUE(LEFT('Base Encuesta'!AF203,1)),""))</f>
        <v/>
      </c>
      <c r="Y229" t="str">
        <f>IF(OR('Base Encuesta'!AG203="",IFERROR(VALUE(LEFT('Base Encuesta'!K203,1)),"")&gt;=3),"",IF(W229=1,VALUE(LEFT('Base Encuesta'!AG203,1)),""))</f>
        <v/>
      </c>
      <c r="Z229" t="str">
        <f>IF(OR('Base Encuesta'!AH203="",IFERROR(VALUE(LEFT('Base Encuesta'!K203,1)),"")&gt;=3),"",IF(W229=1,VALUE(LEFT('Base Encuesta'!AH203,1)),""))</f>
        <v/>
      </c>
      <c r="AA229" t="str">
        <f>IF(OR('Base Encuesta'!AI203="",IFERROR(VALUE(LEFT('Base Encuesta'!K203,1)),"")&gt;=3),"",IF(W229=1,VALUE(LEFT('Base Encuesta'!AI203,1)),""))</f>
        <v/>
      </c>
      <c r="AB229" t="str">
        <f>IF(OR('Base Encuesta'!AJ203="",IFERROR(VALUE(LEFT('Base Encuesta'!K203,1)),"")&gt;=3),"",IF(W229=1,VALUE(LEFT('Base Encuesta'!AJ203,1)),""))</f>
        <v/>
      </c>
      <c r="AC229" t="str">
        <f>IF(OR('Base Encuesta'!AL203="",IFERROR(VALUE(LEFT('Base Encuesta'!K203,1)),"")&gt;=3),"",VALUE(LEFT('Base Encuesta'!AL203,1)))</f>
        <v/>
      </c>
      <c r="AD229" t="str">
        <f>IF(OR('Base Encuesta'!AM203="",IFERROR(VALUE(LEFT('Base Encuesta'!K203,1)),"")&gt;=3),"",VALUE(LEFT('Base Encuesta'!AM203,1)))</f>
        <v/>
      </c>
      <c r="AE229" t="str">
        <f>IF(OR('Base Encuesta'!AN203="",IFERROR(VALUE(LEFT('Base Encuesta'!K203,1)),"")&gt;=3),"",VALUE(LEFT('Base Encuesta'!AN203,1)))</f>
        <v/>
      </c>
      <c r="AF229" t="str">
        <f>IF(OR('Base Encuesta'!AO203="",IFERROR(VALUE(LEFT('Base Encuesta'!K203,1)),"")&gt;=3),"",VALUE(LEFT('Base Encuesta'!AO203,1)))</f>
        <v/>
      </c>
      <c r="AG229" t="str">
        <f>IF(OR('Base Encuesta'!AQ203="",IFERROR(VALUE(LEFT('Base Encuesta'!K203,1)),"")&gt;=3),"",VALUE(LEFT('Base Encuesta'!AQ203,1)))</f>
        <v/>
      </c>
      <c r="AH229" t="str">
        <f>IF(OR('Base Encuesta'!AR203="",IFERROR(VALUE(LEFT('Base Encuesta'!K203,1)),"")&gt;=3),"",VALUE(LEFT('Base Encuesta'!AR203,1)))</f>
        <v/>
      </c>
    </row>
    <row r="230" spans="1:34">
      <c r="A230" t="str">
        <f>IF('Base Encuesta'!C204="","",'Base Encuesta'!C204)</f>
        <v/>
      </c>
      <c r="B230" t="str">
        <f>IF('Base Encuesta'!D204="","",'Base Encuesta'!D204)</f>
        <v/>
      </c>
      <c r="C230" t="str">
        <f>IF('Base Encuesta'!E204="","",'Base Encuesta'!E204)</f>
        <v/>
      </c>
      <c r="D230" t="str">
        <f>IF('Base Encuesta'!F204="","",'Base Encuesta'!F204)</f>
        <v/>
      </c>
      <c r="E230" t="str">
        <f>IF('Base Encuesta'!G204="","",'Base Encuesta'!G204)</f>
        <v/>
      </c>
      <c r="F230" t="str">
        <f>IF('Base Encuesta'!H204="","",'Base Encuesta'!H204)</f>
        <v/>
      </c>
      <c r="G230" t="str">
        <f>IF('Base Encuesta'!I204="","",'Base Encuesta'!I204)</f>
        <v/>
      </c>
      <c r="H230" t="str">
        <f>IF('Base Encuesta'!J204="","",'Base Encuesta'!J204)</f>
        <v/>
      </c>
      <c r="I230" t="str">
        <f>IF('Base Encuesta'!K204="","",'Base Encuesta'!K204)</f>
        <v/>
      </c>
      <c r="J230" t="str">
        <f>IF(OR('Base Encuesta'!P204="",IFERROR(VALUE(LEFT('Base Encuesta'!K204,1)),"")&gt;=3),"",PROPER(TRIM('Base Encuesta'!P204)))</f>
        <v/>
      </c>
      <c r="K230" t="str">
        <f>IF(OR('Base Encuesta'!Q204="",IFERROR(VALUE(LEFT('Base Encuesta'!K204,1)),"")&gt;=3),"",'Base Encuesta'!Q204)</f>
        <v/>
      </c>
      <c r="L230" t="str">
        <f>IF(OR('Base Encuesta'!R204="",IFERROR(VALUE(LEFT('Base Encuesta'!K204,1)),"")&gt;=3),"",VALUE(LEFT('Base Encuesta'!R204,1)))</f>
        <v/>
      </c>
      <c r="M230" t="str">
        <f>IF(OR('Base Encuesta'!S204="",IFERROR(VALUE(LEFT('Base Encuesta'!K204,1)),"")&gt;=3),"",VALUE(LEFT('Base Encuesta'!S204,1)))</f>
        <v/>
      </c>
      <c r="N230" t="str">
        <f>IF(OR('Base Encuesta'!T204="",IFERROR(VALUE(LEFT('Base Encuesta'!K204,1)),"")&gt;=3),"",VALUE(LEFT('Base Encuesta'!T204,1)))</f>
        <v/>
      </c>
      <c r="O230" t="str">
        <f>IF(OR('Base Encuesta'!V204="",IFERROR(VALUE(LEFT('Base Encuesta'!K204,1)),"")&gt;=3),"",VALUE(LEFT('Base Encuesta'!V204,1)))</f>
        <v/>
      </c>
      <c r="P230" t="str">
        <f>IF(OR('Base Encuesta'!W204="",IFERROR(VALUE(LEFT('Base Encuesta'!K204,1)),"")&gt;=3),"",VALUE(LEFT('Base Encuesta'!W204,1)))</f>
        <v/>
      </c>
      <c r="Q230" t="str">
        <f>IF(OR('Base Encuesta'!X204="",IFERROR(VALUE(LEFT('Base Encuesta'!K204,1)),"")&gt;=3),"",VALUE(LEFT('Base Encuesta'!X204,1)))</f>
        <v/>
      </c>
      <c r="R230" t="str">
        <f>IF(OR('Base Encuesta'!Y204="",IFERROR(VALUE(LEFT('Base Encuesta'!K204,1)),"")&gt;=3),"",VALUE(LEFT('Base Encuesta'!Y204,1)))</f>
        <v/>
      </c>
      <c r="S230" t="str">
        <f>IF(OR('Base Encuesta'!Z204="",IFERROR(VALUE(LEFT('Base Encuesta'!K204,1)),"")&gt;=3),"",VALUE(LEFT('Base Encuesta'!Z204,1)))</f>
        <v/>
      </c>
      <c r="T230" t="str">
        <f>IF(OR('Base Encuesta'!AA204="",IFERROR(VALUE(LEFT('Base Encuesta'!K204,1)),"")&gt;=3),"",VALUE(LEFT('Base Encuesta'!AA204,1)))</f>
        <v/>
      </c>
      <c r="U230" t="str">
        <f>IF(OR('Base Encuesta'!AB204="",IFERROR(VALUE(LEFT('Base Encuesta'!K204,1)),"")&gt;=3),"",VALUE(LEFT('Base Encuesta'!AB204,1)))</f>
        <v/>
      </c>
      <c r="V230" t="str">
        <f>IF(OR('Base Encuesta'!AC204="",IFERROR(VALUE(LEFT('Base Encuesta'!K204,1)),"")&gt;=3),"",VALUE(LEFT('Base Encuesta'!AC204,1)))</f>
        <v/>
      </c>
      <c r="W230" t="str">
        <f>IF(OR('Base Encuesta'!AE204="",IFERROR(VALUE(LEFT('Base Encuesta'!K204,1)),"")&gt;=3),"",VALUE(LEFT('Base Encuesta'!AE204,1)))</f>
        <v/>
      </c>
      <c r="X230" t="str">
        <f>IF(OR('Base Encuesta'!AF204="",IFERROR(VALUE(LEFT('Base Encuesta'!K204,1)),"")&gt;=3),"",IF(W230=1,VALUE(LEFT('Base Encuesta'!AF204,1)),""))</f>
        <v/>
      </c>
      <c r="Y230" t="str">
        <f>IF(OR('Base Encuesta'!AG204="",IFERROR(VALUE(LEFT('Base Encuesta'!K204,1)),"")&gt;=3),"",IF(W230=1,VALUE(LEFT('Base Encuesta'!AG204,1)),""))</f>
        <v/>
      </c>
      <c r="Z230" t="str">
        <f>IF(OR('Base Encuesta'!AH204="",IFERROR(VALUE(LEFT('Base Encuesta'!K204,1)),"")&gt;=3),"",IF(W230=1,VALUE(LEFT('Base Encuesta'!AH204,1)),""))</f>
        <v/>
      </c>
      <c r="AA230" t="str">
        <f>IF(OR('Base Encuesta'!AI204="",IFERROR(VALUE(LEFT('Base Encuesta'!K204,1)),"")&gt;=3),"",IF(W230=1,VALUE(LEFT('Base Encuesta'!AI204,1)),""))</f>
        <v/>
      </c>
      <c r="AB230" t="str">
        <f>IF(OR('Base Encuesta'!AJ204="",IFERROR(VALUE(LEFT('Base Encuesta'!K204,1)),"")&gt;=3),"",IF(W230=1,VALUE(LEFT('Base Encuesta'!AJ204,1)),""))</f>
        <v/>
      </c>
      <c r="AC230" t="str">
        <f>IF(OR('Base Encuesta'!AL204="",IFERROR(VALUE(LEFT('Base Encuesta'!K204,1)),"")&gt;=3),"",VALUE(LEFT('Base Encuesta'!AL204,1)))</f>
        <v/>
      </c>
      <c r="AD230" t="str">
        <f>IF(OR('Base Encuesta'!AM204="",IFERROR(VALUE(LEFT('Base Encuesta'!K204,1)),"")&gt;=3),"",VALUE(LEFT('Base Encuesta'!AM204,1)))</f>
        <v/>
      </c>
      <c r="AE230" t="str">
        <f>IF(OR('Base Encuesta'!AN204="",IFERROR(VALUE(LEFT('Base Encuesta'!K204,1)),"")&gt;=3),"",VALUE(LEFT('Base Encuesta'!AN204,1)))</f>
        <v/>
      </c>
      <c r="AF230" t="str">
        <f>IF(OR('Base Encuesta'!AO204="",IFERROR(VALUE(LEFT('Base Encuesta'!K204,1)),"")&gt;=3),"",VALUE(LEFT('Base Encuesta'!AO204,1)))</f>
        <v/>
      </c>
      <c r="AG230" t="str">
        <f>IF(OR('Base Encuesta'!AQ204="",IFERROR(VALUE(LEFT('Base Encuesta'!K204,1)),"")&gt;=3),"",VALUE(LEFT('Base Encuesta'!AQ204,1)))</f>
        <v/>
      </c>
      <c r="AH230" t="str">
        <f>IF(OR('Base Encuesta'!AR204="",IFERROR(VALUE(LEFT('Base Encuesta'!K204,1)),"")&gt;=3),"",VALUE(LEFT('Base Encuesta'!AR204,1)))</f>
        <v/>
      </c>
    </row>
    <row r="231" spans="1:34">
      <c r="A231" t="str">
        <f>IF('Base Encuesta'!C205="","",'Base Encuesta'!C205)</f>
        <v/>
      </c>
      <c r="B231" t="str">
        <f>IF('Base Encuesta'!D205="","",'Base Encuesta'!D205)</f>
        <v/>
      </c>
      <c r="C231" t="str">
        <f>IF('Base Encuesta'!E205="","",'Base Encuesta'!E205)</f>
        <v/>
      </c>
      <c r="D231" t="str">
        <f>IF('Base Encuesta'!F205="","",'Base Encuesta'!F205)</f>
        <v/>
      </c>
      <c r="E231" t="str">
        <f>IF('Base Encuesta'!G205="","",'Base Encuesta'!G205)</f>
        <v/>
      </c>
      <c r="F231" t="str">
        <f>IF('Base Encuesta'!H205="","",'Base Encuesta'!H205)</f>
        <v/>
      </c>
      <c r="G231" t="str">
        <f>IF('Base Encuesta'!I205="","",'Base Encuesta'!I205)</f>
        <v/>
      </c>
      <c r="H231" t="str">
        <f>IF('Base Encuesta'!J205="","",'Base Encuesta'!J205)</f>
        <v/>
      </c>
      <c r="I231" t="str">
        <f>IF('Base Encuesta'!K205="","",'Base Encuesta'!K205)</f>
        <v/>
      </c>
      <c r="J231" t="str">
        <f>IF(OR('Base Encuesta'!P205="",IFERROR(VALUE(LEFT('Base Encuesta'!K205,1)),"")&gt;=3),"",PROPER(TRIM('Base Encuesta'!P205)))</f>
        <v/>
      </c>
      <c r="K231" t="str">
        <f>IF(OR('Base Encuesta'!Q205="",IFERROR(VALUE(LEFT('Base Encuesta'!K205,1)),"")&gt;=3),"",'Base Encuesta'!Q205)</f>
        <v/>
      </c>
      <c r="L231" t="str">
        <f>IF(OR('Base Encuesta'!R205="",IFERROR(VALUE(LEFT('Base Encuesta'!K205,1)),"")&gt;=3),"",VALUE(LEFT('Base Encuesta'!R205,1)))</f>
        <v/>
      </c>
      <c r="M231" t="str">
        <f>IF(OR('Base Encuesta'!S205="",IFERROR(VALUE(LEFT('Base Encuesta'!K205,1)),"")&gt;=3),"",VALUE(LEFT('Base Encuesta'!S205,1)))</f>
        <v/>
      </c>
      <c r="N231" t="str">
        <f>IF(OR('Base Encuesta'!T205="",IFERROR(VALUE(LEFT('Base Encuesta'!K205,1)),"")&gt;=3),"",VALUE(LEFT('Base Encuesta'!T205,1)))</f>
        <v/>
      </c>
      <c r="O231" t="str">
        <f>IF(OR('Base Encuesta'!V205="",IFERROR(VALUE(LEFT('Base Encuesta'!K205,1)),"")&gt;=3),"",VALUE(LEFT('Base Encuesta'!V205,1)))</f>
        <v/>
      </c>
      <c r="P231" t="str">
        <f>IF(OR('Base Encuesta'!W205="",IFERROR(VALUE(LEFT('Base Encuesta'!K205,1)),"")&gt;=3),"",VALUE(LEFT('Base Encuesta'!W205,1)))</f>
        <v/>
      </c>
      <c r="Q231" t="str">
        <f>IF(OR('Base Encuesta'!X205="",IFERROR(VALUE(LEFT('Base Encuesta'!K205,1)),"")&gt;=3),"",VALUE(LEFT('Base Encuesta'!X205,1)))</f>
        <v/>
      </c>
      <c r="R231" t="str">
        <f>IF(OR('Base Encuesta'!Y205="",IFERROR(VALUE(LEFT('Base Encuesta'!K205,1)),"")&gt;=3),"",VALUE(LEFT('Base Encuesta'!Y205,1)))</f>
        <v/>
      </c>
      <c r="S231" t="str">
        <f>IF(OR('Base Encuesta'!Z205="",IFERROR(VALUE(LEFT('Base Encuesta'!K205,1)),"")&gt;=3),"",VALUE(LEFT('Base Encuesta'!Z205,1)))</f>
        <v/>
      </c>
      <c r="T231" t="str">
        <f>IF(OR('Base Encuesta'!AA205="",IFERROR(VALUE(LEFT('Base Encuesta'!K205,1)),"")&gt;=3),"",VALUE(LEFT('Base Encuesta'!AA205,1)))</f>
        <v/>
      </c>
      <c r="U231" t="str">
        <f>IF(OR('Base Encuesta'!AB205="",IFERROR(VALUE(LEFT('Base Encuesta'!K205,1)),"")&gt;=3),"",VALUE(LEFT('Base Encuesta'!AB205,1)))</f>
        <v/>
      </c>
      <c r="V231" t="str">
        <f>IF(OR('Base Encuesta'!AC205="",IFERROR(VALUE(LEFT('Base Encuesta'!K205,1)),"")&gt;=3),"",VALUE(LEFT('Base Encuesta'!AC205,1)))</f>
        <v/>
      </c>
      <c r="W231" t="str">
        <f>IF(OR('Base Encuesta'!AE205="",IFERROR(VALUE(LEFT('Base Encuesta'!K205,1)),"")&gt;=3),"",VALUE(LEFT('Base Encuesta'!AE205,1)))</f>
        <v/>
      </c>
      <c r="X231" t="str">
        <f>IF(OR('Base Encuesta'!AF205="",IFERROR(VALUE(LEFT('Base Encuesta'!K205,1)),"")&gt;=3),"",IF(W231=1,VALUE(LEFT('Base Encuesta'!AF205,1)),""))</f>
        <v/>
      </c>
      <c r="Y231" t="str">
        <f>IF(OR('Base Encuesta'!AG205="",IFERROR(VALUE(LEFT('Base Encuesta'!K205,1)),"")&gt;=3),"",IF(W231=1,VALUE(LEFT('Base Encuesta'!AG205,1)),""))</f>
        <v/>
      </c>
      <c r="Z231" t="str">
        <f>IF(OR('Base Encuesta'!AH205="",IFERROR(VALUE(LEFT('Base Encuesta'!K205,1)),"")&gt;=3),"",IF(W231=1,VALUE(LEFT('Base Encuesta'!AH205,1)),""))</f>
        <v/>
      </c>
      <c r="AA231" t="str">
        <f>IF(OR('Base Encuesta'!AI205="",IFERROR(VALUE(LEFT('Base Encuesta'!K205,1)),"")&gt;=3),"",IF(W231=1,VALUE(LEFT('Base Encuesta'!AI205,1)),""))</f>
        <v/>
      </c>
      <c r="AB231" t="str">
        <f>IF(OR('Base Encuesta'!AJ205="",IFERROR(VALUE(LEFT('Base Encuesta'!K205,1)),"")&gt;=3),"",IF(W231=1,VALUE(LEFT('Base Encuesta'!AJ205,1)),""))</f>
        <v/>
      </c>
      <c r="AC231" t="str">
        <f>IF(OR('Base Encuesta'!AL205="",IFERROR(VALUE(LEFT('Base Encuesta'!K205,1)),"")&gt;=3),"",VALUE(LEFT('Base Encuesta'!AL205,1)))</f>
        <v/>
      </c>
      <c r="AD231" t="str">
        <f>IF(OR('Base Encuesta'!AM205="",IFERROR(VALUE(LEFT('Base Encuesta'!K205,1)),"")&gt;=3),"",VALUE(LEFT('Base Encuesta'!AM205,1)))</f>
        <v/>
      </c>
      <c r="AE231" t="str">
        <f>IF(OR('Base Encuesta'!AN205="",IFERROR(VALUE(LEFT('Base Encuesta'!K205,1)),"")&gt;=3),"",VALUE(LEFT('Base Encuesta'!AN205,1)))</f>
        <v/>
      </c>
      <c r="AF231" t="str">
        <f>IF(OR('Base Encuesta'!AO205="",IFERROR(VALUE(LEFT('Base Encuesta'!K205,1)),"")&gt;=3),"",VALUE(LEFT('Base Encuesta'!AO205,1)))</f>
        <v/>
      </c>
      <c r="AG231" t="str">
        <f>IF(OR('Base Encuesta'!AQ205="",IFERROR(VALUE(LEFT('Base Encuesta'!K205,1)),"")&gt;=3),"",VALUE(LEFT('Base Encuesta'!AQ205,1)))</f>
        <v/>
      </c>
      <c r="AH231" t="str">
        <f>IF(OR('Base Encuesta'!AR205="",IFERROR(VALUE(LEFT('Base Encuesta'!K205,1)),"")&gt;=3),"",VALUE(LEFT('Base Encuesta'!AR205,1)))</f>
        <v/>
      </c>
    </row>
    <row r="232" spans="1:34">
      <c r="A232" t="str">
        <f>IF('Base Encuesta'!C206="","",'Base Encuesta'!C206)</f>
        <v/>
      </c>
      <c r="B232" t="str">
        <f>IF('Base Encuesta'!D206="","",'Base Encuesta'!D206)</f>
        <v/>
      </c>
      <c r="C232" t="str">
        <f>IF('Base Encuesta'!E206="","",'Base Encuesta'!E206)</f>
        <v/>
      </c>
      <c r="D232" t="str">
        <f>IF('Base Encuesta'!F206="","",'Base Encuesta'!F206)</f>
        <v/>
      </c>
      <c r="E232" t="str">
        <f>IF('Base Encuesta'!G206="","",'Base Encuesta'!G206)</f>
        <v/>
      </c>
      <c r="F232" t="str">
        <f>IF('Base Encuesta'!H206="","",'Base Encuesta'!H206)</f>
        <v/>
      </c>
      <c r="G232" t="str">
        <f>IF('Base Encuesta'!I206="","",'Base Encuesta'!I206)</f>
        <v/>
      </c>
      <c r="H232" t="str">
        <f>IF('Base Encuesta'!J206="","",'Base Encuesta'!J206)</f>
        <v/>
      </c>
      <c r="I232" t="str">
        <f>IF('Base Encuesta'!K206="","",'Base Encuesta'!K206)</f>
        <v/>
      </c>
      <c r="J232" t="str">
        <f>IF(OR('Base Encuesta'!P206="",IFERROR(VALUE(LEFT('Base Encuesta'!K206,1)),"")&gt;=3),"",PROPER(TRIM('Base Encuesta'!P206)))</f>
        <v/>
      </c>
      <c r="K232" t="str">
        <f>IF(OR('Base Encuesta'!Q206="",IFERROR(VALUE(LEFT('Base Encuesta'!K206,1)),"")&gt;=3),"",'Base Encuesta'!Q206)</f>
        <v/>
      </c>
      <c r="L232" t="str">
        <f>IF(OR('Base Encuesta'!R206="",IFERROR(VALUE(LEFT('Base Encuesta'!K206,1)),"")&gt;=3),"",VALUE(LEFT('Base Encuesta'!R206,1)))</f>
        <v/>
      </c>
      <c r="M232" t="str">
        <f>IF(OR('Base Encuesta'!S206="",IFERROR(VALUE(LEFT('Base Encuesta'!K206,1)),"")&gt;=3),"",VALUE(LEFT('Base Encuesta'!S206,1)))</f>
        <v/>
      </c>
      <c r="N232" t="str">
        <f>IF(OR('Base Encuesta'!T206="",IFERROR(VALUE(LEFT('Base Encuesta'!K206,1)),"")&gt;=3),"",VALUE(LEFT('Base Encuesta'!T206,1)))</f>
        <v/>
      </c>
      <c r="O232" t="str">
        <f>IF(OR('Base Encuesta'!V206="",IFERROR(VALUE(LEFT('Base Encuesta'!K206,1)),"")&gt;=3),"",VALUE(LEFT('Base Encuesta'!V206,1)))</f>
        <v/>
      </c>
      <c r="P232" t="str">
        <f>IF(OR('Base Encuesta'!W206="",IFERROR(VALUE(LEFT('Base Encuesta'!K206,1)),"")&gt;=3),"",VALUE(LEFT('Base Encuesta'!W206,1)))</f>
        <v/>
      </c>
      <c r="Q232" t="str">
        <f>IF(OR('Base Encuesta'!X206="",IFERROR(VALUE(LEFT('Base Encuesta'!K206,1)),"")&gt;=3),"",VALUE(LEFT('Base Encuesta'!X206,1)))</f>
        <v/>
      </c>
      <c r="R232" t="str">
        <f>IF(OR('Base Encuesta'!Y206="",IFERROR(VALUE(LEFT('Base Encuesta'!K206,1)),"")&gt;=3),"",VALUE(LEFT('Base Encuesta'!Y206,1)))</f>
        <v/>
      </c>
      <c r="S232" t="str">
        <f>IF(OR('Base Encuesta'!Z206="",IFERROR(VALUE(LEFT('Base Encuesta'!K206,1)),"")&gt;=3),"",VALUE(LEFT('Base Encuesta'!Z206,1)))</f>
        <v/>
      </c>
      <c r="T232" t="str">
        <f>IF(OR('Base Encuesta'!AA206="",IFERROR(VALUE(LEFT('Base Encuesta'!K206,1)),"")&gt;=3),"",VALUE(LEFT('Base Encuesta'!AA206,1)))</f>
        <v/>
      </c>
      <c r="U232" t="str">
        <f>IF(OR('Base Encuesta'!AB206="",IFERROR(VALUE(LEFT('Base Encuesta'!K206,1)),"")&gt;=3),"",VALUE(LEFT('Base Encuesta'!AB206,1)))</f>
        <v/>
      </c>
      <c r="V232" t="str">
        <f>IF(OR('Base Encuesta'!AC206="",IFERROR(VALUE(LEFT('Base Encuesta'!K206,1)),"")&gt;=3),"",VALUE(LEFT('Base Encuesta'!AC206,1)))</f>
        <v/>
      </c>
      <c r="W232" t="str">
        <f>IF(OR('Base Encuesta'!AE206="",IFERROR(VALUE(LEFT('Base Encuesta'!K206,1)),"")&gt;=3),"",VALUE(LEFT('Base Encuesta'!AE206,1)))</f>
        <v/>
      </c>
      <c r="X232" t="str">
        <f>IF(OR('Base Encuesta'!AF206="",IFERROR(VALUE(LEFT('Base Encuesta'!K206,1)),"")&gt;=3),"",IF(W232=1,VALUE(LEFT('Base Encuesta'!AF206,1)),""))</f>
        <v/>
      </c>
      <c r="Y232" t="str">
        <f>IF(OR('Base Encuesta'!AG206="",IFERROR(VALUE(LEFT('Base Encuesta'!K206,1)),"")&gt;=3),"",IF(W232=1,VALUE(LEFT('Base Encuesta'!AG206,1)),""))</f>
        <v/>
      </c>
      <c r="Z232" t="str">
        <f>IF(OR('Base Encuesta'!AH206="",IFERROR(VALUE(LEFT('Base Encuesta'!K206,1)),"")&gt;=3),"",IF(W232=1,VALUE(LEFT('Base Encuesta'!AH206,1)),""))</f>
        <v/>
      </c>
      <c r="AA232" t="str">
        <f>IF(OR('Base Encuesta'!AI206="",IFERROR(VALUE(LEFT('Base Encuesta'!K206,1)),"")&gt;=3),"",IF(W232=1,VALUE(LEFT('Base Encuesta'!AI206,1)),""))</f>
        <v/>
      </c>
      <c r="AB232" t="str">
        <f>IF(OR('Base Encuesta'!AJ206="",IFERROR(VALUE(LEFT('Base Encuesta'!K206,1)),"")&gt;=3),"",IF(W232=1,VALUE(LEFT('Base Encuesta'!AJ206,1)),""))</f>
        <v/>
      </c>
      <c r="AC232" t="str">
        <f>IF(OR('Base Encuesta'!AL206="",IFERROR(VALUE(LEFT('Base Encuesta'!K206,1)),"")&gt;=3),"",VALUE(LEFT('Base Encuesta'!AL206,1)))</f>
        <v/>
      </c>
      <c r="AD232" t="str">
        <f>IF(OR('Base Encuesta'!AM206="",IFERROR(VALUE(LEFT('Base Encuesta'!K206,1)),"")&gt;=3),"",VALUE(LEFT('Base Encuesta'!AM206,1)))</f>
        <v/>
      </c>
      <c r="AE232" t="str">
        <f>IF(OR('Base Encuesta'!AN206="",IFERROR(VALUE(LEFT('Base Encuesta'!K206,1)),"")&gt;=3),"",VALUE(LEFT('Base Encuesta'!AN206,1)))</f>
        <v/>
      </c>
      <c r="AF232" t="str">
        <f>IF(OR('Base Encuesta'!AO206="",IFERROR(VALUE(LEFT('Base Encuesta'!K206,1)),"")&gt;=3),"",VALUE(LEFT('Base Encuesta'!AO206,1)))</f>
        <v/>
      </c>
      <c r="AG232" t="str">
        <f>IF(OR('Base Encuesta'!AQ206="",IFERROR(VALUE(LEFT('Base Encuesta'!K206,1)),"")&gt;=3),"",VALUE(LEFT('Base Encuesta'!AQ206,1)))</f>
        <v/>
      </c>
      <c r="AH232" t="str">
        <f>IF(OR('Base Encuesta'!AR206="",IFERROR(VALUE(LEFT('Base Encuesta'!K206,1)),"")&gt;=3),"",VALUE(LEFT('Base Encuesta'!AR206,1)))</f>
        <v/>
      </c>
    </row>
    <row r="233" spans="1:34">
      <c r="A233" t="str">
        <f>IF('Base Encuesta'!C207="","",'Base Encuesta'!C207)</f>
        <v/>
      </c>
      <c r="B233" t="str">
        <f>IF('Base Encuesta'!D207="","",'Base Encuesta'!D207)</f>
        <v/>
      </c>
      <c r="C233" t="str">
        <f>IF('Base Encuesta'!E207="","",'Base Encuesta'!E207)</f>
        <v/>
      </c>
      <c r="D233" t="str">
        <f>IF('Base Encuesta'!F207="","",'Base Encuesta'!F207)</f>
        <v/>
      </c>
      <c r="E233" t="str">
        <f>IF('Base Encuesta'!G207="","",'Base Encuesta'!G207)</f>
        <v/>
      </c>
      <c r="F233" t="str">
        <f>IF('Base Encuesta'!H207="","",'Base Encuesta'!H207)</f>
        <v/>
      </c>
      <c r="G233" t="str">
        <f>IF('Base Encuesta'!I207="","",'Base Encuesta'!I207)</f>
        <v/>
      </c>
      <c r="H233" t="str">
        <f>IF('Base Encuesta'!J207="","",'Base Encuesta'!J207)</f>
        <v/>
      </c>
      <c r="I233" t="str">
        <f>IF('Base Encuesta'!K207="","",'Base Encuesta'!K207)</f>
        <v/>
      </c>
      <c r="J233" t="str">
        <f>IF(OR('Base Encuesta'!P207="",IFERROR(VALUE(LEFT('Base Encuesta'!K207,1)),"")&gt;=3),"",PROPER(TRIM('Base Encuesta'!P207)))</f>
        <v/>
      </c>
      <c r="K233" t="str">
        <f>IF(OR('Base Encuesta'!Q207="",IFERROR(VALUE(LEFT('Base Encuesta'!K207,1)),"")&gt;=3),"",'Base Encuesta'!Q207)</f>
        <v/>
      </c>
      <c r="L233" t="str">
        <f>IF(OR('Base Encuesta'!R207="",IFERROR(VALUE(LEFT('Base Encuesta'!K207,1)),"")&gt;=3),"",VALUE(LEFT('Base Encuesta'!R207,1)))</f>
        <v/>
      </c>
      <c r="M233" t="str">
        <f>IF(OR('Base Encuesta'!S207="",IFERROR(VALUE(LEFT('Base Encuesta'!K207,1)),"")&gt;=3),"",VALUE(LEFT('Base Encuesta'!S207,1)))</f>
        <v/>
      </c>
      <c r="N233" t="str">
        <f>IF(OR('Base Encuesta'!T207="",IFERROR(VALUE(LEFT('Base Encuesta'!K207,1)),"")&gt;=3),"",VALUE(LEFT('Base Encuesta'!T207,1)))</f>
        <v/>
      </c>
      <c r="O233" t="str">
        <f>IF(OR('Base Encuesta'!V207="",IFERROR(VALUE(LEFT('Base Encuesta'!K207,1)),"")&gt;=3),"",VALUE(LEFT('Base Encuesta'!V207,1)))</f>
        <v/>
      </c>
      <c r="P233" t="str">
        <f>IF(OR('Base Encuesta'!W207="",IFERROR(VALUE(LEFT('Base Encuesta'!K207,1)),"")&gt;=3),"",VALUE(LEFT('Base Encuesta'!W207,1)))</f>
        <v/>
      </c>
      <c r="Q233" t="str">
        <f>IF(OR('Base Encuesta'!X207="",IFERROR(VALUE(LEFT('Base Encuesta'!K207,1)),"")&gt;=3),"",VALUE(LEFT('Base Encuesta'!X207,1)))</f>
        <v/>
      </c>
      <c r="R233" t="str">
        <f>IF(OR('Base Encuesta'!Y207="",IFERROR(VALUE(LEFT('Base Encuesta'!K207,1)),"")&gt;=3),"",VALUE(LEFT('Base Encuesta'!Y207,1)))</f>
        <v/>
      </c>
      <c r="S233" t="str">
        <f>IF(OR('Base Encuesta'!Z207="",IFERROR(VALUE(LEFT('Base Encuesta'!K207,1)),"")&gt;=3),"",VALUE(LEFT('Base Encuesta'!Z207,1)))</f>
        <v/>
      </c>
      <c r="T233" t="str">
        <f>IF(OR('Base Encuesta'!AA207="",IFERROR(VALUE(LEFT('Base Encuesta'!K207,1)),"")&gt;=3),"",VALUE(LEFT('Base Encuesta'!AA207,1)))</f>
        <v/>
      </c>
      <c r="U233" t="str">
        <f>IF(OR('Base Encuesta'!AB207="",IFERROR(VALUE(LEFT('Base Encuesta'!K207,1)),"")&gt;=3),"",VALUE(LEFT('Base Encuesta'!AB207,1)))</f>
        <v/>
      </c>
      <c r="V233" t="str">
        <f>IF(OR('Base Encuesta'!AC207="",IFERROR(VALUE(LEFT('Base Encuesta'!K207,1)),"")&gt;=3),"",VALUE(LEFT('Base Encuesta'!AC207,1)))</f>
        <v/>
      </c>
      <c r="W233" t="str">
        <f>IF(OR('Base Encuesta'!AE207="",IFERROR(VALUE(LEFT('Base Encuesta'!K207,1)),"")&gt;=3),"",VALUE(LEFT('Base Encuesta'!AE207,1)))</f>
        <v/>
      </c>
      <c r="X233" t="str">
        <f>IF(OR('Base Encuesta'!AF207="",IFERROR(VALUE(LEFT('Base Encuesta'!K207,1)),"")&gt;=3),"",IF(W233=1,VALUE(LEFT('Base Encuesta'!AF207,1)),""))</f>
        <v/>
      </c>
      <c r="Y233" t="str">
        <f>IF(OR('Base Encuesta'!AG207="",IFERROR(VALUE(LEFT('Base Encuesta'!K207,1)),"")&gt;=3),"",IF(W233=1,VALUE(LEFT('Base Encuesta'!AG207,1)),""))</f>
        <v/>
      </c>
      <c r="Z233" t="str">
        <f>IF(OR('Base Encuesta'!AH207="",IFERROR(VALUE(LEFT('Base Encuesta'!K207,1)),"")&gt;=3),"",IF(W233=1,VALUE(LEFT('Base Encuesta'!AH207,1)),""))</f>
        <v/>
      </c>
      <c r="AA233" t="str">
        <f>IF(OR('Base Encuesta'!AI207="",IFERROR(VALUE(LEFT('Base Encuesta'!K207,1)),"")&gt;=3),"",IF(W233=1,VALUE(LEFT('Base Encuesta'!AI207,1)),""))</f>
        <v/>
      </c>
      <c r="AB233" t="str">
        <f>IF(OR('Base Encuesta'!AJ207="",IFERROR(VALUE(LEFT('Base Encuesta'!K207,1)),"")&gt;=3),"",IF(W233=1,VALUE(LEFT('Base Encuesta'!AJ207,1)),""))</f>
        <v/>
      </c>
      <c r="AC233" t="str">
        <f>IF(OR('Base Encuesta'!AL207="",IFERROR(VALUE(LEFT('Base Encuesta'!K207,1)),"")&gt;=3),"",VALUE(LEFT('Base Encuesta'!AL207,1)))</f>
        <v/>
      </c>
      <c r="AD233" t="str">
        <f>IF(OR('Base Encuesta'!AM207="",IFERROR(VALUE(LEFT('Base Encuesta'!K207,1)),"")&gt;=3),"",VALUE(LEFT('Base Encuesta'!AM207,1)))</f>
        <v/>
      </c>
      <c r="AE233" t="str">
        <f>IF(OR('Base Encuesta'!AN207="",IFERROR(VALUE(LEFT('Base Encuesta'!K207,1)),"")&gt;=3),"",VALUE(LEFT('Base Encuesta'!AN207,1)))</f>
        <v/>
      </c>
      <c r="AF233" t="str">
        <f>IF(OR('Base Encuesta'!AO207="",IFERROR(VALUE(LEFT('Base Encuesta'!K207,1)),"")&gt;=3),"",VALUE(LEFT('Base Encuesta'!AO207,1)))</f>
        <v/>
      </c>
      <c r="AG233" t="str">
        <f>IF(OR('Base Encuesta'!AQ207="",IFERROR(VALUE(LEFT('Base Encuesta'!K207,1)),"")&gt;=3),"",VALUE(LEFT('Base Encuesta'!AQ207,1)))</f>
        <v/>
      </c>
      <c r="AH233" t="str">
        <f>IF(OR('Base Encuesta'!AR207="",IFERROR(VALUE(LEFT('Base Encuesta'!K207,1)),"")&gt;=3),"",VALUE(LEFT('Base Encuesta'!AR207,1)))</f>
        <v/>
      </c>
    </row>
    <row r="234" spans="1:34">
      <c r="A234" t="str">
        <f>IF('Base Encuesta'!C208="","",'Base Encuesta'!C208)</f>
        <v/>
      </c>
      <c r="B234" t="str">
        <f>IF('Base Encuesta'!D208="","",'Base Encuesta'!D208)</f>
        <v/>
      </c>
      <c r="C234" t="str">
        <f>IF('Base Encuesta'!E208="","",'Base Encuesta'!E208)</f>
        <v/>
      </c>
      <c r="D234" t="str">
        <f>IF('Base Encuesta'!F208="","",'Base Encuesta'!F208)</f>
        <v/>
      </c>
      <c r="E234" t="str">
        <f>IF('Base Encuesta'!G208="","",'Base Encuesta'!G208)</f>
        <v/>
      </c>
      <c r="F234" t="str">
        <f>IF('Base Encuesta'!H208="","",'Base Encuesta'!H208)</f>
        <v/>
      </c>
      <c r="G234" t="str">
        <f>IF('Base Encuesta'!I208="","",'Base Encuesta'!I208)</f>
        <v/>
      </c>
      <c r="H234" t="str">
        <f>IF('Base Encuesta'!J208="","",'Base Encuesta'!J208)</f>
        <v/>
      </c>
      <c r="I234" t="str">
        <f>IF('Base Encuesta'!K208="","",'Base Encuesta'!K208)</f>
        <v/>
      </c>
      <c r="J234" t="str">
        <f>IF(OR('Base Encuesta'!P208="",IFERROR(VALUE(LEFT('Base Encuesta'!K208,1)),"")&gt;=3),"",PROPER(TRIM('Base Encuesta'!P208)))</f>
        <v/>
      </c>
      <c r="K234" t="str">
        <f>IF(OR('Base Encuesta'!Q208="",IFERROR(VALUE(LEFT('Base Encuesta'!K208,1)),"")&gt;=3),"",'Base Encuesta'!Q208)</f>
        <v/>
      </c>
      <c r="L234" t="str">
        <f>IF(OR('Base Encuesta'!R208="",IFERROR(VALUE(LEFT('Base Encuesta'!K208,1)),"")&gt;=3),"",VALUE(LEFT('Base Encuesta'!R208,1)))</f>
        <v/>
      </c>
      <c r="M234" t="str">
        <f>IF(OR('Base Encuesta'!S208="",IFERROR(VALUE(LEFT('Base Encuesta'!K208,1)),"")&gt;=3),"",VALUE(LEFT('Base Encuesta'!S208,1)))</f>
        <v/>
      </c>
      <c r="N234" t="str">
        <f>IF(OR('Base Encuesta'!T208="",IFERROR(VALUE(LEFT('Base Encuesta'!K208,1)),"")&gt;=3),"",VALUE(LEFT('Base Encuesta'!T208,1)))</f>
        <v/>
      </c>
      <c r="O234" t="str">
        <f>IF(OR('Base Encuesta'!V208="",IFERROR(VALUE(LEFT('Base Encuesta'!K208,1)),"")&gt;=3),"",VALUE(LEFT('Base Encuesta'!V208,1)))</f>
        <v/>
      </c>
      <c r="P234" t="str">
        <f>IF(OR('Base Encuesta'!W208="",IFERROR(VALUE(LEFT('Base Encuesta'!K208,1)),"")&gt;=3),"",VALUE(LEFT('Base Encuesta'!W208,1)))</f>
        <v/>
      </c>
      <c r="Q234" t="str">
        <f>IF(OR('Base Encuesta'!X208="",IFERROR(VALUE(LEFT('Base Encuesta'!K208,1)),"")&gt;=3),"",VALUE(LEFT('Base Encuesta'!X208,1)))</f>
        <v/>
      </c>
      <c r="R234" t="str">
        <f>IF(OR('Base Encuesta'!Y208="",IFERROR(VALUE(LEFT('Base Encuesta'!K208,1)),"")&gt;=3),"",VALUE(LEFT('Base Encuesta'!Y208,1)))</f>
        <v/>
      </c>
      <c r="S234" t="str">
        <f>IF(OR('Base Encuesta'!Z208="",IFERROR(VALUE(LEFT('Base Encuesta'!K208,1)),"")&gt;=3),"",VALUE(LEFT('Base Encuesta'!Z208,1)))</f>
        <v/>
      </c>
      <c r="T234" t="str">
        <f>IF(OR('Base Encuesta'!AA208="",IFERROR(VALUE(LEFT('Base Encuesta'!K208,1)),"")&gt;=3),"",VALUE(LEFT('Base Encuesta'!AA208,1)))</f>
        <v/>
      </c>
      <c r="U234" t="str">
        <f>IF(OR('Base Encuesta'!AB208="",IFERROR(VALUE(LEFT('Base Encuesta'!K208,1)),"")&gt;=3),"",VALUE(LEFT('Base Encuesta'!AB208,1)))</f>
        <v/>
      </c>
      <c r="V234" t="str">
        <f>IF(OR('Base Encuesta'!AC208="",IFERROR(VALUE(LEFT('Base Encuesta'!K208,1)),"")&gt;=3),"",VALUE(LEFT('Base Encuesta'!AC208,1)))</f>
        <v/>
      </c>
      <c r="W234" t="str">
        <f>IF(OR('Base Encuesta'!AE208="",IFERROR(VALUE(LEFT('Base Encuesta'!K208,1)),"")&gt;=3),"",VALUE(LEFT('Base Encuesta'!AE208,1)))</f>
        <v/>
      </c>
      <c r="X234" t="str">
        <f>IF(OR('Base Encuesta'!AF208="",IFERROR(VALUE(LEFT('Base Encuesta'!K208,1)),"")&gt;=3),"",IF(W234=1,VALUE(LEFT('Base Encuesta'!AF208,1)),""))</f>
        <v/>
      </c>
      <c r="Y234" t="str">
        <f>IF(OR('Base Encuesta'!AG208="",IFERROR(VALUE(LEFT('Base Encuesta'!K208,1)),"")&gt;=3),"",IF(W234=1,VALUE(LEFT('Base Encuesta'!AG208,1)),""))</f>
        <v/>
      </c>
      <c r="Z234" t="str">
        <f>IF(OR('Base Encuesta'!AH208="",IFERROR(VALUE(LEFT('Base Encuesta'!K208,1)),"")&gt;=3),"",IF(W234=1,VALUE(LEFT('Base Encuesta'!AH208,1)),""))</f>
        <v/>
      </c>
      <c r="AA234" t="str">
        <f>IF(OR('Base Encuesta'!AI208="",IFERROR(VALUE(LEFT('Base Encuesta'!K208,1)),"")&gt;=3),"",IF(W234=1,VALUE(LEFT('Base Encuesta'!AI208,1)),""))</f>
        <v/>
      </c>
      <c r="AB234" t="str">
        <f>IF(OR('Base Encuesta'!AJ208="",IFERROR(VALUE(LEFT('Base Encuesta'!K208,1)),"")&gt;=3),"",IF(W234=1,VALUE(LEFT('Base Encuesta'!AJ208,1)),""))</f>
        <v/>
      </c>
      <c r="AC234" t="str">
        <f>IF(OR('Base Encuesta'!AL208="",IFERROR(VALUE(LEFT('Base Encuesta'!K208,1)),"")&gt;=3),"",VALUE(LEFT('Base Encuesta'!AL208,1)))</f>
        <v/>
      </c>
      <c r="AD234" t="str">
        <f>IF(OR('Base Encuesta'!AM208="",IFERROR(VALUE(LEFT('Base Encuesta'!K208,1)),"")&gt;=3),"",VALUE(LEFT('Base Encuesta'!AM208,1)))</f>
        <v/>
      </c>
      <c r="AE234" t="str">
        <f>IF(OR('Base Encuesta'!AN208="",IFERROR(VALUE(LEFT('Base Encuesta'!K208,1)),"")&gt;=3),"",VALUE(LEFT('Base Encuesta'!AN208,1)))</f>
        <v/>
      </c>
      <c r="AF234" t="str">
        <f>IF(OR('Base Encuesta'!AO208="",IFERROR(VALUE(LEFT('Base Encuesta'!K208,1)),"")&gt;=3),"",VALUE(LEFT('Base Encuesta'!AO208,1)))</f>
        <v/>
      </c>
      <c r="AG234" t="str">
        <f>IF(OR('Base Encuesta'!AQ208="",IFERROR(VALUE(LEFT('Base Encuesta'!K208,1)),"")&gt;=3),"",VALUE(LEFT('Base Encuesta'!AQ208,1)))</f>
        <v/>
      </c>
      <c r="AH234" t="str">
        <f>IF(OR('Base Encuesta'!AR208="",IFERROR(VALUE(LEFT('Base Encuesta'!K208,1)),"")&gt;=3),"",VALUE(LEFT('Base Encuesta'!AR208,1)))</f>
        <v/>
      </c>
    </row>
    <row r="235" spans="1:34">
      <c r="A235" t="str">
        <f>IF('Base Encuesta'!C209="","",'Base Encuesta'!C209)</f>
        <v/>
      </c>
      <c r="B235" t="str">
        <f>IF('Base Encuesta'!D209="","",'Base Encuesta'!D209)</f>
        <v/>
      </c>
      <c r="C235" t="str">
        <f>IF('Base Encuesta'!E209="","",'Base Encuesta'!E209)</f>
        <v/>
      </c>
      <c r="D235" t="str">
        <f>IF('Base Encuesta'!F209="","",'Base Encuesta'!F209)</f>
        <v/>
      </c>
      <c r="E235" t="str">
        <f>IF('Base Encuesta'!G209="","",'Base Encuesta'!G209)</f>
        <v/>
      </c>
      <c r="F235" t="str">
        <f>IF('Base Encuesta'!H209="","",'Base Encuesta'!H209)</f>
        <v/>
      </c>
      <c r="G235" t="str">
        <f>IF('Base Encuesta'!I209="","",'Base Encuesta'!I209)</f>
        <v/>
      </c>
      <c r="H235" t="str">
        <f>IF('Base Encuesta'!J209="","",'Base Encuesta'!J209)</f>
        <v/>
      </c>
      <c r="I235" t="str">
        <f>IF('Base Encuesta'!K209="","",'Base Encuesta'!K209)</f>
        <v/>
      </c>
      <c r="J235" t="str">
        <f>IF(OR('Base Encuesta'!P209="",IFERROR(VALUE(LEFT('Base Encuesta'!K209,1)),"")&gt;=3),"",PROPER(TRIM('Base Encuesta'!P209)))</f>
        <v/>
      </c>
      <c r="K235" t="str">
        <f>IF(OR('Base Encuesta'!Q209="",IFERROR(VALUE(LEFT('Base Encuesta'!K209,1)),"")&gt;=3),"",'Base Encuesta'!Q209)</f>
        <v/>
      </c>
      <c r="L235" t="str">
        <f>IF(OR('Base Encuesta'!R209="",IFERROR(VALUE(LEFT('Base Encuesta'!K209,1)),"")&gt;=3),"",VALUE(LEFT('Base Encuesta'!R209,1)))</f>
        <v/>
      </c>
      <c r="M235" t="str">
        <f>IF(OR('Base Encuesta'!S209="",IFERROR(VALUE(LEFT('Base Encuesta'!K209,1)),"")&gt;=3),"",VALUE(LEFT('Base Encuesta'!S209,1)))</f>
        <v/>
      </c>
      <c r="N235" t="str">
        <f>IF(OR('Base Encuesta'!T209="",IFERROR(VALUE(LEFT('Base Encuesta'!K209,1)),"")&gt;=3),"",VALUE(LEFT('Base Encuesta'!T209,1)))</f>
        <v/>
      </c>
      <c r="O235" t="str">
        <f>IF(OR('Base Encuesta'!V209="",IFERROR(VALUE(LEFT('Base Encuesta'!K209,1)),"")&gt;=3),"",VALUE(LEFT('Base Encuesta'!V209,1)))</f>
        <v/>
      </c>
      <c r="P235" t="str">
        <f>IF(OR('Base Encuesta'!W209="",IFERROR(VALUE(LEFT('Base Encuesta'!K209,1)),"")&gt;=3),"",VALUE(LEFT('Base Encuesta'!W209,1)))</f>
        <v/>
      </c>
      <c r="Q235" t="str">
        <f>IF(OR('Base Encuesta'!X209="",IFERROR(VALUE(LEFT('Base Encuesta'!K209,1)),"")&gt;=3),"",VALUE(LEFT('Base Encuesta'!X209,1)))</f>
        <v/>
      </c>
      <c r="R235" t="str">
        <f>IF(OR('Base Encuesta'!Y209="",IFERROR(VALUE(LEFT('Base Encuesta'!K209,1)),"")&gt;=3),"",VALUE(LEFT('Base Encuesta'!Y209,1)))</f>
        <v/>
      </c>
      <c r="S235" t="str">
        <f>IF(OR('Base Encuesta'!Z209="",IFERROR(VALUE(LEFT('Base Encuesta'!K209,1)),"")&gt;=3),"",VALUE(LEFT('Base Encuesta'!Z209,1)))</f>
        <v/>
      </c>
      <c r="T235" t="str">
        <f>IF(OR('Base Encuesta'!AA209="",IFERROR(VALUE(LEFT('Base Encuesta'!K209,1)),"")&gt;=3),"",VALUE(LEFT('Base Encuesta'!AA209,1)))</f>
        <v/>
      </c>
      <c r="U235" t="str">
        <f>IF(OR('Base Encuesta'!AB209="",IFERROR(VALUE(LEFT('Base Encuesta'!K209,1)),"")&gt;=3),"",VALUE(LEFT('Base Encuesta'!AB209,1)))</f>
        <v/>
      </c>
      <c r="V235" t="str">
        <f>IF(OR('Base Encuesta'!AC209="",IFERROR(VALUE(LEFT('Base Encuesta'!K209,1)),"")&gt;=3),"",VALUE(LEFT('Base Encuesta'!AC209,1)))</f>
        <v/>
      </c>
      <c r="W235" t="str">
        <f>IF(OR('Base Encuesta'!AE209="",IFERROR(VALUE(LEFT('Base Encuesta'!K209,1)),"")&gt;=3),"",VALUE(LEFT('Base Encuesta'!AE209,1)))</f>
        <v/>
      </c>
      <c r="X235" t="str">
        <f>IF(OR('Base Encuesta'!AF209="",IFERROR(VALUE(LEFT('Base Encuesta'!K209,1)),"")&gt;=3),"",IF(W235=1,VALUE(LEFT('Base Encuesta'!AF209,1)),""))</f>
        <v/>
      </c>
      <c r="Y235" t="str">
        <f>IF(OR('Base Encuesta'!AG209="",IFERROR(VALUE(LEFT('Base Encuesta'!K209,1)),"")&gt;=3),"",IF(W235=1,VALUE(LEFT('Base Encuesta'!AG209,1)),""))</f>
        <v/>
      </c>
      <c r="Z235" t="str">
        <f>IF(OR('Base Encuesta'!AH209="",IFERROR(VALUE(LEFT('Base Encuesta'!K209,1)),"")&gt;=3),"",IF(W235=1,VALUE(LEFT('Base Encuesta'!AH209,1)),""))</f>
        <v/>
      </c>
      <c r="AA235" t="str">
        <f>IF(OR('Base Encuesta'!AI209="",IFERROR(VALUE(LEFT('Base Encuesta'!K209,1)),"")&gt;=3),"",IF(W235=1,VALUE(LEFT('Base Encuesta'!AI209,1)),""))</f>
        <v/>
      </c>
      <c r="AB235" t="str">
        <f>IF(OR('Base Encuesta'!AJ209="",IFERROR(VALUE(LEFT('Base Encuesta'!K209,1)),"")&gt;=3),"",IF(W235=1,VALUE(LEFT('Base Encuesta'!AJ209,1)),""))</f>
        <v/>
      </c>
      <c r="AC235" t="str">
        <f>IF(OR('Base Encuesta'!AL209="",IFERROR(VALUE(LEFT('Base Encuesta'!K209,1)),"")&gt;=3),"",VALUE(LEFT('Base Encuesta'!AL209,1)))</f>
        <v/>
      </c>
      <c r="AD235" t="str">
        <f>IF(OR('Base Encuesta'!AM209="",IFERROR(VALUE(LEFT('Base Encuesta'!K209,1)),"")&gt;=3),"",VALUE(LEFT('Base Encuesta'!AM209,1)))</f>
        <v/>
      </c>
      <c r="AE235" t="str">
        <f>IF(OR('Base Encuesta'!AN209="",IFERROR(VALUE(LEFT('Base Encuesta'!K209,1)),"")&gt;=3),"",VALUE(LEFT('Base Encuesta'!AN209,1)))</f>
        <v/>
      </c>
      <c r="AF235" t="str">
        <f>IF(OR('Base Encuesta'!AO209="",IFERROR(VALUE(LEFT('Base Encuesta'!K209,1)),"")&gt;=3),"",VALUE(LEFT('Base Encuesta'!AO209,1)))</f>
        <v/>
      </c>
      <c r="AG235" t="str">
        <f>IF(OR('Base Encuesta'!AQ209="",IFERROR(VALUE(LEFT('Base Encuesta'!K209,1)),"")&gt;=3),"",VALUE(LEFT('Base Encuesta'!AQ209,1)))</f>
        <v/>
      </c>
      <c r="AH235" t="str">
        <f>IF(OR('Base Encuesta'!AR209="",IFERROR(VALUE(LEFT('Base Encuesta'!K209,1)),"")&gt;=3),"",VALUE(LEFT('Base Encuesta'!AR209,1)))</f>
        <v/>
      </c>
    </row>
    <row r="236" spans="1:34">
      <c r="A236" t="str">
        <f>IF('Base Encuesta'!C210="","",'Base Encuesta'!C210)</f>
        <v/>
      </c>
      <c r="B236" t="str">
        <f>IF('Base Encuesta'!D210="","",'Base Encuesta'!D210)</f>
        <v/>
      </c>
      <c r="C236" t="str">
        <f>IF('Base Encuesta'!E210="","",'Base Encuesta'!E210)</f>
        <v/>
      </c>
      <c r="D236" t="str">
        <f>IF('Base Encuesta'!F210="","",'Base Encuesta'!F210)</f>
        <v/>
      </c>
      <c r="E236" t="str">
        <f>IF('Base Encuesta'!G210="","",'Base Encuesta'!G210)</f>
        <v/>
      </c>
      <c r="F236" t="str">
        <f>IF('Base Encuesta'!H210="","",'Base Encuesta'!H210)</f>
        <v/>
      </c>
      <c r="G236" t="str">
        <f>IF('Base Encuesta'!I210="","",'Base Encuesta'!I210)</f>
        <v/>
      </c>
      <c r="H236" t="str">
        <f>IF('Base Encuesta'!J210="","",'Base Encuesta'!J210)</f>
        <v/>
      </c>
      <c r="I236" t="str">
        <f>IF('Base Encuesta'!K210="","",'Base Encuesta'!K210)</f>
        <v/>
      </c>
      <c r="J236" t="str">
        <f>IF(OR('Base Encuesta'!P210="",IFERROR(VALUE(LEFT('Base Encuesta'!K210,1)),"")&gt;=3),"",PROPER(TRIM('Base Encuesta'!P210)))</f>
        <v/>
      </c>
      <c r="K236" t="str">
        <f>IF(OR('Base Encuesta'!Q210="",IFERROR(VALUE(LEFT('Base Encuesta'!K210,1)),"")&gt;=3),"",'Base Encuesta'!Q210)</f>
        <v/>
      </c>
      <c r="L236" t="str">
        <f>IF(OR('Base Encuesta'!R210="",IFERROR(VALUE(LEFT('Base Encuesta'!K210,1)),"")&gt;=3),"",VALUE(LEFT('Base Encuesta'!R210,1)))</f>
        <v/>
      </c>
      <c r="M236" t="str">
        <f>IF(OR('Base Encuesta'!S210="",IFERROR(VALUE(LEFT('Base Encuesta'!K210,1)),"")&gt;=3),"",VALUE(LEFT('Base Encuesta'!S210,1)))</f>
        <v/>
      </c>
      <c r="N236" t="str">
        <f>IF(OR('Base Encuesta'!T210="",IFERROR(VALUE(LEFT('Base Encuesta'!K210,1)),"")&gt;=3),"",VALUE(LEFT('Base Encuesta'!T210,1)))</f>
        <v/>
      </c>
      <c r="O236" t="str">
        <f>IF(OR('Base Encuesta'!V210="",IFERROR(VALUE(LEFT('Base Encuesta'!K210,1)),"")&gt;=3),"",VALUE(LEFT('Base Encuesta'!V210,1)))</f>
        <v/>
      </c>
      <c r="P236" t="str">
        <f>IF(OR('Base Encuesta'!W210="",IFERROR(VALUE(LEFT('Base Encuesta'!K210,1)),"")&gt;=3),"",VALUE(LEFT('Base Encuesta'!W210,1)))</f>
        <v/>
      </c>
      <c r="Q236" t="str">
        <f>IF(OR('Base Encuesta'!X210="",IFERROR(VALUE(LEFT('Base Encuesta'!K210,1)),"")&gt;=3),"",VALUE(LEFT('Base Encuesta'!X210,1)))</f>
        <v/>
      </c>
      <c r="R236" t="str">
        <f>IF(OR('Base Encuesta'!Y210="",IFERROR(VALUE(LEFT('Base Encuesta'!K210,1)),"")&gt;=3),"",VALUE(LEFT('Base Encuesta'!Y210,1)))</f>
        <v/>
      </c>
      <c r="S236" t="str">
        <f>IF(OR('Base Encuesta'!Z210="",IFERROR(VALUE(LEFT('Base Encuesta'!K210,1)),"")&gt;=3),"",VALUE(LEFT('Base Encuesta'!Z210,1)))</f>
        <v/>
      </c>
      <c r="T236" t="str">
        <f>IF(OR('Base Encuesta'!AA210="",IFERROR(VALUE(LEFT('Base Encuesta'!K210,1)),"")&gt;=3),"",VALUE(LEFT('Base Encuesta'!AA210,1)))</f>
        <v/>
      </c>
      <c r="U236" t="str">
        <f>IF(OR('Base Encuesta'!AB210="",IFERROR(VALUE(LEFT('Base Encuesta'!K210,1)),"")&gt;=3),"",VALUE(LEFT('Base Encuesta'!AB210,1)))</f>
        <v/>
      </c>
      <c r="V236" t="str">
        <f>IF(OR('Base Encuesta'!AC210="",IFERROR(VALUE(LEFT('Base Encuesta'!K210,1)),"")&gt;=3),"",VALUE(LEFT('Base Encuesta'!AC210,1)))</f>
        <v/>
      </c>
      <c r="W236" t="str">
        <f>IF(OR('Base Encuesta'!AE210="",IFERROR(VALUE(LEFT('Base Encuesta'!K210,1)),"")&gt;=3),"",VALUE(LEFT('Base Encuesta'!AE210,1)))</f>
        <v/>
      </c>
      <c r="X236" t="str">
        <f>IF(OR('Base Encuesta'!AF210="",IFERROR(VALUE(LEFT('Base Encuesta'!K210,1)),"")&gt;=3),"",IF(W236=1,VALUE(LEFT('Base Encuesta'!AF210,1)),""))</f>
        <v/>
      </c>
      <c r="Y236" t="str">
        <f>IF(OR('Base Encuesta'!AG210="",IFERROR(VALUE(LEFT('Base Encuesta'!K210,1)),"")&gt;=3),"",IF(W236=1,VALUE(LEFT('Base Encuesta'!AG210,1)),""))</f>
        <v/>
      </c>
      <c r="Z236" t="str">
        <f>IF(OR('Base Encuesta'!AH210="",IFERROR(VALUE(LEFT('Base Encuesta'!K210,1)),"")&gt;=3),"",IF(W236=1,VALUE(LEFT('Base Encuesta'!AH210,1)),""))</f>
        <v/>
      </c>
      <c r="AA236" t="str">
        <f>IF(OR('Base Encuesta'!AI210="",IFERROR(VALUE(LEFT('Base Encuesta'!K210,1)),"")&gt;=3),"",IF(W236=1,VALUE(LEFT('Base Encuesta'!AI210,1)),""))</f>
        <v/>
      </c>
      <c r="AB236" t="str">
        <f>IF(OR('Base Encuesta'!AJ210="",IFERROR(VALUE(LEFT('Base Encuesta'!K210,1)),"")&gt;=3),"",IF(W236=1,VALUE(LEFT('Base Encuesta'!AJ210,1)),""))</f>
        <v/>
      </c>
      <c r="AC236" t="str">
        <f>IF(OR('Base Encuesta'!AL210="",IFERROR(VALUE(LEFT('Base Encuesta'!K210,1)),"")&gt;=3),"",VALUE(LEFT('Base Encuesta'!AL210,1)))</f>
        <v/>
      </c>
      <c r="AD236" t="str">
        <f>IF(OR('Base Encuesta'!AM210="",IFERROR(VALUE(LEFT('Base Encuesta'!K210,1)),"")&gt;=3),"",VALUE(LEFT('Base Encuesta'!AM210,1)))</f>
        <v/>
      </c>
      <c r="AE236" t="str">
        <f>IF(OR('Base Encuesta'!AN210="",IFERROR(VALUE(LEFT('Base Encuesta'!K210,1)),"")&gt;=3),"",VALUE(LEFT('Base Encuesta'!AN210,1)))</f>
        <v/>
      </c>
      <c r="AF236" t="str">
        <f>IF(OR('Base Encuesta'!AO210="",IFERROR(VALUE(LEFT('Base Encuesta'!K210,1)),"")&gt;=3),"",VALUE(LEFT('Base Encuesta'!AO210,1)))</f>
        <v/>
      </c>
      <c r="AG236" t="str">
        <f>IF(OR('Base Encuesta'!AQ210="",IFERROR(VALUE(LEFT('Base Encuesta'!K210,1)),"")&gt;=3),"",VALUE(LEFT('Base Encuesta'!AQ210,1)))</f>
        <v/>
      </c>
      <c r="AH236" t="str">
        <f>IF(OR('Base Encuesta'!AR210="",IFERROR(VALUE(LEFT('Base Encuesta'!K210,1)),"")&gt;=3),"",VALUE(LEFT('Base Encuesta'!AR210,1)))</f>
        <v/>
      </c>
    </row>
    <row r="237" spans="1:34">
      <c r="A237" t="str">
        <f>IF('Base Encuesta'!C211="","",'Base Encuesta'!C211)</f>
        <v/>
      </c>
      <c r="B237" t="str">
        <f>IF('Base Encuesta'!D211="","",'Base Encuesta'!D211)</f>
        <v/>
      </c>
      <c r="C237" t="str">
        <f>IF('Base Encuesta'!E211="","",'Base Encuesta'!E211)</f>
        <v/>
      </c>
      <c r="D237" t="str">
        <f>IF('Base Encuesta'!F211="","",'Base Encuesta'!F211)</f>
        <v/>
      </c>
      <c r="E237" t="str">
        <f>IF('Base Encuesta'!G211="","",'Base Encuesta'!G211)</f>
        <v/>
      </c>
      <c r="F237" t="str">
        <f>IF('Base Encuesta'!H211="","",'Base Encuesta'!H211)</f>
        <v/>
      </c>
      <c r="G237" t="str">
        <f>IF('Base Encuesta'!I211="","",'Base Encuesta'!I211)</f>
        <v/>
      </c>
      <c r="H237" t="str">
        <f>IF('Base Encuesta'!J211="","",'Base Encuesta'!J211)</f>
        <v/>
      </c>
      <c r="I237" t="str">
        <f>IF('Base Encuesta'!K211="","",'Base Encuesta'!K211)</f>
        <v/>
      </c>
      <c r="J237" t="str">
        <f>IF(OR('Base Encuesta'!P211="",IFERROR(VALUE(LEFT('Base Encuesta'!K211,1)),"")&gt;=3),"",PROPER(TRIM('Base Encuesta'!P211)))</f>
        <v/>
      </c>
      <c r="K237" t="str">
        <f>IF(OR('Base Encuesta'!Q211="",IFERROR(VALUE(LEFT('Base Encuesta'!K211,1)),"")&gt;=3),"",'Base Encuesta'!Q211)</f>
        <v/>
      </c>
      <c r="L237" t="str">
        <f>IF(OR('Base Encuesta'!R211="",IFERROR(VALUE(LEFT('Base Encuesta'!K211,1)),"")&gt;=3),"",VALUE(LEFT('Base Encuesta'!R211,1)))</f>
        <v/>
      </c>
      <c r="M237" t="str">
        <f>IF(OR('Base Encuesta'!S211="",IFERROR(VALUE(LEFT('Base Encuesta'!K211,1)),"")&gt;=3),"",VALUE(LEFT('Base Encuesta'!S211,1)))</f>
        <v/>
      </c>
      <c r="N237" t="str">
        <f>IF(OR('Base Encuesta'!T211="",IFERROR(VALUE(LEFT('Base Encuesta'!K211,1)),"")&gt;=3),"",VALUE(LEFT('Base Encuesta'!T211,1)))</f>
        <v/>
      </c>
      <c r="O237" t="str">
        <f>IF(OR('Base Encuesta'!V211="",IFERROR(VALUE(LEFT('Base Encuesta'!K211,1)),"")&gt;=3),"",VALUE(LEFT('Base Encuesta'!V211,1)))</f>
        <v/>
      </c>
      <c r="P237" t="str">
        <f>IF(OR('Base Encuesta'!W211="",IFERROR(VALUE(LEFT('Base Encuesta'!K211,1)),"")&gt;=3),"",VALUE(LEFT('Base Encuesta'!W211,1)))</f>
        <v/>
      </c>
      <c r="Q237" t="str">
        <f>IF(OR('Base Encuesta'!X211="",IFERROR(VALUE(LEFT('Base Encuesta'!K211,1)),"")&gt;=3),"",VALUE(LEFT('Base Encuesta'!X211,1)))</f>
        <v/>
      </c>
      <c r="R237" t="str">
        <f>IF(OR('Base Encuesta'!Y211="",IFERROR(VALUE(LEFT('Base Encuesta'!K211,1)),"")&gt;=3),"",VALUE(LEFT('Base Encuesta'!Y211,1)))</f>
        <v/>
      </c>
      <c r="S237" t="str">
        <f>IF(OR('Base Encuesta'!Z211="",IFERROR(VALUE(LEFT('Base Encuesta'!K211,1)),"")&gt;=3),"",VALUE(LEFT('Base Encuesta'!Z211,1)))</f>
        <v/>
      </c>
      <c r="T237" t="str">
        <f>IF(OR('Base Encuesta'!AA211="",IFERROR(VALUE(LEFT('Base Encuesta'!K211,1)),"")&gt;=3),"",VALUE(LEFT('Base Encuesta'!AA211,1)))</f>
        <v/>
      </c>
      <c r="U237" t="str">
        <f>IF(OR('Base Encuesta'!AB211="",IFERROR(VALUE(LEFT('Base Encuesta'!K211,1)),"")&gt;=3),"",VALUE(LEFT('Base Encuesta'!AB211,1)))</f>
        <v/>
      </c>
      <c r="V237" t="str">
        <f>IF(OR('Base Encuesta'!AC211="",IFERROR(VALUE(LEFT('Base Encuesta'!K211,1)),"")&gt;=3),"",VALUE(LEFT('Base Encuesta'!AC211,1)))</f>
        <v/>
      </c>
      <c r="W237" t="str">
        <f>IF(OR('Base Encuesta'!AE211="",IFERROR(VALUE(LEFT('Base Encuesta'!K211,1)),"")&gt;=3),"",VALUE(LEFT('Base Encuesta'!AE211,1)))</f>
        <v/>
      </c>
      <c r="X237" t="str">
        <f>IF(OR('Base Encuesta'!AF211="",IFERROR(VALUE(LEFT('Base Encuesta'!K211,1)),"")&gt;=3),"",IF(W237=1,VALUE(LEFT('Base Encuesta'!AF211,1)),""))</f>
        <v/>
      </c>
      <c r="Y237" t="str">
        <f>IF(OR('Base Encuesta'!AG211="",IFERROR(VALUE(LEFT('Base Encuesta'!K211,1)),"")&gt;=3),"",IF(W237=1,VALUE(LEFT('Base Encuesta'!AG211,1)),""))</f>
        <v/>
      </c>
      <c r="Z237" t="str">
        <f>IF(OR('Base Encuesta'!AH211="",IFERROR(VALUE(LEFT('Base Encuesta'!K211,1)),"")&gt;=3),"",IF(W237=1,VALUE(LEFT('Base Encuesta'!AH211,1)),""))</f>
        <v/>
      </c>
      <c r="AA237" t="str">
        <f>IF(OR('Base Encuesta'!AI211="",IFERROR(VALUE(LEFT('Base Encuesta'!K211,1)),"")&gt;=3),"",IF(W237=1,VALUE(LEFT('Base Encuesta'!AI211,1)),""))</f>
        <v/>
      </c>
      <c r="AB237" t="str">
        <f>IF(OR('Base Encuesta'!AJ211="",IFERROR(VALUE(LEFT('Base Encuesta'!K211,1)),"")&gt;=3),"",IF(W237=1,VALUE(LEFT('Base Encuesta'!AJ211,1)),""))</f>
        <v/>
      </c>
      <c r="AC237" t="str">
        <f>IF(OR('Base Encuesta'!AL211="",IFERROR(VALUE(LEFT('Base Encuesta'!K211,1)),"")&gt;=3),"",VALUE(LEFT('Base Encuesta'!AL211,1)))</f>
        <v/>
      </c>
      <c r="AD237" t="str">
        <f>IF(OR('Base Encuesta'!AM211="",IFERROR(VALUE(LEFT('Base Encuesta'!K211,1)),"")&gt;=3),"",VALUE(LEFT('Base Encuesta'!AM211,1)))</f>
        <v/>
      </c>
      <c r="AE237" t="str">
        <f>IF(OR('Base Encuesta'!AN211="",IFERROR(VALUE(LEFT('Base Encuesta'!K211,1)),"")&gt;=3),"",VALUE(LEFT('Base Encuesta'!AN211,1)))</f>
        <v/>
      </c>
      <c r="AF237" t="str">
        <f>IF(OR('Base Encuesta'!AO211="",IFERROR(VALUE(LEFT('Base Encuesta'!K211,1)),"")&gt;=3),"",VALUE(LEFT('Base Encuesta'!AO211,1)))</f>
        <v/>
      </c>
      <c r="AG237" t="str">
        <f>IF(OR('Base Encuesta'!AQ211="",IFERROR(VALUE(LEFT('Base Encuesta'!K211,1)),"")&gt;=3),"",VALUE(LEFT('Base Encuesta'!AQ211,1)))</f>
        <v/>
      </c>
      <c r="AH237" t="str">
        <f>IF(OR('Base Encuesta'!AR211="",IFERROR(VALUE(LEFT('Base Encuesta'!K211,1)),"")&gt;=3),"",VALUE(LEFT('Base Encuesta'!AR211,1)))</f>
        <v/>
      </c>
    </row>
    <row r="238" spans="1:34">
      <c r="A238" t="str">
        <f>IF('Base Encuesta'!C212="","",'Base Encuesta'!C212)</f>
        <v/>
      </c>
      <c r="B238" t="str">
        <f>IF('Base Encuesta'!D212="","",'Base Encuesta'!D212)</f>
        <v/>
      </c>
      <c r="C238" t="str">
        <f>IF('Base Encuesta'!E212="","",'Base Encuesta'!E212)</f>
        <v/>
      </c>
      <c r="D238" t="str">
        <f>IF('Base Encuesta'!F212="","",'Base Encuesta'!F212)</f>
        <v/>
      </c>
      <c r="E238" t="str">
        <f>IF('Base Encuesta'!G212="","",'Base Encuesta'!G212)</f>
        <v/>
      </c>
      <c r="F238" t="str">
        <f>IF('Base Encuesta'!H212="","",'Base Encuesta'!H212)</f>
        <v/>
      </c>
      <c r="G238" t="str">
        <f>IF('Base Encuesta'!I212="","",'Base Encuesta'!I212)</f>
        <v/>
      </c>
      <c r="H238" t="str">
        <f>IF('Base Encuesta'!J212="","",'Base Encuesta'!J212)</f>
        <v/>
      </c>
      <c r="I238" t="str">
        <f>IF('Base Encuesta'!K212="","",'Base Encuesta'!K212)</f>
        <v/>
      </c>
      <c r="J238" t="str">
        <f>IF(OR('Base Encuesta'!P212="",IFERROR(VALUE(LEFT('Base Encuesta'!K212,1)),"")&gt;=3),"",PROPER(TRIM('Base Encuesta'!P212)))</f>
        <v/>
      </c>
      <c r="K238" t="str">
        <f>IF(OR('Base Encuesta'!Q212="",IFERROR(VALUE(LEFT('Base Encuesta'!K212,1)),"")&gt;=3),"",'Base Encuesta'!Q212)</f>
        <v/>
      </c>
      <c r="L238" t="str">
        <f>IF(OR('Base Encuesta'!R212="",IFERROR(VALUE(LEFT('Base Encuesta'!K212,1)),"")&gt;=3),"",VALUE(LEFT('Base Encuesta'!R212,1)))</f>
        <v/>
      </c>
      <c r="M238" t="str">
        <f>IF(OR('Base Encuesta'!S212="",IFERROR(VALUE(LEFT('Base Encuesta'!K212,1)),"")&gt;=3),"",VALUE(LEFT('Base Encuesta'!S212,1)))</f>
        <v/>
      </c>
      <c r="N238" t="str">
        <f>IF(OR('Base Encuesta'!T212="",IFERROR(VALUE(LEFT('Base Encuesta'!K212,1)),"")&gt;=3),"",VALUE(LEFT('Base Encuesta'!T212,1)))</f>
        <v/>
      </c>
      <c r="O238" t="str">
        <f>IF(OR('Base Encuesta'!V212="",IFERROR(VALUE(LEFT('Base Encuesta'!K212,1)),"")&gt;=3),"",VALUE(LEFT('Base Encuesta'!V212,1)))</f>
        <v/>
      </c>
      <c r="P238" t="str">
        <f>IF(OR('Base Encuesta'!W212="",IFERROR(VALUE(LEFT('Base Encuesta'!K212,1)),"")&gt;=3),"",VALUE(LEFT('Base Encuesta'!W212,1)))</f>
        <v/>
      </c>
      <c r="Q238" t="str">
        <f>IF(OR('Base Encuesta'!X212="",IFERROR(VALUE(LEFT('Base Encuesta'!K212,1)),"")&gt;=3),"",VALUE(LEFT('Base Encuesta'!X212,1)))</f>
        <v/>
      </c>
      <c r="R238" t="str">
        <f>IF(OR('Base Encuesta'!Y212="",IFERROR(VALUE(LEFT('Base Encuesta'!K212,1)),"")&gt;=3),"",VALUE(LEFT('Base Encuesta'!Y212,1)))</f>
        <v/>
      </c>
      <c r="S238" t="str">
        <f>IF(OR('Base Encuesta'!Z212="",IFERROR(VALUE(LEFT('Base Encuesta'!K212,1)),"")&gt;=3),"",VALUE(LEFT('Base Encuesta'!Z212,1)))</f>
        <v/>
      </c>
      <c r="T238" t="str">
        <f>IF(OR('Base Encuesta'!AA212="",IFERROR(VALUE(LEFT('Base Encuesta'!K212,1)),"")&gt;=3),"",VALUE(LEFT('Base Encuesta'!AA212,1)))</f>
        <v/>
      </c>
      <c r="U238" t="str">
        <f>IF(OR('Base Encuesta'!AB212="",IFERROR(VALUE(LEFT('Base Encuesta'!K212,1)),"")&gt;=3),"",VALUE(LEFT('Base Encuesta'!AB212,1)))</f>
        <v/>
      </c>
      <c r="V238" t="str">
        <f>IF(OR('Base Encuesta'!AC212="",IFERROR(VALUE(LEFT('Base Encuesta'!K212,1)),"")&gt;=3),"",VALUE(LEFT('Base Encuesta'!AC212,1)))</f>
        <v/>
      </c>
      <c r="W238" t="str">
        <f>IF(OR('Base Encuesta'!AE212="",IFERROR(VALUE(LEFT('Base Encuesta'!K212,1)),"")&gt;=3),"",VALUE(LEFT('Base Encuesta'!AE212,1)))</f>
        <v/>
      </c>
      <c r="X238" t="str">
        <f>IF(OR('Base Encuesta'!AF212="",IFERROR(VALUE(LEFT('Base Encuesta'!K212,1)),"")&gt;=3),"",IF(W238=1,VALUE(LEFT('Base Encuesta'!AF212,1)),""))</f>
        <v/>
      </c>
      <c r="Y238" t="str">
        <f>IF(OR('Base Encuesta'!AG212="",IFERROR(VALUE(LEFT('Base Encuesta'!K212,1)),"")&gt;=3),"",IF(W238=1,VALUE(LEFT('Base Encuesta'!AG212,1)),""))</f>
        <v/>
      </c>
      <c r="Z238" t="str">
        <f>IF(OR('Base Encuesta'!AH212="",IFERROR(VALUE(LEFT('Base Encuesta'!K212,1)),"")&gt;=3),"",IF(W238=1,VALUE(LEFT('Base Encuesta'!AH212,1)),""))</f>
        <v/>
      </c>
      <c r="AA238" t="str">
        <f>IF(OR('Base Encuesta'!AI212="",IFERROR(VALUE(LEFT('Base Encuesta'!K212,1)),"")&gt;=3),"",IF(W238=1,VALUE(LEFT('Base Encuesta'!AI212,1)),""))</f>
        <v/>
      </c>
      <c r="AB238" t="str">
        <f>IF(OR('Base Encuesta'!AJ212="",IFERROR(VALUE(LEFT('Base Encuesta'!K212,1)),"")&gt;=3),"",IF(W238=1,VALUE(LEFT('Base Encuesta'!AJ212,1)),""))</f>
        <v/>
      </c>
      <c r="AC238" t="str">
        <f>IF(OR('Base Encuesta'!AL212="",IFERROR(VALUE(LEFT('Base Encuesta'!K212,1)),"")&gt;=3),"",VALUE(LEFT('Base Encuesta'!AL212,1)))</f>
        <v/>
      </c>
      <c r="AD238" t="str">
        <f>IF(OR('Base Encuesta'!AM212="",IFERROR(VALUE(LEFT('Base Encuesta'!K212,1)),"")&gt;=3),"",VALUE(LEFT('Base Encuesta'!AM212,1)))</f>
        <v/>
      </c>
      <c r="AE238" t="str">
        <f>IF(OR('Base Encuesta'!AN212="",IFERROR(VALUE(LEFT('Base Encuesta'!K212,1)),"")&gt;=3),"",VALUE(LEFT('Base Encuesta'!AN212,1)))</f>
        <v/>
      </c>
      <c r="AF238" t="str">
        <f>IF(OR('Base Encuesta'!AO212="",IFERROR(VALUE(LEFT('Base Encuesta'!K212,1)),"")&gt;=3),"",VALUE(LEFT('Base Encuesta'!AO212,1)))</f>
        <v/>
      </c>
      <c r="AG238" t="str">
        <f>IF(OR('Base Encuesta'!AQ212="",IFERROR(VALUE(LEFT('Base Encuesta'!K212,1)),"")&gt;=3),"",VALUE(LEFT('Base Encuesta'!AQ212,1)))</f>
        <v/>
      </c>
      <c r="AH238" t="str">
        <f>IF(OR('Base Encuesta'!AR212="",IFERROR(VALUE(LEFT('Base Encuesta'!K212,1)),"")&gt;=3),"",VALUE(LEFT('Base Encuesta'!AR212,1)))</f>
        <v/>
      </c>
    </row>
    <row r="239" spans="1:34">
      <c r="A239" t="str">
        <f>IF('Base Encuesta'!C213="","",'Base Encuesta'!C213)</f>
        <v/>
      </c>
      <c r="B239" t="str">
        <f>IF('Base Encuesta'!D213="","",'Base Encuesta'!D213)</f>
        <v/>
      </c>
      <c r="C239" t="str">
        <f>IF('Base Encuesta'!E213="","",'Base Encuesta'!E213)</f>
        <v/>
      </c>
      <c r="D239" t="str">
        <f>IF('Base Encuesta'!F213="","",'Base Encuesta'!F213)</f>
        <v/>
      </c>
      <c r="E239" t="str">
        <f>IF('Base Encuesta'!G213="","",'Base Encuesta'!G213)</f>
        <v/>
      </c>
      <c r="F239" t="str">
        <f>IF('Base Encuesta'!H213="","",'Base Encuesta'!H213)</f>
        <v/>
      </c>
      <c r="G239" t="str">
        <f>IF('Base Encuesta'!I213="","",'Base Encuesta'!I213)</f>
        <v/>
      </c>
      <c r="H239" t="str">
        <f>IF('Base Encuesta'!J213="","",'Base Encuesta'!J213)</f>
        <v/>
      </c>
      <c r="I239" t="str">
        <f>IF('Base Encuesta'!K213="","",'Base Encuesta'!K213)</f>
        <v/>
      </c>
      <c r="J239" t="str">
        <f>IF(OR('Base Encuesta'!P213="",IFERROR(VALUE(LEFT('Base Encuesta'!K213,1)),"")&gt;=3),"",PROPER(TRIM('Base Encuesta'!P213)))</f>
        <v/>
      </c>
      <c r="K239" t="str">
        <f>IF(OR('Base Encuesta'!Q213="",IFERROR(VALUE(LEFT('Base Encuesta'!K213,1)),"")&gt;=3),"",'Base Encuesta'!Q213)</f>
        <v/>
      </c>
      <c r="L239" t="str">
        <f>IF(OR('Base Encuesta'!R213="",IFERROR(VALUE(LEFT('Base Encuesta'!K213,1)),"")&gt;=3),"",VALUE(LEFT('Base Encuesta'!R213,1)))</f>
        <v/>
      </c>
      <c r="M239" t="str">
        <f>IF(OR('Base Encuesta'!S213="",IFERROR(VALUE(LEFT('Base Encuesta'!K213,1)),"")&gt;=3),"",VALUE(LEFT('Base Encuesta'!S213,1)))</f>
        <v/>
      </c>
      <c r="N239" t="str">
        <f>IF(OR('Base Encuesta'!T213="",IFERROR(VALUE(LEFT('Base Encuesta'!K213,1)),"")&gt;=3),"",VALUE(LEFT('Base Encuesta'!T213,1)))</f>
        <v/>
      </c>
      <c r="O239" t="str">
        <f>IF(OR('Base Encuesta'!V213="",IFERROR(VALUE(LEFT('Base Encuesta'!K213,1)),"")&gt;=3),"",VALUE(LEFT('Base Encuesta'!V213,1)))</f>
        <v/>
      </c>
      <c r="P239" t="str">
        <f>IF(OR('Base Encuesta'!W213="",IFERROR(VALUE(LEFT('Base Encuesta'!K213,1)),"")&gt;=3),"",VALUE(LEFT('Base Encuesta'!W213,1)))</f>
        <v/>
      </c>
      <c r="Q239" t="str">
        <f>IF(OR('Base Encuesta'!X213="",IFERROR(VALUE(LEFT('Base Encuesta'!K213,1)),"")&gt;=3),"",VALUE(LEFT('Base Encuesta'!X213,1)))</f>
        <v/>
      </c>
      <c r="R239" t="str">
        <f>IF(OR('Base Encuesta'!Y213="",IFERROR(VALUE(LEFT('Base Encuesta'!K213,1)),"")&gt;=3),"",VALUE(LEFT('Base Encuesta'!Y213,1)))</f>
        <v/>
      </c>
      <c r="S239" t="str">
        <f>IF(OR('Base Encuesta'!Z213="",IFERROR(VALUE(LEFT('Base Encuesta'!K213,1)),"")&gt;=3),"",VALUE(LEFT('Base Encuesta'!Z213,1)))</f>
        <v/>
      </c>
      <c r="T239" t="str">
        <f>IF(OR('Base Encuesta'!AA213="",IFERROR(VALUE(LEFT('Base Encuesta'!K213,1)),"")&gt;=3),"",VALUE(LEFT('Base Encuesta'!AA213,1)))</f>
        <v/>
      </c>
      <c r="U239" t="str">
        <f>IF(OR('Base Encuesta'!AB213="",IFERROR(VALUE(LEFT('Base Encuesta'!K213,1)),"")&gt;=3),"",VALUE(LEFT('Base Encuesta'!AB213,1)))</f>
        <v/>
      </c>
      <c r="V239" t="str">
        <f>IF(OR('Base Encuesta'!AC213="",IFERROR(VALUE(LEFT('Base Encuesta'!K213,1)),"")&gt;=3),"",VALUE(LEFT('Base Encuesta'!AC213,1)))</f>
        <v/>
      </c>
      <c r="W239" t="str">
        <f>IF(OR('Base Encuesta'!AE213="",IFERROR(VALUE(LEFT('Base Encuesta'!K213,1)),"")&gt;=3),"",VALUE(LEFT('Base Encuesta'!AE213,1)))</f>
        <v/>
      </c>
      <c r="X239" t="str">
        <f>IF(OR('Base Encuesta'!AF213="",IFERROR(VALUE(LEFT('Base Encuesta'!K213,1)),"")&gt;=3),"",IF(W239=1,VALUE(LEFT('Base Encuesta'!AF213,1)),""))</f>
        <v/>
      </c>
      <c r="Y239" t="str">
        <f>IF(OR('Base Encuesta'!AG213="",IFERROR(VALUE(LEFT('Base Encuesta'!K213,1)),"")&gt;=3),"",IF(W239=1,VALUE(LEFT('Base Encuesta'!AG213,1)),""))</f>
        <v/>
      </c>
      <c r="Z239" t="str">
        <f>IF(OR('Base Encuesta'!AH213="",IFERROR(VALUE(LEFT('Base Encuesta'!K213,1)),"")&gt;=3),"",IF(W239=1,VALUE(LEFT('Base Encuesta'!AH213,1)),""))</f>
        <v/>
      </c>
      <c r="AA239" t="str">
        <f>IF(OR('Base Encuesta'!AI213="",IFERROR(VALUE(LEFT('Base Encuesta'!K213,1)),"")&gt;=3),"",IF(W239=1,VALUE(LEFT('Base Encuesta'!AI213,1)),""))</f>
        <v/>
      </c>
      <c r="AB239" t="str">
        <f>IF(OR('Base Encuesta'!AJ213="",IFERROR(VALUE(LEFT('Base Encuesta'!K213,1)),"")&gt;=3),"",IF(W239=1,VALUE(LEFT('Base Encuesta'!AJ213,1)),""))</f>
        <v/>
      </c>
      <c r="AC239" t="str">
        <f>IF(OR('Base Encuesta'!AL213="",IFERROR(VALUE(LEFT('Base Encuesta'!K213,1)),"")&gt;=3),"",VALUE(LEFT('Base Encuesta'!AL213,1)))</f>
        <v/>
      </c>
      <c r="AD239" t="str">
        <f>IF(OR('Base Encuesta'!AM213="",IFERROR(VALUE(LEFT('Base Encuesta'!K213,1)),"")&gt;=3),"",VALUE(LEFT('Base Encuesta'!AM213,1)))</f>
        <v/>
      </c>
      <c r="AE239" t="str">
        <f>IF(OR('Base Encuesta'!AN213="",IFERROR(VALUE(LEFT('Base Encuesta'!K213,1)),"")&gt;=3),"",VALUE(LEFT('Base Encuesta'!AN213,1)))</f>
        <v/>
      </c>
      <c r="AF239" t="str">
        <f>IF(OR('Base Encuesta'!AO213="",IFERROR(VALUE(LEFT('Base Encuesta'!K213,1)),"")&gt;=3),"",VALUE(LEFT('Base Encuesta'!AO213,1)))</f>
        <v/>
      </c>
      <c r="AG239" t="str">
        <f>IF(OR('Base Encuesta'!AQ213="",IFERROR(VALUE(LEFT('Base Encuesta'!K213,1)),"")&gt;=3),"",VALUE(LEFT('Base Encuesta'!AQ213,1)))</f>
        <v/>
      </c>
      <c r="AH239" t="str">
        <f>IF(OR('Base Encuesta'!AR213="",IFERROR(VALUE(LEFT('Base Encuesta'!K213,1)),"")&gt;=3),"",VALUE(LEFT('Base Encuesta'!AR213,1)))</f>
        <v/>
      </c>
    </row>
    <row r="240" spans="1:34">
      <c r="A240" t="str">
        <f>IF('Base Encuesta'!C214="","",'Base Encuesta'!C214)</f>
        <v/>
      </c>
      <c r="B240" t="str">
        <f>IF('Base Encuesta'!D214="","",'Base Encuesta'!D214)</f>
        <v/>
      </c>
      <c r="C240" t="str">
        <f>IF('Base Encuesta'!E214="","",'Base Encuesta'!E214)</f>
        <v/>
      </c>
      <c r="D240" t="str">
        <f>IF('Base Encuesta'!F214="","",'Base Encuesta'!F214)</f>
        <v/>
      </c>
      <c r="E240" t="str">
        <f>IF('Base Encuesta'!G214="","",'Base Encuesta'!G214)</f>
        <v/>
      </c>
      <c r="F240" t="str">
        <f>IF('Base Encuesta'!H214="","",'Base Encuesta'!H214)</f>
        <v/>
      </c>
      <c r="G240" t="str">
        <f>IF('Base Encuesta'!I214="","",'Base Encuesta'!I214)</f>
        <v/>
      </c>
      <c r="H240" t="str">
        <f>IF('Base Encuesta'!J214="","",'Base Encuesta'!J214)</f>
        <v/>
      </c>
      <c r="I240" t="str">
        <f>IF('Base Encuesta'!K214="","",'Base Encuesta'!K214)</f>
        <v/>
      </c>
      <c r="J240" t="str">
        <f>IF(OR('Base Encuesta'!P214="",IFERROR(VALUE(LEFT('Base Encuesta'!K214,1)),"")&gt;=3),"",PROPER(TRIM('Base Encuesta'!P214)))</f>
        <v/>
      </c>
      <c r="K240" t="str">
        <f>IF(OR('Base Encuesta'!Q214="",IFERROR(VALUE(LEFT('Base Encuesta'!K214,1)),"")&gt;=3),"",'Base Encuesta'!Q214)</f>
        <v/>
      </c>
      <c r="L240" t="str">
        <f>IF(OR('Base Encuesta'!R214="",IFERROR(VALUE(LEFT('Base Encuesta'!K214,1)),"")&gt;=3),"",VALUE(LEFT('Base Encuesta'!R214,1)))</f>
        <v/>
      </c>
      <c r="M240" t="str">
        <f>IF(OR('Base Encuesta'!S214="",IFERROR(VALUE(LEFT('Base Encuesta'!K214,1)),"")&gt;=3),"",VALUE(LEFT('Base Encuesta'!S214,1)))</f>
        <v/>
      </c>
      <c r="N240" t="str">
        <f>IF(OR('Base Encuesta'!T214="",IFERROR(VALUE(LEFT('Base Encuesta'!K214,1)),"")&gt;=3),"",VALUE(LEFT('Base Encuesta'!T214,1)))</f>
        <v/>
      </c>
      <c r="O240" t="str">
        <f>IF(OR('Base Encuesta'!V214="",IFERROR(VALUE(LEFT('Base Encuesta'!K214,1)),"")&gt;=3),"",VALUE(LEFT('Base Encuesta'!V214,1)))</f>
        <v/>
      </c>
      <c r="P240" t="str">
        <f>IF(OR('Base Encuesta'!W214="",IFERROR(VALUE(LEFT('Base Encuesta'!K214,1)),"")&gt;=3),"",VALUE(LEFT('Base Encuesta'!W214,1)))</f>
        <v/>
      </c>
      <c r="Q240" t="str">
        <f>IF(OR('Base Encuesta'!X214="",IFERROR(VALUE(LEFT('Base Encuesta'!K214,1)),"")&gt;=3),"",VALUE(LEFT('Base Encuesta'!X214,1)))</f>
        <v/>
      </c>
      <c r="R240" t="str">
        <f>IF(OR('Base Encuesta'!Y214="",IFERROR(VALUE(LEFT('Base Encuesta'!K214,1)),"")&gt;=3),"",VALUE(LEFT('Base Encuesta'!Y214,1)))</f>
        <v/>
      </c>
      <c r="S240" t="str">
        <f>IF(OR('Base Encuesta'!Z214="",IFERROR(VALUE(LEFT('Base Encuesta'!K214,1)),"")&gt;=3),"",VALUE(LEFT('Base Encuesta'!Z214,1)))</f>
        <v/>
      </c>
      <c r="T240" t="str">
        <f>IF(OR('Base Encuesta'!AA214="",IFERROR(VALUE(LEFT('Base Encuesta'!K214,1)),"")&gt;=3),"",VALUE(LEFT('Base Encuesta'!AA214,1)))</f>
        <v/>
      </c>
      <c r="U240" t="str">
        <f>IF(OR('Base Encuesta'!AB214="",IFERROR(VALUE(LEFT('Base Encuesta'!K214,1)),"")&gt;=3),"",VALUE(LEFT('Base Encuesta'!AB214,1)))</f>
        <v/>
      </c>
      <c r="V240" t="str">
        <f>IF(OR('Base Encuesta'!AC214="",IFERROR(VALUE(LEFT('Base Encuesta'!K214,1)),"")&gt;=3),"",VALUE(LEFT('Base Encuesta'!AC214,1)))</f>
        <v/>
      </c>
      <c r="W240" t="str">
        <f>IF(OR('Base Encuesta'!AE214="",IFERROR(VALUE(LEFT('Base Encuesta'!K214,1)),"")&gt;=3),"",VALUE(LEFT('Base Encuesta'!AE214,1)))</f>
        <v/>
      </c>
      <c r="X240" t="str">
        <f>IF(OR('Base Encuesta'!AF214="",IFERROR(VALUE(LEFT('Base Encuesta'!K214,1)),"")&gt;=3),"",IF(W240=1,VALUE(LEFT('Base Encuesta'!AF214,1)),""))</f>
        <v/>
      </c>
      <c r="Y240" t="str">
        <f>IF(OR('Base Encuesta'!AG214="",IFERROR(VALUE(LEFT('Base Encuesta'!K214,1)),"")&gt;=3),"",IF(W240=1,VALUE(LEFT('Base Encuesta'!AG214,1)),""))</f>
        <v/>
      </c>
      <c r="Z240" t="str">
        <f>IF(OR('Base Encuesta'!AH214="",IFERROR(VALUE(LEFT('Base Encuesta'!K214,1)),"")&gt;=3),"",IF(W240=1,VALUE(LEFT('Base Encuesta'!AH214,1)),""))</f>
        <v/>
      </c>
      <c r="AA240" t="str">
        <f>IF(OR('Base Encuesta'!AI214="",IFERROR(VALUE(LEFT('Base Encuesta'!K214,1)),"")&gt;=3),"",IF(W240=1,VALUE(LEFT('Base Encuesta'!AI214,1)),""))</f>
        <v/>
      </c>
      <c r="AB240" t="str">
        <f>IF(OR('Base Encuesta'!AJ214="",IFERROR(VALUE(LEFT('Base Encuesta'!K214,1)),"")&gt;=3),"",IF(W240=1,VALUE(LEFT('Base Encuesta'!AJ214,1)),""))</f>
        <v/>
      </c>
      <c r="AC240" t="str">
        <f>IF(OR('Base Encuesta'!AL214="",IFERROR(VALUE(LEFT('Base Encuesta'!K214,1)),"")&gt;=3),"",VALUE(LEFT('Base Encuesta'!AL214,1)))</f>
        <v/>
      </c>
      <c r="AD240" t="str">
        <f>IF(OR('Base Encuesta'!AM214="",IFERROR(VALUE(LEFT('Base Encuesta'!K214,1)),"")&gt;=3),"",VALUE(LEFT('Base Encuesta'!AM214,1)))</f>
        <v/>
      </c>
      <c r="AE240" t="str">
        <f>IF(OR('Base Encuesta'!AN214="",IFERROR(VALUE(LEFT('Base Encuesta'!K214,1)),"")&gt;=3),"",VALUE(LEFT('Base Encuesta'!AN214,1)))</f>
        <v/>
      </c>
      <c r="AF240" t="str">
        <f>IF(OR('Base Encuesta'!AO214="",IFERROR(VALUE(LEFT('Base Encuesta'!K214,1)),"")&gt;=3),"",VALUE(LEFT('Base Encuesta'!AO214,1)))</f>
        <v/>
      </c>
      <c r="AG240" t="str">
        <f>IF(OR('Base Encuesta'!AQ214="",IFERROR(VALUE(LEFT('Base Encuesta'!K214,1)),"")&gt;=3),"",VALUE(LEFT('Base Encuesta'!AQ214,1)))</f>
        <v/>
      </c>
      <c r="AH240" t="str">
        <f>IF(OR('Base Encuesta'!AR214="",IFERROR(VALUE(LEFT('Base Encuesta'!K214,1)),"")&gt;=3),"",VALUE(LEFT('Base Encuesta'!AR214,1)))</f>
        <v/>
      </c>
    </row>
    <row r="241" spans="1:34">
      <c r="A241" t="str">
        <f>IF('Base Encuesta'!C215="","",'Base Encuesta'!C215)</f>
        <v/>
      </c>
      <c r="B241" t="str">
        <f>IF('Base Encuesta'!D215="","",'Base Encuesta'!D215)</f>
        <v/>
      </c>
      <c r="C241" t="str">
        <f>IF('Base Encuesta'!E215="","",'Base Encuesta'!E215)</f>
        <v/>
      </c>
      <c r="D241" t="str">
        <f>IF('Base Encuesta'!F215="","",'Base Encuesta'!F215)</f>
        <v/>
      </c>
      <c r="E241" t="str">
        <f>IF('Base Encuesta'!G215="","",'Base Encuesta'!G215)</f>
        <v/>
      </c>
      <c r="F241" t="str">
        <f>IF('Base Encuesta'!H215="","",'Base Encuesta'!H215)</f>
        <v/>
      </c>
      <c r="G241" t="str">
        <f>IF('Base Encuesta'!I215="","",'Base Encuesta'!I215)</f>
        <v/>
      </c>
      <c r="H241" t="str">
        <f>IF('Base Encuesta'!J215="","",'Base Encuesta'!J215)</f>
        <v/>
      </c>
      <c r="I241" t="str">
        <f>IF('Base Encuesta'!K215="","",'Base Encuesta'!K215)</f>
        <v/>
      </c>
      <c r="J241" t="str">
        <f>IF(OR('Base Encuesta'!P215="",IFERROR(VALUE(LEFT('Base Encuesta'!K215,1)),"")&gt;=3),"",PROPER(TRIM('Base Encuesta'!P215)))</f>
        <v/>
      </c>
      <c r="K241" t="str">
        <f>IF(OR('Base Encuesta'!Q215="",IFERROR(VALUE(LEFT('Base Encuesta'!K215,1)),"")&gt;=3),"",'Base Encuesta'!Q215)</f>
        <v/>
      </c>
      <c r="L241" t="str">
        <f>IF(OR('Base Encuesta'!R215="",IFERROR(VALUE(LEFT('Base Encuesta'!K215,1)),"")&gt;=3),"",VALUE(LEFT('Base Encuesta'!R215,1)))</f>
        <v/>
      </c>
      <c r="M241" t="str">
        <f>IF(OR('Base Encuesta'!S215="",IFERROR(VALUE(LEFT('Base Encuesta'!K215,1)),"")&gt;=3),"",VALUE(LEFT('Base Encuesta'!S215,1)))</f>
        <v/>
      </c>
      <c r="N241" t="str">
        <f>IF(OR('Base Encuesta'!T215="",IFERROR(VALUE(LEFT('Base Encuesta'!K215,1)),"")&gt;=3),"",VALUE(LEFT('Base Encuesta'!T215,1)))</f>
        <v/>
      </c>
      <c r="O241" t="str">
        <f>IF(OR('Base Encuesta'!V215="",IFERROR(VALUE(LEFT('Base Encuesta'!K215,1)),"")&gt;=3),"",VALUE(LEFT('Base Encuesta'!V215,1)))</f>
        <v/>
      </c>
      <c r="P241" t="str">
        <f>IF(OR('Base Encuesta'!W215="",IFERROR(VALUE(LEFT('Base Encuesta'!K215,1)),"")&gt;=3),"",VALUE(LEFT('Base Encuesta'!W215,1)))</f>
        <v/>
      </c>
      <c r="Q241" t="str">
        <f>IF(OR('Base Encuesta'!X215="",IFERROR(VALUE(LEFT('Base Encuesta'!K215,1)),"")&gt;=3),"",VALUE(LEFT('Base Encuesta'!X215,1)))</f>
        <v/>
      </c>
      <c r="R241" t="str">
        <f>IF(OR('Base Encuesta'!Y215="",IFERROR(VALUE(LEFT('Base Encuesta'!K215,1)),"")&gt;=3),"",VALUE(LEFT('Base Encuesta'!Y215,1)))</f>
        <v/>
      </c>
      <c r="S241" t="str">
        <f>IF(OR('Base Encuesta'!Z215="",IFERROR(VALUE(LEFT('Base Encuesta'!K215,1)),"")&gt;=3),"",VALUE(LEFT('Base Encuesta'!Z215,1)))</f>
        <v/>
      </c>
      <c r="T241" t="str">
        <f>IF(OR('Base Encuesta'!AA215="",IFERROR(VALUE(LEFT('Base Encuesta'!K215,1)),"")&gt;=3),"",VALUE(LEFT('Base Encuesta'!AA215,1)))</f>
        <v/>
      </c>
      <c r="U241" t="str">
        <f>IF(OR('Base Encuesta'!AB215="",IFERROR(VALUE(LEFT('Base Encuesta'!K215,1)),"")&gt;=3),"",VALUE(LEFT('Base Encuesta'!AB215,1)))</f>
        <v/>
      </c>
      <c r="V241" t="str">
        <f>IF(OR('Base Encuesta'!AC215="",IFERROR(VALUE(LEFT('Base Encuesta'!K215,1)),"")&gt;=3),"",VALUE(LEFT('Base Encuesta'!AC215,1)))</f>
        <v/>
      </c>
      <c r="W241" t="str">
        <f>IF(OR('Base Encuesta'!AE215="",IFERROR(VALUE(LEFT('Base Encuesta'!K215,1)),"")&gt;=3),"",VALUE(LEFT('Base Encuesta'!AE215,1)))</f>
        <v/>
      </c>
      <c r="X241" t="str">
        <f>IF(OR('Base Encuesta'!AF215="",IFERROR(VALUE(LEFT('Base Encuesta'!K215,1)),"")&gt;=3),"",IF(W241=1,VALUE(LEFT('Base Encuesta'!AF215,1)),""))</f>
        <v/>
      </c>
      <c r="Y241" t="str">
        <f>IF(OR('Base Encuesta'!AG215="",IFERROR(VALUE(LEFT('Base Encuesta'!K215,1)),"")&gt;=3),"",IF(W241=1,VALUE(LEFT('Base Encuesta'!AG215,1)),""))</f>
        <v/>
      </c>
      <c r="Z241" t="str">
        <f>IF(OR('Base Encuesta'!AH215="",IFERROR(VALUE(LEFT('Base Encuesta'!K215,1)),"")&gt;=3),"",IF(W241=1,VALUE(LEFT('Base Encuesta'!AH215,1)),""))</f>
        <v/>
      </c>
      <c r="AA241" t="str">
        <f>IF(OR('Base Encuesta'!AI215="",IFERROR(VALUE(LEFT('Base Encuesta'!K215,1)),"")&gt;=3),"",IF(W241=1,VALUE(LEFT('Base Encuesta'!AI215,1)),""))</f>
        <v/>
      </c>
      <c r="AB241" t="str">
        <f>IF(OR('Base Encuesta'!AJ215="",IFERROR(VALUE(LEFT('Base Encuesta'!K215,1)),"")&gt;=3),"",IF(W241=1,VALUE(LEFT('Base Encuesta'!AJ215,1)),""))</f>
        <v/>
      </c>
      <c r="AC241" t="str">
        <f>IF(OR('Base Encuesta'!AL215="",IFERROR(VALUE(LEFT('Base Encuesta'!K215,1)),"")&gt;=3),"",VALUE(LEFT('Base Encuesta'!AL215,1)))</f>
        <v/>
      </c>
      <c r="AD241" t="str">
        <f>IF(OR('Base Encuesta'!AM215="",IFERROR(VALUE(LEFT('Base Encuesta'!K215,1)),"")&gt;=3),"",VALUE(LEFT('Base Encuesta'!AM215,1)))</f>
        <v/>
      </c>
      <c r="AE241" t="str">
        <f>IF(OR('Base Encuesta'!AN215="",IFERROR(VALUE(LEFT('Base Encuesta'!K215,1)),"")&gt;=3),"",VALUE(LEFT('Base Encuesta'!AN215,1)))</f>
        <v/>
      </c>
      <c r="AF241" t="str">
        <f>IF(OR('Base Encuesta'!AO215="",IFERROR(VALUE(LEFT('Base Encuesta'!K215,1)),"")&gt;=3),"",VALUE(LEFT('Base Encuesta'!AO215,1)))</f>
        <v/>
      </c>
      <c r="AG241" t="str">
        <f>IF(OR('Base Encuesta'!AQ215="",IFERROR(VALUE(LEFT('Base Encuesta'!K215,1)),"")&gt;=3),"",VALUE(LEFT('Base Encuesta'!AQ215,1)))</f>
        <v/>
      </c>
      <c r="AH241" t="str">
        <f>IF(OR('Base Encuesta'!AR215="",IFERROR(VALUE(LEFT('Base Encuesta'!K215,1)),"")&gt;=3),"",VALUE(LEFT('Base Encuesta'!AR215,1)))</f>
        <v/>
      </c>
    </row>
    <row r="242" spans="1:34">
      <c r="A242" t="str">
        <f>IF('Base Encuesta'!C216="","",'Base Encuesta'!C216)</f>
        <v/>
      </c>
      <c r="B242" t="str">
        <f>IF('Base Encuesta'!D216="","",'Base Encuesta'!D216)</f>
        <v/>
      </c>
      <c r="C242" t="str">
        <f>IF('Base Encuesta'!E216="","",'Base Encuesta'!E216)</f>
        <v/>
      </c>
      <c r="D242" t="str">
        <f>IF('Base Encuesta'!F216="","",'Base Encuesta'!F216)</f>
        <v/>
      </c>
      <c r="E242" t="str">
        <f>IF('Base Encuesta'!G216="","",'Base Encuesta'!G216)</f>
        <v/>
      </c>
      <c r="F242" t="str">
        <f>IF('Base Encuesta'!H216="","",'Base Encuesta'!H216)</f>
        <v/>
      </c>
      <c r="G242" t="str">
        <f>IF('Base Encuesta'!I216="","",'Base Encuesta'!I216)</f>
        <v/>
      </c>
      <c r="H242" t="str">
        <f>IF('Base Encuesta'!J216="","",'Base Encuesta'!J216)</f>
        <v/>
      </c>
      <c r="I242" t="str">
        <f>IF('Base Encuesta'!K216="","",'Base Encuesta'!K216)</f>
        <v/>
      </c>
      <c r="J242" t="str">
        <f>IF(OR('Base Encuesta'!P216="",IFERROR(VALUE(LEFT('Base Encuesta'!K216,1)),"")&gt;=3),"",PROPER(TRIM('Base Encuesta'!P216)))</f>
        <v/>
      </c>
      <c r="K242" t="str">
        <f>IF(OR('Base Encuesta'!Q216="",IFERROR(VALUE(LEFT('Base Encuesta'!K216,1)),"")&gt;=3),"",'Base Encuesta'!Q216)</f>
        <v/>
      </c>
      <c r="L242" t="str">
        <f>IF(OR('Base Encuesta'!R216="",IFERROR(VALUE(LEFT('Base Encuesta'!K216,1)),"")&gt;=3),"",VALUE(LEFT('Base Encuesta'!R216,1)))</f>
        <v/>
      </c>
      <c r="M242" t="str">
        <f>IF(OR('Base Encuesta'!S216="",IFERROR(VALUE(LEFT('Base Encuesta'!K216,1)),"")&gt;=3),"",VALUE(LEFT('Base Encuesta'!S216,1)))</f>
        <v/>
      </c>
      <c r="N242" t="str">
        <f>IF(OR('Base Encuesta'!T216="",IFERROR(VALUE(LEFT('Base Encuesta'!K216,1)),"")&gt;=3),"",VALUE(LEFT('Base Encuesta'!T216,1)))</f>
        <v/>
      </c>
      <c r="O242" t="str">
        <f>IF(OR('Base Encuesta'!V216="",IFERROR(VALUE(LEFT('Base Encuesta'!K216,1)),"")&gt;=3),"",VALUE(LEFT('Base Encuesta'!V216,1)))</f>
        <v/>
      </c>
      <c r="P242" t="str">
        <f>IF(OR('Base Encuesta'!W216="",IFERROR(VALUE(LEFT('Base Encuesta'!K216,1)),"")&gt;=3),"",VALUE(LEFT('Base Encuesta'!W216,1)))</f>
        <v/>
      </c>
      <c r="Q242" t="str">
        <f>IF(OR('Base Encuesta'!X216="",IFERROR(VALUE(LEFT('Base Encuesta'!K216,1)),"")&gt;=3),"",VALUE(LEFT('Base Encuesta'!X216,1)))</f>
        <v/>
      </c>
      <c r="R242" t="str">
        <f>IF(OR('Base Encuesta'!Y216="",IFERROR(VALUE(LEFT('Base Encuesta'!K216,1)),"")&gt;=3),"",VALUE(LEFT('Base Encuesta'!Y216,1)))</f>
        <v/>
      </c>
      <c r="S242" t="str">
        <f>IF(OR('Base Encuesta'!Z216="",IFERROR(VALUE(LEFT('Base Encuesta'!K216,1)),"")&gt;=3),"",VALUE(LEFT('Base Encuesta'!Z216,1)))</f>
        <v/>
      </c>
      <c r="T242" t="str">
        <f>IF(OR('Base Encuesta'!AA216="",IFERROR(VALUE(LEFT('Base Encuesta'!K216,1)),"")&gt;=3),"",VALUE(LEFT('Base Encuesta'!AA216,1)))</f>
        <v/>
      </c>
      <c r="U242" t="str">
        <f>IF(OR('Base Encuesta'!AB216="",IFERROR(VALUE(LEFT('Base Encuesta'!K216,1)),"")&gt;=3),"",VALUE(LEFT('Base Encuesta'!AB216,1)))</f>
        <v/>
      </c>
      <c r="V242" t="str">
        <f>IF(OR('Base Encuesta'!AC216="",IFERROR(VALUE(LEFT('Base Encuesta'!K216,1)),"")&gt;=3),"",VALUE(LEFT('Base Encuesta'!AC216,1)))</f>
        <v/>
      </c>
      <c r="W242" t="str">
        <f>IF(OR('Base Encuesta'!AE216="",IFERROR(VALUE(LEFT('Base Encuesta'!K216,1)),"")&gt;=3),"",VALUE(LEFT('Base Encuesta'!AE216,1)))</f>
        <v/>
      </c>
      <c r="X242" t="str">
        <f>IF(OR('Base Encuesta'!AF216="",IFERROR(VALUE(LEFT('Base Encuesta'!K216,1)),"")&gt;=3),"",IF(W242=1,VALUE(LEFT('Base Encuesta'!AF216,1)),""))</f>
        <v/>
      </c>
      <c r="Y242" t="str">
        <f>IF(OR('Base Encuesta'!AG216="",IFERROR(VALUE(LEFT('Base Encuesta'!K216,1)),"")&gt;=3),"",IF(W242=1,VALUE(LEFT('Base Encuesta'!AG216,1)),""))</f>
        <v/>
      </c>
      <c r="Z242" t="str">
        <f>IF(OR('Base Encuesta'!AH216="",IFERROR(VALUE(LEFT('Base Encuesta'!K216,1)),"")&gt;=3),"",IF(W242=1,VALUE(LEFT('Base Encuesta'!AH216,1)),""))</f>
        <v/>
      </c>
      <c r="AA242" t="str">
        <f>IF(OR('Base Encuesta'!AI216="",IFERROR(VALUE(LEFT('Base Encuesta'!K216,1)),"")&gt;=3),"",IF(W242=1,VALUE(LEFT('Base Encuesta'!AI216,1)),""))</f>
        <v/>
      </c>
      <c r="AB242" t="str">
        <f>IF(OR('Base Encuesta'!AJ216="",IFERROR(VALUE(LEFT('Base Encuesta'!K216,1)),"")&gt;=3),"",IF(W242=1,VALUE(LEFT('Base Encuesta'!AJ216,1)),""))</f>
        <v/>
      </c>
      <c r="AC242" t="str">
        <f>IF(OR('Base Encuesta'!AL216="",IFERROR(VALUE(LEFT('Base Encuesta'!K216,1)),"")&gt;=3),"",VALUE(LEFT('Base Encuesta'!AL216,1)))</f>
        <v/>
      </c>
      <c r="AD242" t="str">
        <f>IF(OR('Base Encuesta'!AM216="",IFERROR(VALUE(LEFT('Base Encuesta'!K216,1)),"")&gt;=3),"",VALUE(LEFT('Base Encuesta'!AM216,1)))</f>
        <v/>
      </c>
      <c r="AE242" t="str">
        <f>IF(OR('Base Encuesta'!AN216="",IFERROR(VALUE(LEFT('Base Encuesta'!K216,1)),"")&gt;=3),"",VALUE(LEFT('Base Encuesta'!AN216,1)))</f>
        <v/>
      </c>
      <c r="AF242" t="str">
        <f>IF(OR('Base Encuesta'!AO216="",IFERROR(VALUE(LEFT('Base Encuesta'!K216,1)),"")&gt;=3),"",VALUE(LEFT('Base Encuesta'!AO216,1)))</f>
        <v/>
      </c>
      <c r="AG242" t="str">
        <f>IF(OR('Base Encuesta'!AQ216="",IFERROR(VALUE(LEFT('Base Encuesta'!K216,1)),"")&gt;=3),"",VALUE(LEFT('Base Encuesta'!AQ216,1)))</f>
        <v/>
      </c>
      <c r="AH242" t="str">
        <f>IF(OR('Base Encuesta'!AR216="",IFERROR(VALUE(LEFT('Base Encuesta'!K216,1)),"")&gt;=3),"",VALUE(LEFT('Base Encuesta'!AR216,1)))</f>
        <v/>
      </c>
    </row>
    <row r="243" spans="1:34">
      <c r="A243" t="str">
        <f>IF('Base Encuesta'!C217="","",'Base Encuesta'!C217)</f>
        <v/>
      </c>
      <c r="B243" t="str">
        <f>IF('Base Encuesta'!D217="","",'Base Encuesta'!D217)</f>
        <v/>
      </c>
      <c r="C243" t="str">
        <f>IF('Base Encuesta'!E217="","",'Base Encuesta'!E217)</f>
        <v/>
      </c>
      <c r="D243" t="str">
        <f>IF('Base Encuesta'!F217="","",'Base Encuesta'!F217)</f>
        <v/>
      </c>
      <c r="E243" t="str">
        <f>IF('Base Encuesta'!G217="","",'Base Encuesta'!G217)</f>
        <v/>
      </c>
      <c r="F243" t="str">
        <f>IF('Base Encuesta'!H217="","",'Base Encuesta'!H217)</f>
        <v/>
      </c>
      <c r="G243" t="str">
        <f>IF('Base Encuesta'!I217="","",'Base Encuesta'!I217)</f>
        <v/>
      </c>
      <c r="H243" t="str">
        <f>IF('Base Encuesta'!J217="","",'Base Encuesta'!J217)</f>
        <v/>
      </c>
      <c r="I243" t="str">
        <f>IF('Base Encuesta'!K217="","",'Base Encuesta'!K217)</f>
        <v/>
      </c>
      <c r="J243" t="str">
        <f>IF(OR('Base Encuesta'!P217="",IFERROR(VALUE(LEFT('Base Encuesta'!K217,1)),"")&gt;=3),"",PROPER(TRIM('Base Encuesta'!P217)))</f>
        <v/>
      </c>
      <c r="K243" t="str">
        <f>IF(OR('Base Encuesta'!Q217="",IFERROR(VALUE(LEFT('Base Encuesta'!K217,1)),"")&gt;=3),"",'Base Encuesta'!Q217)</f>
        <v/>
      </c>
      <c r="L243" t="str">
        <f>IF(OR('Base Encuesta'!R217="",IFERROR(VALUE(LEFT('Base Encuesta'!K217,1)),"")&gt;=3),"",VALUE(LEFT('Base Encuesta'!R217,1)))</f>
        <v/>
      </c>
      <c r="M243" t="str">
        <f>IF(OR('Base Encuesta'!S217="",IFERROR(VALUE(LEFT('Base Encuesta'!K217,1)),"")&gt;=3),"",VALUE(LEFT('Base Encuesta'!S217,1)))</f>
        <v/>
      </c>
      <c r="N243" t="str">
        <f>IF(OR('Base Encuesta'!T217="",IFERROR(VALUE(LEFT('Base Encuesta'!K217,1)),"")&gt;=3),"",VALUE(LEFT('Base Encuesta'!T217,1)))</f>
        <v/>
      </c>
      <c r="O243" t="str">
        <f>IF(OR('Base Encuesta'!V217="",IFERROR(VALUE(LEFT('Base Encuesta'!K217,1)),"")&gt;=3),"",VALUE(LEFT('Base Encuesta'!V217,1)))</f>
        <v/>
      </c>
      <c r="P243" t="str">
        <f>IF(OR('Base Encuesta'!W217="",IFERROR(VALUE(LEFT('Base Encuesta'!K217,1)),"")&gt;=3),"",VALUE(LEFT('Base Encuesta'!W217,1)))</f>
        <v/>
      </c>
      <c r="Q243" t="str">
        <f>IF(OR('Base Encuesta'!X217="",IFERROR(VALUE(LEFT('Base Encuesta'!K217,1)),"")&gt;=3),"",VALUE(LEFT('Base Encuesta'!X217,1)))</f>
        <v/>
      </c>
      <c r="R243" t="str">
        <f>IF(OR('Base Encuesta'!Y217="",IFERROR(VALUE(LEFT('Base Encuesta'!K217,1)),"")&gt;=3),"",VALUE(LEFT('Base Encuesta'!Y217,1)))</f>
        <v/>
      </c>
      <c r="S243" t="str">
        <f>IF(OR('Base Encuesta'!Z217="",IFERROR(VALUE(LEFT('Base Encuesta'!K217,1)),"")&gt;=3),"",VALUE(LEFT('Base Encuesta'!Z217,1)))</f>
        <v/>
      </c>
      <c r="T243" t="str">
        <f>IF(OR('Base Encuesta'!AA217="",IFERROR(VALUE(LEFT('Base Encuesta'!K217,1)),"")&gt;=3),"",VALUE(LEFT('Base Encuesta'!AA217,1)))</f>
        <v/>
      </c>
      <c r="U243" t="str">
        <f>IF(OR('Base Encuesta'!AB217="",IFERROR(VALUE(LEFT('Base Encuesta'!K217,1)),"")&gt;=3),"",VALUE(LEFT('Base Encuesta'!AB217,1)))</f>
        <v/>
      </c>
      <c r="V243" t="str">
        <f>IF(OR('Base Encuesta'!AC217="",IFERROR(VALUE(LEFT('Base Encuesta'!K217,1)),"")&gt;=3),"",VALUE(LEFT('Base Encuesta'!AC217,1)))</f>
        <v/>
      </c>
      <c r="W243" t="str">
        <f>IF(OR('Base Encuesta'!AE217="",IFERROR(VALUE(LEFT('Base Encuesta'!K217,1)),"")&gt;=3),"",VALUE(LEFT('Base Encuesta'!AE217,1)))</f>
        <v/>
      </c>
      <c r="X243" t="str">
        <f>IF(OR('Base Encuesta'!AF217="",IFERROR(VALUE(LEFT('Base Encuesta'!K217,1)),"")&gt;=3),"",IF(W243=1,VALUE(LEFT('Base Encuesta'!AF217,1)),""))</f>
        <v/>
      </c>
      <c r="Y243" t="str">
        <f>IF(OR('Base Encuesta'!AG217="",IFERROR(VALUE(LEFT('Base Encuesta'!K217,1)),"")&gt;=3),"",IF(W243=1,VALUE(LEFT('Base Encuesta'!AG217,1)),""))</f>
        <v/>
      </c>
      <c r="Z243" t="str">
        <f>IF(OR('Base Encuesta'!AH217="",IFERROR(VALUE(LEFT('Base Encuesta'!K217,1)),"")&gt;=3),"",IF(W243=1,VALUE(LEFT('Base Encuesta'!AH217,1)),""))</f>
        <v/>
      </c>
      <c r="AA243" t="str">
        <f>IF(OR('Base Encuesta'!AI217="",IFERROR(VALUE(LEFT('Base Encuesta'!K217,1)),"")&gt;=3),"",IF(W243=1,VALUE(LEFT('Base Encuesta'!AI217,1)),""))</f>
        <v/>
      </c>
      <c r="AB243" t="str">
        <f>IF(OR('Base Encuesta'!AJ217="",IFERROR(VALUE(LEFT('Base Encuesta'!K217,1)),"")&gt;=3),"",IF(W243=1,VALUE(LEFT('Base Encuesta'!AJ217,1)),""))</f>
        <v/>
      </c>
      <c r="AC243" t="str">
        <f>IF(OR('Base Encuesta'!AL217="",IFERROR(VALUE(LEFT('Base Encuesta'!K217,1)),"")&gt;=3),"",VALUE(LEFT('Base Encuesta'!AL217,1)))</f>
        <v/>
      </c>
      <c r="AD243" t="str">
        <f>IF(OR('Base Encuesta'!AM217="",IFERROR(VALUE(LEFT('Base Encuesta'!K217,1)),"")&gt;=3),"",VALUE(LEFT('Base Encuesta'!AM217,1)))</f>
        <v/>
      </c>
      <c r="AE243" t="str">
        <f>IF(OR('Base Encuesta'!AN217="",IFERROR(VALUE(LEFT('Base Encuesta'!K217,1)),"")&gt;=3),"",VALUE(LEFT('Base Encuesta'!AN217,1)))</f>
        <v/>
      </c>
      <c r="AF243" t="str">
        <f>IF(OR('Base Encuesta'!AO217="",IFERROR(VALUE(LEFT('Base Encuesta'!K217,1)),"")&gt;=3),"",VALUE(LEFT('Base Encuesta'!AO217,1)))</f>
        <v/>
      </c>
      <c r="AG243" t="str">
        <f>IF(OR('Base Encuesta'!AQ217="",IFERROR(VALUE(LEFT('Base Encuesta'!K217,1)),"")&gt;=3),"",VALUE(LEFT('Base Encuesta'!AQ217,1)))</f>
        <v/>
      </c>
      <c r="AH243" t="str">
        <f>IF(OR('Base Encuesta'!AR217="",IFERROR(VALUE(LEFT('Base Encuesta'!K217,1)),"")&gt;=3),"",VALUE(LEFT('Base Encuesta'!AR217,1)))</f>
        <v/>
      </c>
    </row>
    <row r="244" spans="1:34">
      <c r="A244" t="str">
        <f>IF('Base Encuesta'!C218="","",'Base Encuesta'!C218)</f>
        <v/>
      </c>
      <c r="B244" t="str">
        <f>IF('Base Encuesta'!D218="","",'Base Encuesta'!D218)</f>
        <v/>
      </c>
      <c r="C244" t="str">
        <f>IF('Base Encuesta'!E218="","",'Base Encuesta'!E218)</f>
        <v/>
      </c>
      <c r="D244" t="str">
        <f>IF('Base Encuesta'!F218="","",'Base Encuesta'!F218)</f>
        <v/>
      </c>
      <c r="E244" t="str">
        <f>IF('Base Encuesta'!G218="","",'Base Encuesta'!G218)</f>
        <v/>
      </c>
      <c r="F244" t="str">
        <f>IF('Base Encuesta'!H218="","",'Base Encuesta'!H218)</f>
        <v/>
      </c>
      <c r="G244" t="str">
        <f>IF('Base Encuesta'!I218="","",'Base Encuesta'!I218)</f>
        <v/>
      </c>
      <c r="H244" t="str">
        <f>IF('Base Encuesta'!J218="","",'Base Encuesta'!J218)</f>
        <v/>
      </c>
      <c r="I244" t="str">
        <f>IF('Base Encuesta'!K218="","",'Base Encuesta'!K218)</f>
        <v/>
      </c>
      <c r="J244" t="str">
        <f>IF(OR('Base Encuesta'!P218="",IFERROR(VALUE(LEFT('Base Encuesta'!K218,1)),"")&gt;=3),"",PROPER(TRIM('Base Encuesta'!P218)))</f>
        <v/>
      </c>
      <c r="K244" t="str">
        <f>IF(OR('Base Encuesta'!Q218="",IFERROR(VALUE(LEFT('Base Encuesta'!K218,1)),"")&gt;=3),"",'Base Encuesta'!Q218)</f>
        <v/>
      </c>
      <c r="L244" t="str">
        <f>IF(OR('Base Encuesta'!R218="",IFERROR(VALUE(LEFT('Base Encuesta'!K218,1)),"")&gt;=3),"",VALUE(LEFT('Base Encuesta'!R218,1)))</f>
        <v/>
      </c>
      <c r="M244" t="str">
        <f>IF(OR('Base Encuesta'!S218="",IFERROR(VALUE(LEFT('Base Encuesta'!K218,1)),"")&gt;=3),"",VALUE(LEFT('Base Encuesta'!S218,1)))</f>
        <v/>
      </c>
      <c r="N244" t="str">
        <f>IF(OR('Base Encuesta'!T218="",IFERROR(VALUE(LEFT('Base Encuesta'!K218,1)),"")&gt;=3),"",VALUE(LEFT('Base Encuesta'!T218,1)))</f>
        <v/>
      </c>
      <c r="O244" t="str">
        <f>IF(OR('Base Encuesta'!V218="",IFERROR(VALUE(LEFT('Base Encuesta'!K218,1)),"")&gt;=3),"",VALUE(LEFT('Base Encuesta'!V218,1)))</f>
        <v/>
      </c>
      <c r="P244" t="str">
        <f>IF(OR('Base Encuesta'!W218="",IFERROR(VALUE(LEFT('Base Encuesta'!K218,1)),"")&gt;=3),"",VALUE(LEFT('Base Encuesta'!W218,1)))</f>
        <v/>
      </c>
      <c r="Q244" t="str">
        <f>IF(OR('Base Encuesta'!X218="",IFERROR(VALUE(LEFT('Base Encuesta'!K218,1)),"")&gt;=3),"",VALUE(LEFT('Base Encuesta'!X218,1)))</f>
        <v/>
      </c>
      <c r="R244" t="str">
        <f>IF(OR('Base Encuesta'!Y218="",IFERROR(VALUE(LEFT('Base Encuesta'!K218,1)),"")&gt;=3),"",VALUE(LEFT('Base Encuesta'!Y218,1)))</f>
        <v/>
      </c>
      <c r="S244" t="str">
        <f>IF(OR('Base Encuesta'!Z218="",IFERROR(VALUE(LEFT('Base Encuesta'!K218,1)),"")&gt;=3),"",VALUE(LEFT('Base Encuesta'!Z218,1)))</f>
        <v/>
      </c>
      <c r="T244" t="str">
        <f>IF(OR('Base Encuesta'!AA218="",IFERROR(VALUE(LEFT('Base Encuesta'!K218,1)),"")&gt;=3),"",VALUE(LEFT('Base Encuesta'!AA218,1)))</f>
        <v/>
      </c>
      <c r="U244" t="str">
        <f>IF(OR('Base Encuesta'!AB218="",IFERROR(VALUE(LEFT('Base Encuesta'!K218,1)),"")&gt;=3),"",VALUE(LEFT('Base Encuesta'!AB218,1)))</f>
        <v/>
      </c>
      <c r="V244" t="str">
        <f>IF(OR('Base Encuesta'!AC218="",IFERROR(VALUE(LEFT('Base Encuesta'!K218,1)),"")&gt;=3),"",VALUE(LEFT('Base Encuesta'!AC218,1)))</f>
        <v/>
      </c>
      <c r="W244" t="str">
        <f>IF(OR('Base Encuesta'!AE218="",IFERROR(VALUE(LEFT('Base Encuesta'!K218,1)),"")&gt;=3),"",VALUE(LEFT('Base Encuesta'!AE218,1)))</f>
        <v/>
      </c>
      <c r="X244" t="str">
        <f>IF(OR('Base Encuesta'!AF218="",IFERROR(VALUE(LEFT('Base Encuesta'!K218,1)),"")&gt;=3),"",IF(W244=1,VALUE(LEFT('Base Encuesta'!AF218,1)),""))</f>
        <v/>
      </c>
      <c r="Y244" t="str">
        <f>IF(OR('Base Encuesta'!AG218="",IFERROR(VALUE(LEFT('Base Encuesta'!K218,1)),"")&gt;=3),"",IF(W244=1,VALUE(LEFT('Base Encuesta'!AG218,1)),""))</f>
        <v/>
      </c>
      <c r="Z244" t="str">
        <f>IF(OR('Base Encuesta'!AH218="",IFERROR(VALUE(LEFT('Base Encuesta'!K218,1)),"")&gt;=3),"",IF(W244=1,VALUE(LEFT('Base Encuesta'!AH218,1)),""))</f>
        <v/>
      </c>
      <c r="AA244" t="str">
        <f>IF(OR('Base Encuesta'!AI218="",IFERROR(VALUE(LEFT('Base Encuesta'!K218,1)),"")&gt;=3),"",IF(W244=1,VALUE(LEFT('Base Encuesta'!AI218,1)),""))</f>
        <v/>
      </c>
      <c r="AB244" t="str">
        <f>IF(OR('Base Encuesta'!AJ218="",IFERROR(VALUE(LEFT('Base Encuesta'!K218,1)),"")&gt;=3),"",IF(W244=1,VALUE(LEFT('Base Encuesta'!AJ218,1)),""))</f>
        <v/>
      </c>
      <c r="AC244" t="str">
        <f>IF(OR('Base Encuesta'!AL218="",IFERROR(VALUE(LEFT('Base Encuesta'!K218,1)),"")&gt;=3),"",VALUE(LEFT('Base Encuesta'!AL218,1)))</f>
        <v/>
      </c>
      <c r="AD244" t="str">
        <f>IF(OR('Base Encuesta'!AM218="",IFERROR(VALUE(LEFT('Base Encuesta'!K218,1)),"")&gt;=3),"",VALUE(LEFT('Base Encuesta'!AM218,1)))</f>
        <v/>
      </c>
      <c r="AE244" t="str">
        <f>IF(OR('Base Encuesta'!AN218="",IFERROR(VALUE(LEFT('Base Encuesta'!K218,1)),"")&gt;=3),"",VALUE(LEFT('Base Encuesta'!AN218,1)))</f>
        <v/>
      </c>
      <c r="AF244" t="str">
        <f>IF(OR('Base Encuesta'!AO218="",IFERROR(VALUE(LEFT('Base Encuesta'!K218,1)),"")&gt;=3),"",VALUE(LEFT('Base Encuesta'!AO218,1)))</f>
        <v/>
      </c>
      <c r="AG244" t="str">
        <f>IF(OR('Base Encuesta'!AQ218="",IFERROR(VALUE(LEFT('Base Encuesta'!K218,1)),"")&gt;=3),"",VALUE(LEFT('Base Encuesta'!AQ218,1)))</f>
        <v/>
      </c>
      <c r="AH244" t="str">
        <f>IF(OR('Base Encuesta'!AR218="",IFERROR(VALUE(LEFT('Base Encuesta'!K218,1)),"")&gt;=3),"",VALUE(LEFT('Base Encuesta'!AR218,1)))</f>
        <v/>
      </c>
    </row>
    <row r="245" spans="1:34">
      <c r="A245" t="str">
        <f>IF('Base Encuesta'!C219="","",'Base Encuesta'!C219)</f>
        <v/>
      </c>
      <c r="B245" t="str">
        <f>IF('Base Encuesta'!D219="","",'Base Encuesta'!D219)</f>
        <v/>
      </c>
      <c r="C245" t="str">
        <f>IF('Base Encuesta'!E219="","",'Base Encuesta'!E219)</f>
        <v/>
      </c>
      <c r="D245" t="str">
        <f>IF('Base Encuesta'!F219="","",'Base Encuesta'!F219)</f>
        <v/>
      </c>
      <c r="E245" t="str">
        <f>IF('Base Encuesta'!G219="","",'Base Encuesta'!G219)</f>
        <v/>
      </c>
      <c r="F245" t="str">
        <f>IF('Base Encuesta'!H219="","",'Base Encuesta'!H219)</f>
        <v/>
      </c>
      <c r="G245" t="str">
        <f>IF('Base Encuesta'!I219="","",'Base Encuesta'!I219)</f>
        <v/>
      </c>
      <c r="H245" t="str">
        <f>IF('Base Encuesta'!J219="","",'Base Encuesta'!J219)</f>
        <v/>
      </c>
      <c r="I245" t="str">
        <f>IF('Base Encuesta'!K219="","",'Base Encuesta'!K219)</f>
        <v/>
      </c>
      <c r="J245" t="str">
        <f>IF(OR('Base Encuesta'!P219="",IFERROR(VALUE(LEFT('Base Encuesta'!K219,1)),"")&gt;=3),"",PROPER(TRIM('Base Encuesta'!P219)))</f>
        <v/>
      </c>
      <c r="K245" t="str">
        <f>IF(OR('Base Encuesta'!Q219="",IFERROR(VALUE(LEFT('Base Encuesta'!K219,1)),"")&gt;=3),"",'Base Encuesta'!Q219)</f>
        <v/>
      </c>
      <c r="L245" t="str">
        <f>IF(OR('Base Encuesta'!R219="",IFERROR(VALUE(LEFT('Base Encuesta'!K219,1)),"")&gt;=3),"",VALUE(LEFT('Base Encuesta'!R219,1)))</f>
        <v/>
      </c>
      <c r="M245" t="str">
        <f>IF(OR('Base Encuesta'!S219="",IFERROR(VALUE(LEFT('Base Encuesta'!K219,1)),"")&gt;=3),"",VALUE(LEFT('Base Encuesta'!S219,1)))</f>
        <v/>
      </c>
      <c r="N245" t="str">
        <f>IF(OR('Base Encuesta'!T219="",IFERROR(VALUE(LEFT('Base Encuesta'!K219,1)),"")&gt;=3),"",VALUE(LEFT('Base Encuesta'!T219,1)))</f>
        <v/>
      </c>
      <c r="O245" t="str">
        <f>IF(OR('Base Encuesta'!V219="",IFERROR(VALUE(LEFT('Base Encuesta'!K219,1)),"")&gt;=3),"",VALUE(LEFT('Base Encuesta'!V219,1)))</f>
        <v/>
      </c>
      <c r="P245" t="str">
        <f>IF(OR('Base Encuesta'!W219="",IFERROR(VALUE(LEFT('Base Encuesta'!K219,1)),"")&gt;=3),"",VALUE(LEFT('Base Encuesta'!W219,1)))</f>
        <v/>
      </c>
      <c r="Q245" t="str">
        <f>IF(OR('Base Encuesta'!X219="",IFERROR(VALUE(LEFT('Base Encuesta'!K219,1)),"")&gt;=3),"",VALUE(LEFT('Base Encuesta'!X219,1)))</f>
        <v/>
      </c>
      <c r="R245" t="str">
        <f>IF(OR('Base Encuesta'!Y219="",IFERROR(VALUE(LEFT('Base Encuesta'!K219,1)),"")&gt;=3),"",VALUE(LEFT('Base Encuesta'!Y219,1)))</f>
        <v/>
      </c>
      <c r="S245" t="str">
        <f>IF(OR('Base Encuesta'!Z219="",IFERROR(VALUE(LEFT('Base Encuesta'!K219,1)),"")&gt;=3),"",VALUE(LEFT('Base Encuesta'!Z219,1)))</f>
        <v/>
      </c>
      <c r="T245" t="str">
        <f>IF(OR('Base Encuesta'!AA219="",IFERROR(VALUE(LEFT('Base Encuesta'!K219,1)),"")&gt;=3),"",VALUE(LEFT('Base Encuesta'!AA219,1)))</f>
        <v/>
      </c>
      <c r="U245" t="str">
        <f>IF(OR('Base Encuesta'!AB219="",IFERROR(VALUE(LEFT('Base Encuesta'!K219,1)),"")&gt;=3),"",VALUE(LEFT('Base Encuesta'!AB219,1)))</f>
        <v/>
      </c>
      <c r="V245" t="str">
        <f>IF(OR('Base Encuesta'!AC219="",IFERROR(VALUE(LEFT('Base Encuesta'!K219,1)),"")&gt;=3),"",VALUE(LEFT('Base Encuesta'!AC219,1)))</f>
        <v/>
      </c>
      <c r="W245" t="str">
        <f>IF(OR('Base Encuesta'!AE219="",IFERROR(VALUE(LEFT('Base Encuesta'!K219,1)),"")&gt;=3),"",VALUE(LEFT('Base Encuesta'!AE219,1)))</f>
        <v/>
      </c>
      <c r="X245" t="str">
        <f>IF(OR('Base Encuesta'!AF219="",IFERROR(VALUE(LEFT('Base Encuesta'!K219,1)),"")&gt;=3),"",IF(W245=1,VALUE(LEFT('Base Encuesta'!AF219,1)),""))</f>
        <v/>
      </c>
      <c r="Y245" t="str">
        <f>IF(OR('Base Encuesta'!AG219="",IFERROR(VALUE(LEFT('Base Encuesta'!K219,1)),"")&gt;=3),"",IF(W245=1,VALUE(LEFT('Base Encuesta'!AG219,1)),""))</f>
        <v/>
      </c>
      <c r="Z245" t="str">
        <f>IF(OR('Base Encuesta'!AH219="",IFERROR(VALUE(LEFT('Base Encuesta'!K219,1)),"")&gt;=3),"",IF(W245=1,VALUE(LEFT('Base Encuesta'!AH219,1)),""))</f>
        <v/>
      </c>
      <c r="AA245" t="str">
        <f>IF(OR('Base Encuesta'!AI219="",IFERROR(VALUE(LEFT('Base Encuesta'!K219,1)),"")&gt;=3),"",IF(W245=1,VALUE(LEFT('Base Encuesta'!AI219,1)),""))</f>
        <v/>
      </c>
      <c r="AB245" t="str">
        <f>IF(OR('Base Encuesta'!AJ219="",IFERROR(VALUE(LEFT('Base Encuesta'!K219,1)),"")&gt;=3),"",IF(W245=1,VALUE(LEFT('Base Encuesta'!AJ219,1)),""))</f>
        <v/>
      </c>
      <c r="AC245" t="str">
        <f>IF(OR('Base Encuesta'!AL219="",IFERROR(VALUE(LEFT('Base Encuesta'!K219,1)),"")&gt;=3),"",VALUE(LEFT('Base Encuesta'!AL219,1)))</f>
        <v/>
      </c>
      <c r="AD245" t="str">
        <f>IF(OR('Base Encuesta'!AM219="",IFERROR(VALUE(LEFT('Base Encuesta'!K219,1)),"")&gt;=3),"",VALUE(LEFT('Base Encuesta'!AM219,1)))</f>
        <v/>
      </c>
      <c r="AE245" t="str">
        <f>IF(OR('Base Encuesta'!AN219="",IFERROR(VALUE(LEFT('Base Encuesta'!K219,1)),"")&gt;=3),"",VALUE(LEFT('Base Encuesta'!AN219,1)))</f>
        <v/>
      </c>
      <c r="AF245" t="str">
        <f>IF(OR('Base Encuesta'!AO219="",IFERROR(VALUE(LEFT('Base Encuesta'!K219,1)),"")&gt;=3),"",VALUE(LEFT('Base Encuesta'!AO219,1)))</f>
        <v/>
      </c>
      <c r="AG245" t="str">
        <f>IF(OR('Base Encuesta'!AQ219="",IFERROR(VALUE(LEFT('Base Encuesta'!K219,1)),"")&gt;=3),"",VALUE(LEFT('Base Encuesta'!AQ219,1)))</f>
        <v/>
      </c>
      <c r="AH245" t="str">
        <f>IF(OR('Base Encuesta'!AR219="",IFERROR(VALUE(LEFT('Base Encuesta'!K219,1)),"")&gt;=3),"",VALUE(LEFT('Base Encuesta'!AR219,1)))</f>
        <v/>
      </c>
    </row>
    <row r="246" spans="1:34">
      <c r="A246" t="str">
        <f>IF('Base Encuesta'!C220="","",'Base Encuesta'!C220)</f>
        <v/>
      </c>
      <c r="B246" t="str">
        <f>IF('Base Encuesta'!D220="","",'Base Encuesta'!D220)</f>
        <v/>
      </c>
      <c r="C246" t="str">
        <f>IF('Base Encuesta'!E220="","",'Base Encuesta'!E220)</f>
        <v/>
      </c>
      <c r="D246" t="str">
        <f>IF('Base Encuesta'!F220="","",'Base Encuesta'!F220)</f>
        <v/>
      </c>
      <c r="E246" t="str">
        <f>IF('Base Encuesta'!G220="","",'Base Encuesta'!G220)</f>
        <v/>
      </c>
      <c r="F246" t="str">
        <f>IF('Base Encuesta'!H220="","",'Base Encuesta'!H220)</f>
        <v/>
      </c>
      <c r="G246" t="str">
        <f>IF('Base Encuesta'!I220="","",'Base Encuesta'!I220)</f>
        <v/>
      </c>
      <c r="H246" t="str">
        <f>IF('Base Encuesta'!J220="","",'Base Encuesta'!J220)</f>
        <v/>
      </c>
      <c r="I246" t="str">
        <f>IF('Base Encuesta'!K220="","",'Base Encuesta'!K220)</f>
        <v/>
      </c>
      <c r="J246" t="str">
        <f>IF(OR('Base Encuesta'!P220="",IFERROR(VALUE(LEFT('Base Encuesta'!K220,1)),"")&gt;=3),"",PROPER(TRIM('Base Encuesta'!P220)))</f>
        <v/>
      </c>
      <c r="K246" t="str">
        <f>IF(OR('Base Encuesta'!Q220="",IFERROR(VALUE(LEFT('Base Encuesta'!K220,1)),"")&gt;=3),"",'Base Encuesta'!Q220)</f>
        <v/>
      </c>
      <c r="L246" t="str">
        <f>IF(OR('Base Encuesta'!R220="",IFERROR(VALUE(LEFT('Base Encuesta'!K220,1)),"")&gt;=3),"",VALUE(LEFT('Base Encuesta'!R220,1)))</f>
        <v/>
      </c>
      <c r="M246" t="str">
        <f>IF(OR('Base Encuesta'!S220="",IFERROR(VALUE(LEFT('Base Encuesta'!K220,1)),"")&gt;=3),"",VALUE(LEFT('Base Encuesta'!S220,1)))</f>
        <v/>
      </c>
      <c r="N246" t="str">
        <f>IF(OR('Base Encuesta'!T220="",IFERROR(VALUE(LEFT('Base Encuesta'!K220,1)),"")&gt;=3),"",VALUE(LEFT('Base Encuesta'!T220,1)))</f>
        <v/>
      </c>
      <c r="O246" t="str">
        <f>IF(OR('Base Encuesta'!V220="",IFERROR(VALUE(LEFT('Base Encuesta'!K220,1)),"")&gt;=3),"",VALUE(LEFT('Base Encuesta'!V220,1)))</f>
        <v/>
      </c>
      <c r="P246" t="str">
        <f>IF(OR('Base Encuesta'!W220="",IFERROR(VALUE(LEFT('Base Encuesta'!K220,1)),"")&gt;=3),"",VALUE(LEFT('Base Encuesta'!W220,1)))</f>
        <v/>
      </c>
      <c r="Q246" t="str">
        <f>IF(OR('Base Encuesta'!X220="",IFERROR(VALUE(LEFT('Base Encuesta'!K220,1)),"")&gt;=3),"",VALUE(LEFT('Base Encuesta'!X220,1)))</f>
        <v/>
      </c>
      <c r="R246" t="str">
        <f>IF(OR('Base Encuesta'!Y220="",IFERROR(VALUE(LEFT('Base Encuesta'!K220,1)),"")&gt;=3),"",VALUE(LEFT('Base Encuesta'!Y220,1)))</f>
        <v/>
      </c>
      <c r="S246" t="str">
        <f>IF(OR('Base Encuesta'!Z220="",IFERROR(VALUE(LEFT('Base Encuesta'!K220,1)),"")&gt;=3),"",VALUE(LEFT('Base Encuesta'!Z220,1)))</f>
        <v/>
      </c>
      <c r="T246" t="str">
        <f>IF(OR('Base Encuesta'!AA220="",IFERROR(VALUE(LEFT('Base Encuesta'!K220,1)),"")&gt;=3),"",VALUE(LEFT('Base Encuesta'!AA220,1)))</f>
        <v/>
      </c>
      <c r="U246" t="str">
        <f>IF(OR('Base Encuesta'!AB220="",IFERROR(VALUE(LEFT('Base Encuesta'!K220,1)),"")&gt;=3),"",VALUE(LEFT('Base Encuesta'!AB220,1)))</f>
        <v/>
      </c>
      <c r="V246" t="str">
        <f>IF(OR('Base Encuesta'!AC220="",IFERROR(VALUE(LEFT('Base Encuesta'!K220,1)),"")&gt;=3),"",VALUE(LEFT('Base Encuesta'!AC220,1)))</f>
        <v/>
      </c>
      <c r="W246" t="str">
        <f>IF(OR('Base Encuesta'!AE220="",IFERROR(VALUE(LEFT('Base Encuesta'!K220,1)),"")&gt;=3),"",VALUE(LEFT('Base Encuesta'!AE220,1)))</f>
        <v/>
      </c>
      <c r="X246" t="str">
        <f>IF(OR('Base Encuesta'!AF220="",IFERROR(VALUE(LEFT('Base Encuesta'!K220,1)),"")&gt;=3),"",IF(W246=1,VALUE(LEFT('Base Encuesta'!AF220,1)),""))</f>
        <v/>
      </c>
      <c r="Y246" t="str">
        <f>IF(OR('Base Encuesta'!AG220="",IFERROR(VALUE(LEFT('Base Encuesta'!K220,1)),"")&gt;=3),"",IF(W246=1,VALUE(LEFT('Base Encuesta'!AG220,1)),""))</f>
        <v/>
      </c>
      <c r="Z246" t="str">
        <f>IF(OR('Base Encuesta'!AH220="",IFERROR(VALUE(LEFT('Base Encuesta'!K220,1)),"")&gt;=3),"",IF(W246=1,VALUE(LEFT('Base Encuesta'!AH220,1)),""))</f>
        <v/>
      </c>
      <c r="AA246" t="str">
        <f>IF(OR('Base Encuesta'!AI220="",IFERROR(VALUE(LEFT('Base Encuesta'!K220,1)),"")&gt;=3),"",IF(W246=1,VALUE(LEFT('Base Encuesta'!AI220,1)),""))</f>
        <v/>
      </c>
      <c r="AB246" t="str">
        <f>IF(OR('Base Encuesta'!AJ220="",IFERROR(VALUE(LEFT('Base Encuesta'!K220,1)),"")&gt;=3),"",IF(W246=1,VALUE(LEFT('Base Encuesta'!AJ220,1)),""))</f>
        <v/>
      </c>
      <c r="AC246" t="str">
        <f>IF(OR('Base Encuesta'!AL220="",IFERROR(VALUE(LEFT('Base Encuesta'!K220,1)),"")&gt;=3),"",VALUE(LEFT('Base Encuesta'!AL220,1)))</f>
        <v/>
      </c>
      <c r="AD246" t="str">
        <f>IF(OR('Base Encuesta'!AM220="",IFERROR(VALUE(LEFT('Base Encuesta'!K220,1)),"")&gt;=3),"",VALUE(LEFT('Base Encuesta'!AM220,1)))</f>
        <v/>
      </c>
      <c r="AE246" t="str">
        <f>IF(OR('Base Encuesta'!AN220="",IFERROR(VALUE(LEFT('Base Encuesta'!K220,1)),"")&gt;=3),"",VALUE(LEFT('Base Encuesta'!AN220,1)))</f>
        <v/>
      </c>
      <c r="AF246" t="str">
        <f>IF(OR('Base Encuesta'!AO220="",IFERROR(VALUE(LEFT('Base Encuesta'!K220,1)),"")&gt;=3),"",VALUE(LEFT('Base Encuesta'!AO220,1)))</f>
        <v/>
      </c>
      <c r="AG246" t="str">
        <f>IF(OR('Base Encuesta'!AQ220="",IFERROR(VALUE(LEFT('Base Encuesta'!K220,1)),"")&gt;=3),"",VALUE(LEFT('Base Encuesta'!AQ220,1)))</f>
        <v/>
      </c>
      <c r="AH246" t="str">
        <f>IF(OR('Base Encuesta'!AR220="",IFERROR(VALUE(LEFT('Base Encuesta'!K220,1)),"")&gt;=3),"",VALUE(LEFT('Base Encuesta'!AR220,1)))</f>
        <v/>
      </c>
    </row>
    <row r="247" spans="1:34">
      <c r="A247" t="str">
        <f>IF('Base Encuesta'!C221="","",'Base Encuesta'!C221)</f>
        <v/>
      </c>
      <c r="B247" t="str">
        <f>IF('Base Encuesta'!D221="","",'Base Encuesta'!D221)</f>
        <v/>
      </c>
      <c r="C247" t="str">
        <f>IF('Base Encuesta'!E221="","",'Base Encuesta'!E221)</f>
        <v/>
      </c>
      <c r="D247" t="str">
        <f>IF('Base Encuesta'!F221="","",'Base Encuesta'!F221)</f>
        <v/>
      </c>
      <c r="E247" t="str">
        <f>IF('Base Encuesta'!G221="","",'Base Encuesta'!G221)</f>
        <v/>
      </c>
      <c r="F247" t="str">
        <f>IF('Base Encuesta'!H221="","",'Base Encuesta'!H221)</f>
        <v/>
      </c>
      <c r="G247" t="str">
        <f>IF('Base Encuesta'!I221="","",'Base Encuesta'!I221)</f>
        <v/>
      </c>
      <c r="H247" t="str">
        <f>IF('Base Encuesta'!J221="","",'Base Encuesta'!J221)</f>
        <v/>
      </c>
      <c r="I247" t="str">
        <f>IF('Base Encuesta'!K221="","",'Base Encuesta'!K221)</f>
        <v/>
      </c>
      <c r="J247" t="str">
        <f>IF(OR('Base Encuesta'!P221="",IFERROR(VALUE(LEFT('Base Encuesta'!K221,1)),"")&gt;=3),"",PROPER(TRIM('Base Encuesta'!P221)))</f>
        <v/>
      </c>
      <c r="K247" t="str">
        <f>IF(OR('Base Encuesta'!Q221="",IFERROR(VALUE(LEFT('Base Encuesta'!K221,1)),"")&gt;=3),"",'Base Encuesta'!Q221)</f>
        <v/>
      </c>
      <c r="L247" t="str">
        <f>IF(OR('Base Encuesta'!R221="",IFERROR(VALUE(LEFT('Base Encuesta'!K221,1)),"")&gt;=3),"",VALUE(LEFT('Base Encuesta'!R221,1)))</f>
        <v/>
      </c>
      <c r="M247" t="str">
        <f>IF(OR('Base Encuesta'!S221="",IFERROR(VALUE(LEFT('Base Encuesta'!K221,1)),"")&gt;=3),"",VALUE(LEFT('Base Encuesta'!S221,1)))</f>
        <v/>
      </c>
      <c r="N247" t="str">
        <f>IF(OR('Base Encuesta'!T221="",IFERROR(VALUE(LEFT('Base Encuesta'!K221,1)),"")&gt;=3),"",VALUE(LEFT('Base Encuesta'!T221,1)))</f>
        <v/>
      </c>
      <c r="O247" t="str">
        <f>IF(OR('Base Encuesta'!V221="",IFERROR(VALUE(LEFT('Base Encuesta'!K221,1)),"")&gt;=3),"",VALUE(LEFT('Base Encuesta'!V221,1)))</f>
        <v/>
      </c>
      <c r="P247" t="str">
        <f>IF(OR('Base Encuesta'!W221="",IFERROR(VALUE(LEFT('Base Encuesta'!K221,1)),"")&gt;=3),"",VALUE(LEFT('Base Encuesta'!W221,1)))</f>
        <v/>
      </c>
      <c r="Q247" t="str">
        <f>IF(OR('Base Encuesta'!X221="",IFERROR(VALUE(LEFT('Base Encuesta'!K221,1)),"")&gt;=3),"",VALUE(LEFT('Base Encuesta'!X221,1)))</f>
        <v/>
      </c>
      <c r="R247" t="str">
        <f>IF(OR('Base Encuesta'!Y221="",IFERROR(VALUE(LEFT('Base Encuesta'!K221,1)),"")&gt;=3),"",VALUE(LEFT('Base Encuesta'!Y221,1)))</f>
        <v/>
      </c>
      <c r="S247" t="str">
        <f>IF(OR('Base Encuesta'!Z221="",IFERROR(VALUE(LEFT('Base Encuesta'!K221,1)),"")&gt;=3),"",VALUE(LEFT('Base Encuesta'!Z221,1)))</f>
        <v/>
      </c>
      <c r="T247" t="str">
        <f>IF(OR('Base Encuesta'!AA221="",IFERROR(VALUE(LEFT('Base Encuesta'!K221,1)),"")&gt;=3),"",VALUE(LEFT('Base Encuesta'!AA221,1)))</f>
        <v/>
      </c>
      <c r="U247" t="str">
        <f>IF(OR('Base Encuesta'!AB221="",IFERROR(VALUE(LEFT('Base Encuesta'!K221,1)),"")&gt;=3),"",VALUE(LEFT('Base Encuesta'!AB221,1)))</f>
        <v/>
      </c>
      <c r="V247" t="str">
        <f>IF(OR('Base Encuesta'!AC221="",IFERROR(VALUE(LEFT('Base Encuesta'!K221,1)),"")&gt;=3),"",VALUE(LEFT('Base Encuesta'!AC221,1)))</f>
        <v/>
      </c>
      <c r="W247" t="str">
        <f>IF(OR('Base Encuesta'!AE221="",IFERROR(VALUE(LEFT('Base Encuesta'!K221,1)),"")&gt;=3),"",VALUE(LEFT('Base Encuesta'!AE221,1)))</f>
        <v/>
      </c>
      <c r="X247" t="str">
        <f>IF(OR('Base Encuesta'!AF221="",IFERROR(VALUE(LEFT('Base Encuesta'!K221,1)),"")&gt;=3),"",IF(W247=1,VALUE(LEFT('Base Encuesta'!AF221,1)),""))</f>
        <v/>
      </c>
      <c r="Y247" t="str">
        <f>IF(OR('Base Encuesta'!AG221="",IFERROR(VALUE(LEFT('Base Encuesta'!K221,1)),"")&gt;=3),"",IF(W247=1,VALUE(LEFT('Base Encuesta'!AG221,1)),""))</f>
        <v/>
      </c>
      <c r="Z247" t="str">
        <f>IF(OR('Base Encuesta'!AH221="",IFERROR(VALUE(LEFT('Base Encuesta'!K221,1)),"")&gt;=3),"",IF(W247=1,VALUE(LEFT('Base Encuesta'!AH221,1)),""))</f>
        <v/>
      </c>
      <c r="AA247" t="str">
        <f>IF(OR('Base Encuesta'!AI221="",IFERROR(VALUE(LEFT('Base Encuesta'!K221,1)),"")&gt;=3),"",IF(W247=1,VALUE(LEFT('Base Encuesta'!AI221,1)),""))</f>
        <v/>
      </c>
      <c r="AB247" t="str">
        <f>IF(OR('Base Encuesta'!AJ221="",IFERROR(VALUE(LEFT('Base Encuesta'!K221,1)),"")&gt;=3),"",IF(W247=1,VALUE(LEFT('Base Encuesta'!AJ221,1)),""))</f>
        <v/>
      </c>
      <c r="AC247" t="str">
        <f>IF(OR('Base Encuesta'!AL221="",IFERROR(VALUE(LEFT('Base Encuesta'!K221,1)),"")&gt;=3),"",VALUE(LEFT('Base Encuesta'!AL221,1)))</f>
        <v/>
      </c>
      <c r="AD247" t="str">
        <f>IF(OR('Base Encuesta'!AM221="",IFERROR(VALUE(LEFT('Base Encuesta'!K221,1)),"")&gt;=3),"",VALUE(LEFT('Base Encuesta'!AM221,1)))</f>
        <v/>
      </c>
      <c r="AE247" t="str">
        <f>IF(OR('Base Encuesta'!AN221="",IFERROR(VALUE(LEFT('Base Encuesta'!K221,1)),"")&gt;=3),"",VALUE(LEFT('Base Encuesta'!AN221,1)))</f>
        <v/>
      </c>
      <c r="AF247" t="str">
        <f>IF(OR('Base Encuesta'!AO221="",IFERROR(VALUE(LEFT('Base Encuesta'!K221,1)),"")&gt;=3),"",VALUE(LEFT('Base Encuesta'!AO221,1)))</f>
        <v/>
      </c>
      <c r="AG247" t="str">
        <f>IF(OR('Base Encuesta'!AQ221="",IFERROR(VALUE(LEFT('Base Encuesta'!K221,1)),"")&gt;=3),"",VALUE(LEFT('Base Encuesta'!AQ221,1)))</f>
        <v/>
      </c>
      <c r="AH247" t="str">
        <f>IF(OR('Base Encuesta'!AR221="",IFERROR(VALUE(LEFT('Base Encuesta'!K221,1)),"")&gt;=3),"",VALUE(LEFT('Base Encuesta'!AR221,1)))</f>
        <v/>
      </c>
    </row>
    <row r="248" spans="1:34">
      <c r="A248" t="str">
        <f>IF('Base Encuesta'!C222="","",'Base Encuesta'!C222)</f>
        <v/>
      </c>
      <c r="B248" t="str">
        <f>IF('Base Encuesta'!D222="","",'Base Encuesta'!D222)</f>
        <v/>
      </c>
      <c r="C248" t="str">
        <f>IF('Base Encuesta'!E222="","",'Base Encuesta'!E222)</f>
        <v/>
      </c>
      <c r="D248" t="str">
        <f>IF('Base Encuesta'!F222="","",'Base Encuesta'!F222)</f>
        <v/>
      </c>
      <c r="E248" t="str">
        <f>IF('Base Encuesta'!G222="","",'Base Encuesta'!G222)</f>
        <v/>
      </c>
      <c r="F248" t="str">
        <f>IF('Base Encuesta'!H222="","",'Base Encuesta'!H222)</f>
        <v/>
      </c>
      <c r="G248" t="str">
        <f>IF('Base Encuesta'!I222="","",'Base Encuesta'!I222)</f>
        <v/>
      </c>
      <c r="H248" t="str">
        <f>IF('Base Encuesta'!J222="","",'Base Encuesta'!J222)</f>
        <v/>
      </c>
      <c r="I248" t="str">
        <f>IF('Base Encuesta'!K222="","",'Base Encuesta'!K222)</f>
        <v/>
      </c>
      <c r="J248" t="str">
        <f>IF(OR('Base Encuesta'!P222="",IFERROR(VALUE(LEFT('Base Encuesta'!K222,1)),"")&gt;=3),"",PROPER(TRIM('Base Encuesta'!P222)))</f>
        <v/>
      </c>
      <c r="K248" t="str">
        <f>IF(OR('Base Encuesta'!Q222="",IFERROR(VALUE(LEFT('Base Encuesta'!K222,1)),"")&gt;=3),"",'Base Encuesta'!Q222)</f>
        <v/>
      </c>
      <c r="L248" t="str">
        <f>IF(OR('Base Encuesta'!R222="",IFERROR(VALUE(LEFT('Base Encuesta'!K222,1)),"")&gt;=3),"",VALUE(LEFT('Base Encuesta'!R222,1)))</f>
        <v/>
      </c>
      <c r="M248" t="str">
        <f>IF(OR('Base Encuesta'!S222="",IFERROR(VALUE(LEFT('Base Encuesta'!K222,1)),"")&gt;=3),"",VALUE(LEFT('Base Encuesta'!S222,1)))</f>
        <v/>
      </c>
      <c r="N248" t="str">
        <f>IF(OR('Base Encuesta'!T222="",IFERROR(VALUE(LEFT('Base Encuesta'!K222,1)),"")&gt;=3),"",VALUE(LEFT('Base Encuesta'!T222,1)))</f>
        <v/>
      </c>
      <c r="O248" t="str">
        <f>IF(OR('Base Encuesta'!V222="",IFERROR(VALUE(LEFT('Base Encuesta'!K222,1)),"")&gt;=3),"",VALUE(LEFT('Base Encuesta'!V222,1)))</f>
        <v/>
      </c>
      <c r="P248" t="str">
        <f>IF(OR('Base Encuesta'!W222="",IFERROR(VALUE(LEFT('Base Encuesta'!K222,1)),"")&gt;=3),"",VALUE(LEFT('Base Encuesta'!W222,1)))</f>
        <v/>
      </c>
      <c r="Q248" t="str">
        <f>IF(OR('Base Encuesta'!X222="",IFERROR(VALUE(LEFT('Base Encuesta'!K222,1)),"")&gt;=3),"",VALUE(LEFT('Base Encuesta'!X222,1)))</f>
        <v/>
      </c>
      <c r="R248" t="str">
        <f>IF(OR('Base Encuesta'!Y222="",IFERROR(VALUE(LEFT('Base Encuesta'!K222,1)),"")&gt;=3),"",VALUE(LEFT('Base Encuesta'!Y222,1)))</f>
        <v/>
      </c>
      <c r="S248" t="str">
        <f>IF(OR('Base Encuesta'!Z222="",IFERROR(VALUE(LEFT('Base Encuesta'!K222,1)),"")&gt;=3),"",VALUE(LEFT('Base Encuesta'!Z222,1)))</f>
        <v/>
      </c>
      <c r="T248" t="str">
        <f>IF(OR('Base Encuesta'!AA222="",IFERROR(VALUE(LEFT('Base Encuesta'!K222,1)),"")&gt;=3),"",VALUE(LEFT('Base Encuesta'!AA222,1)))</f>
        <v/>
      </c>
      <c r="U248" t="str">
        <f>IF(OR('Base Encuesta'!AB222="",IFERROR(VALUE(LEFT('Base Encuesta'!K222,1)),"")&gt;=3),"",VALUE(LEFT('Base Encuesta'!AB222,1)))</f>
        <v/>
      </c>
      <c r="V248" t="str">
        <f>IF(OR('Base Encuesta'!AC222="",IFERROR(VALUE(LEFT('Base Encuesta'!K222,1)),"")&gt;=3),"",VALUE(LEFT('Base Encuesta'!AC222,1)))</f>
        <v/>
      </c>
      <c r="W248" t="str">
        <f>IF(OR('Base Encuesta'!AE222="",IFERROR(VALUE(LEFT('Base Encuesta'!K222,1)),"")&gt;=3),"",VALUE(LEFT('Base Encuesta'!AE222,1)))</f>
        <v/>
      </c>
      <c r="X248" t="str">
        <f>IF(OR('Base Encuesta'!AF222="",IFERROR(VALUE(LEFT('Base Encuesta'!K222,1)),"")&gt;=3),"",IF(W248=1,VALUE(LEFT('Base Encuesta'!AF222,1)),""))</f>
        <v/>
      </c>
      <c r="Y248" t="str">
        <f>IF(OR('Base Encuesta'!AG222="",IFERROR(VALUE(LEFT('Base Encuesta'!K222,1)),"")&gt;=3),"",IF(W248=1,VALUE(LEFT('Base Encuesta'!AG222,1)),""))</f>
        <v/>
      </c>
      <c r="Z248" t="str">
        <f>IF(OR('Base Encuesta'!AH222="",IFERROR(VALUE(LEFT('Base Encuesta'!K222,1)),"")&gt;=3),"",IF(W248=1,VALUE(LEFT('Base Encuesta'!AH222,1)),""))</f>
        <v/>
      </c>
      <c r="AA248" t="str">
        <f>IF(OR('Base Encuesta'!AI222="",IFERROR(VALUE(LEFT('Base Encuesta'!K222,1)),"")&gt;=3),"",IF(W248=1,VALUE(LEFT('Base Encuesta'!AI222,1)),""))</f>
        <v/>
      </c>
      <c r="AB248" t="str">
        <f>IF(OR('Base Encuesta'!AJ222="",IFERROR(VALUE(LEFT('Base Encuesta'!K222,1)),"")&gt;=3),"",IF(W248=1,VALUE(LEFT('Base Encuesta'!AJ222,1)),""))</f>
        <v/>
      </c>
      <c r="AC248" t="str">
        <f>IF(OR('Base Encuesta'!AL222="",IFERROR(VALUE(LEFT('Base Encuesta'!K222,1)),"")&gt;=3),"",VALUE(LEFT('Base Encuesta'!AL222,1)))</f>
        <v/>
      </c>
      <c r="AD248" t="str">
        <f>IF(OR('Base Encuesta'!AM222="",IFERROR(VALUE(LEFT('Base Encuesta'!K222,1)),"")&gt;=3),"",VALUE(LEFT('Base Encuesta'!AM222,1)))</f>
        <v/>
      </c>
      <c r="AE248" t="str">
        <f>IF(OR('Base Encuesta'!AN222="",IFERROR(VALUE(LEFT('Base Encuesta'!K222,1)),"")&gt;=3),"",VALUE(LEFT('Base Encuesta'!AN222,1)))</f>
        <v/>
      </c>
      <c r="AF248" t="str">
        <f>IF(OR('Base Encuesta'!AO222="",IFERROR(VALUE(LEFT('Base Encuesta'!K222,1)),"")&gt;=3),"",VALUE(LEFT('Base Encuesta'!AO222,1)))</f>
        <v/>
      </c>
      <c r="AG248" t="str">
        <f>IF(OR('Base Encuesta'!AQ222="",IFERROR(VALUE(LEFT('Base Encuesta'!K222,1)),"")&gt;=3),"",VALUE(LEFT('Base Encuesta'!AQ222,1)))</f>
        <v/>
      </c>
      <c r="AH248" t="str">
        <f>IF(OR('Base Encuesta'!AR222="",IFERROR(VALUE(LEFT('Base Encuesta'!K222,1)),"")&gt;=3),"",VALUE(LEFT('Base Encuesta'!AR222,1)))</f>
        <v/>
      </c>
    </row>
    <row r="249" spans="1:34">
      <c r="A249" t="str">
        <f>IF('Base Encuesta'!C223="","",'Base Encuesta'!C223)</f>
        <v/>
      </c>
      <c r="B249" t="str">
        <f>IF('Base Encuesta'!D223="","",'Base Encuesta'!D223)</f>
        <v/>
      </c>
      <c r="C249" t="str">
        <f>IF('Base Encuesta'!E223="","",'Base Encuesta'!E223)</f>
        <v/>
      </c>
      <c r="D249" t="str">
        <f>IF('Base Encuesta'!F223="","",'Base Encuesta'!F223)</f>
        <v/>
      </c>
      <c r="E249" t="str">
        <f>IF('Base Encuesta'!G223="","",'Base Encuesta'!G223)</f>
        <v/>
      </c>
      <c r="F249" t="str">
        <f>IF('Base Encuesta'!H223="","",'Base Encuesta'!H223)</f>
        <v/>
      </c>
      <c r="G249" t="str">
        <f>IF('Base Encuesta'!I223="","",'Base Encuesta'!I223)</f>
        <v/>
      </c>
      <c r="H249" t="str">
        <f>IF('Base Encuesta'!J223="","",'Base Encuesta'!J223)</f>
        <v/>
      </c>
      <c r="I249" t="str">
        <f>IF('Base Encuesta'!K223="","",'Base Encuesta'!K223)</f>
        <v/>
      </c>
      <c r="J249" t="str">
        <f>IF(OR('Base Encuesta'!P223="",IFERROR(VALUE(LEFT('Base Encuesta'!K223,1)),"")&gt;=3),"",PROPER(TRIM('Base Encuesta'!P223)))</f>
        <v/>
      </c>
      <c r="K249" t="str">
        <f>IF(OR('Base Encuesta'!Q223="",IFERROR(VALUE(LEFT('Base Encuesta'!K223,1)),"")&gt;=3),"",'Base Encuesta'!Q223)</f>
        <v/>
      </c>
      <c r="L249" t="str">
        <f>IF(OR('Base Encuesta'!R223="",IFERROR(VALUE(LEFT('Base Encuesta'!K223,1)),"")&gt;=3),"",VALUE(LEFT('Base Encuesta'!R223,1)))</f>
        <v/>
      </c>
      <c r="M249" t="str">
        <f>IF(OR('Base Encuesta'!S223="",IFERROR(VALUE(LEFT('Base Encuesta'!K223,1)),"")&gt;=3),"",VALUE(LEFT('Base Encuesta'!S223,1)))</f>
        <v/>
      </c>
      <c r="N249" t="str">
        <f>IF(OR('Base Encuesta'!T223="",IFERROR(VALUE(LEFT('Base Encuesta'!K223,1)),"")&gt;=3),"",VALUE(LEFT('Base Encuesta'!T223,1)))</f>
        <v/>
      </c>
      <c r="O249" t="str">
        <f>IF(OR('Base Encuesta'!V223="",IFERROR(VALUE(LEFT('Base Encuesta'!K223,1)),"")&gt;=3),"",VALUE(LEFT('Base Encuesta'!V223,1)))</f>
        <v/>
      </c>
      <c r="P249" t="str">
        <f>IF(OR('Base Encuesta'!W223="",IFERROR(VALUE(LEFT('Base Encuesta'!K223,1)),"")&gt;=3),"",VALUE(LEFT('Base Encuesta'!W223,1)))</f>
        <v/>
      </c>
      <c r="Q249" t="str">
        <f>IF(OR('Base Encuesta'!X223="",IFERROR(VALUE(LEFT('Base Encuesta'!K223,1)),"")&gt;=3),"",VALUE(LEFT('Base Encuesta'!X223,1)))</f>
        <v/>
      </c>
      <c r="R249" t="str">
        <f>IF(OR('Base Encuesta'!Y223="",IFERROR(VALUE(LEFT('Base Encuesta'!K223,1)),"")&gt;=3),"",VALUE(LEFT('Base Encuesta'!Y223,1)))</f>
        <v/>
      </c>
      <c r="S249" t="str">
        <f>IF(OR('Base Encuesta'!Z223="",IFERROR(VALUE(LEFT('Base Encuesta'!K223,1)),"")&gt;=3),"",VALUE(LEFT('Base Encuesta'!Z223,1)))</f>
        <v/>
      </c>
      <c r="T249" t="str">
        <f>IF(OR('Base Encuesta'!AA223="",IFERROR(VALUE(LEFT('Base Encuesta'!K223,1)),"")&gt;=3),"",VALUE(LEFT('Base Encuesta'!AA223,1)))</f>
        <v/>
      </c>
      <c r="U249" t="str">
        <f>IF(OR('Base Encuesta'!AB223="",IFERROR(VALUE(LEFT('Base Encuesta'!K223,1)),"")&gt;=3),"",VALUE(LEFT('Base Encuesta'!AB223,1)))</f>
        <v/>
      </c>
      <c r="V249" t="str">
        <f>IF(OR('Base Encuesta'!AC223="",IFERROR(VALUE(LEFT('Base Encuesta'!K223,1)),"")&gt;=3),"",VALUE(LEFT('Base Encuesta'!AC223,1)))</f>
        <v/>
      </c>
      <c r="W249" t="str">
        <f>IF(OR('Base Encuesta'!AE223="",IFERROR(VALUE(LEFT('Base Encuesta'!K223,1)),"")&gt;=3),"",VALUE(LEFT('Base Encuesta'!AE223,1)))</f>
        <v/>
      </c>
      <c r="X249" t="str">
        <f>IF(OR('Base Encuesta'!AF223="",IFERROR(VALUE(LEFT('Base Encuesta'!K223,1)),"")&gt;=3),"",IF(W249=1,VALUE(LEFT('Base Encuesta'!AF223,1)),""))</f>
        <v/>
      </c>
      <c r="Y249" t="str">
        <f>IF(OR('Base Encuesta'!AG223="",IFERROR(VALUE(LEFT('Base Encuesta'!K223,1)),"")&gt;=3),"",IF(W249=1,VALUE(LEFT('Base Encuesta'!AG223,1)),""))</f>
        <v/>
      </c>
      <c r="Z249" t="str">
        <f>IF(OR('Base Encuesta'!AH223="",IFERROR(VALUE(LEFT('Base Encuesta'!K223,1)),"")&gt;=3),"",IF(W249=1,VALUE(LEFT('Base Encuesta'!AH223,1)),""))</f>
        <v/>
      </c>
      <c r="AA249" t="str">
        <f>IF(OR('Base Encuesta'!AI223="",IFERROR(VALUE(LEFT('Base Encuesta'!K223,1)),"")&gt;=3),"",IF(W249=1,VALUE(LEFT('Base Encuesta'!AI223,1)),""))</f>
        <v/>
      </c>
      <c r="AB249" t="str">
        <f>IF(OR('Base Encuesta'!AJ223="",IFERROR(VALUE(LEFT('Base Encuesta'!K223,1)),"")&gt;=3),"",IF(W249=1,VALUE(LEFT('Base Encuesta'!AJ223,1)),""))</f>
        <v/>
      </c>
      <c r="AC249" t="str">
        <f>IF(OR('Base Encuesta'!AL223="",IFERROR(VALUE(LEFT('Base Encuesta'!K223,1)),"")&gt;=3),"",VALUE(LEFT('Base Encuesta'!AL223,1)))</f>
        <v/>
      </c>
      <c r="AD249" t="str">
        <f>IF(OR('Base Encuesta'!AM223="",IFERROR(VALUE(LEFT('Base Encuesta'!K223,1)),"")&gt;=3),"",VALUE(LEFT('Base Encuesta'!AM223,1)))</f>
        <v/>
      </c>
      <c r="AE249" t="str">
        <f>IF(OR('Base Encuesta'!AN223="",IFERROR(VALUE(LEFT('Base Encuesta'!K223,1)),"")&gt;=3),"",VALUE(LEFT('Base Encuesta'!AN223,1)))</f>
        <v/>
      </c>
      <c r="AF249" t="str">
        <f>IF(OR('Base Encuesta'!AO223="",IFERROR(VALUE(LEFT('Base Encuesta'!K223,1)),"")&gt;=3),"",VALUE(LEFT('Base Encuesta'!AO223,1)))</f>
        <v/>
      </c>
      <c r="AG249" t="str">
        <f>IF(OR('Base Encuesta'!AQ223="",IFERROR(VALUE(LEFT('Base Encuesta'!K223,1)),"")&gt;=3),"",VALUE(LEFT('Base Encuesta'!AQ223,1)))</f>
        <v/>
      </c>
      <c r="AH249" t="str">
        <f>IF(OR('Base Encuesta'!AR223="",IFERROR(VALUE(LEFT('Base Encuesta'!K223,1)),"")&gt;=3),"",VALUE(LEFT('Base Encuesta'!AR223,1)))</f>
        <v/>
      </c>
    </row>
    <row r="250" spans="1:34">
      <c r="A250" t="str">
        <f>IF('Base Encuesta'!C224="","",'Base Encuesta'!C224)</f>
        <v/>
      </c>
      <c r="B250" t="str">
        <f>IF('Base Encuesta'!D224="","",'Base Encuesta'!D224)</f>
        <v/>
      </c>
      <c r="C250" t="str">
        <f>IF('Base Encuesta'!E224="","",'Base Encuesta'!E224)</f>
        <v/>
      </c>
      <c r="D250" t="str">
        <f>IF('Base Encuesta'!F224="","",'Base Encuesta'!F224)</f>
        <v/>
      </c>
      <c r="E250" t="str">
        <f>IF('Base Encuesta'!G224="","",'Base Encuesta'!G224)</f>
        <v/>
      </c>
      <c r="F250" t="str">
        <f>IF('Base Encuesta'!H224="","",'Base Encuesta'!H224)</f>
        <v/>
      </c>
      <c r="G250" t="str">
        <f>IF('Base Encuesta'!I224="","",'Base Encuesta'!I224)</f>
        <v/>
      </c>
      <c r="H250" t="str">
        <f>IF('Base Encuesta'!J224="","",'Base Encuesta'!J224)</f>
        <v/>
      </c>
      <c r="I250" t="str">
        <f>IF('Base Encuesta'!K224="","",'Base Encuesta'!K224)</f>
        <v/>
      </c>
      <c r="J250" t="str">
        <f>IF(OR('Base Encuesta'!P224="",IFERROR(VALUE(LEFT('Base Encuesta'!K224,1)),"")&gt;=3),"",PROPER(TRIM('Base Encuesta'!P224)))</f>
        <v/>
      </c>
      <c r="K250" t="str">
        <f>IF(OR('Base Encuesta'!Q224="",IFERROR(VALUE(LEFT('Base Encuesta'!K224,1)),"")&gt;=3),"",'Base Encuesta'!Q224)</f>
        <v/>
      </c>
      <c r="L250" t="str">
        <f>IF(OR('Base Encuesta'!R224="",IFERROR(VALUE(LEFT('Base Encuesta'!K224,1)),"")&gt;=3),"",VALUE(LEFT('Base Encuesta'!R224,1)))</f>
        <v/>
      </c>
      <c r="M250" t="str">
        <f>IF(OR('Base Encuesta'!S224="",IFERROR(VALUE(LEFT('Base Encuesta'!K224,1)),"")&gt;=3),"",VALUE(LEFT('Base Encuesta'!S224,1)))</f>
        <v/>
      </c>
      <c r="N250" t="str">
        <f>IF(OR('Base Encuesta'!T224="",IFERROR(VALUE(LEFT('Base Encuesta'!K224,1)),"")&gt;=3),"",VALUE(LEFT('Base Encuesta'!T224,1)))</f>
        <v/>
      </c>
      <c r="O250" t="str">
        <f>IF(OR('Base Encuesta'!V224="",IFERROR(VALUE(LEFT('Base Encuesta'!K224,1)),"")&gt;=3),"",VALUE(LEFT('Base Encuesta'!V224,1)))</f>
        <v/>
      </c>
      <c r="P250" t="str">
        <f>IF(OR('Base Encuesta'!W224="",IFERROR(VALUE(LEFT('Base Encuesta'!K224,1)),"")&gt;=3),"",VALUE(LEFT('Base Encuesta'!W224,1)))</f>
        <v/>
      </c>
      <c r="Q250" t="str">
        <f>IF(OR('Base Encuesta'!X224="",IFERROR(VALUE(LEFT('Base Encuesta'!K224,1)),"")&gt;=3),"",VALUE(LEFT('Base Encuesta'!X224,1)))</f>
        <v/>
      </c>
      <c r="R250" t="str">
        <f>IF(OR('Base Encuesta'!Y224="",IFERROR(VALUE(LEFT('Base Encuesta'!K224,1)),"")&gt;=3),"",VALUE(LEFT('Base Encuesta'!Y224,1)))</f>
        <v/>
      </c>
      <c r="S250" t="str">
        <f>IF(OR('Base Encuesta'!Z224="",IFERROR(VALUE(LEFT('Base Encuesta'!K224,1)),"")&gt;=3),"",VALUE(LEFT('Base Encuesta'!Z224,1)))</f>
        <v/>
      </c>
      <c r="T250" t="str">
        <f>IF(OR('Base Encuesta'!AA224="",IFERROR(VALUE(LEFT('Base Encuesta'!K224,1)),"")&gt;=3),"",VALUE(LEFT('Base Encuesta'!AA224,1)))</f>
        <v/>
      </c>
      <c r="U250" t="str">
        <f>IF(OR('Base Encuesta'!AB224="",IFERROR(VALUE(LEFT('Base Encuesta'!K224,1)),"")&gt;=3),"",VALUE(LEFT('Base Encuesta'!AB224,1)))</f>
        <v/>
      </c>
      <c r="V250" t="str">
        <f>IF(OR('Base Encuesta'!AC224="",IFERROR(VALUE(LEFT('Base Encuesta'!K224,1)),"")&gt;=3),"",VALUE(LEFT('Base Encuesta'!AC224,1)))</f>
        <v/>
      </c>
      <c r="W250" t="str">
        <f>IF(OR('Base Encuesta'!AE224="",IFERROR(VALUE(LEFT('Base Encuesta'!K224,1)),"")&gt;=3),"",VALUE(LEFT('Base Encuesta'!AE224,1)))</f>
        <v/>
      </c>
      <c r="X250" t="str">
        <f>IF(OR('Base Encuesta'!AF224="",IFERROR(VALUE(LEFT('Base Encuesta'!K224,1)),"")&gt;=3),"",IF(W250=1,VALUE(LEFT('Base Encuesta'!AF224,1)),""))</f>
        <v/>
      </c>
      <c r="Y250" t="str">
        <f>IF(OR('Base Encuesta'!AG224="",IFERROR(VALUE(LEFT('Base Encuesta'!K224,1)),"")&gt;=3),"",IF(W250=1,VALUE(LEFT('Base Encuesta'!AG224,1)),""))</f>
        <v/>
      </c>
      <c r="Z250" t="str">
        <f>IF(OR('Base Encuesta'!AH224="",IFERROR(VALUE(LEFT('Base Encuesta'!K224,1)),"")&gt;=3),"",IF(W250=1,VALUE(LEFT('Base Encuesta'!AH224,1)),""))</f>
        <v/>
      </c>
      <c r="AA250" t="str">
        <f>IF(OR('Base Encuesta'!AI224="",IFERROR(VALUE(LEFT('Base Encuesta'!K224,1)),"")&gt;=3),"",IF(W250=1,VALUE(LEFT('Base Encuesta'!AI224,1)),""))</f>
        <v/>
      </c>
      <c r="AB250" t="str">
        <f>IF(OR('Base Encuesta'!AJ224="",IFERROR(VALUE(LEFT('Base Encuesta'!K224,1)),"")&gt;=3),"",IF(W250=1,VALUE(LEFT('Base Encuesta'!AJ224,1)),""))</f>
        <v/>
      </c>
      <c r="AC250" t="str">
        <f>IF(OR('Base Encuesta'!AL224="",IFERROR(VALUE(LEFT('Base Encuesta'!K224,1)),"")&gt;=3),"",VALUE(LEFT('Base Encuesta'!AL224,1)))</f>
        <v/>
      </c>
      <c r="AD250" t="str">
        <f>IF(OR('Base Encuesta'!AM224="",IFERROR(VALUE(LEFT('Base Encuesta'!K224,1)),"")&gt;=3),"",VALUE(LEFT('Base Encuesta'!AM224,1)))</f>
        <v/>
      </c>
      <c r="AE250" t="str">
        <f>IF(OR('Base Encuesta'!AN224="",IFERROR(VALUE(LEFT('Base Encuesta'!K224,1)),"")&gt;=3),"",VALUE(LEFT('Base Encuesta'!AN224,1)))</f>
        <v/>
      </c>
      <c r="AF250" t="str">
        <f>IF(OR('Base Encuesta'!AO224="",IFERROR(VALUE(LEFT('Base Encuesta'!K224,1)),"")&gt;=3),"",VALUE(LEFT('Base Encuesta'!AO224,1)))</f>
        <v/>
      </c>
      <c r="AG250" t="str">
        <f>IF(OR('Base Encuesta'!AQ224="",IFERROR(VALUE(LEFT('Base Encuesta'!K224,1)),"")&gt;=3),"",VALUE(LEFT('Base Encuesta'!AQ224,1)))</f>
        <v/>
      </c>
      <c r="AH250" t="str">
        <f>IF(OR('Base Encuesta'!AR224="",IFERROR(VALUE(LEFT('Base Encuesta'!K224,1)),"")&gt;=3),"",VALUE(LEFT('Base Encuesta'!AR224,1)))</f>
        <v/>
      </c>
    </row>
    <row r="251" spans="1:34">
      <c r="A251" t="str">
        <f>IF('Base Encuesta'!C225="","",'Base Encuesta'!C225)</f>
        <v/>
      </c>
      <c r="B251" t="str">
        <f>IF('Base Encuesta'!D225="","",'Base Encuesta'!D225)</f>
        <v/>
      </c>
      <c r="C251" t="str">
        <f>IF('Base Encuesta'!E225="","",'Base Encuesta'!E225)</f>
        <v/>
      </c>
      <c r="D251" t="str">
        <f>IF('Base Encuesta'!F225="","",'Base Encuesta'!F225)</f>
        <v/>
      </c>
      <c r="E251" t="str">
        <f>IF('Base Encuesta'!G225="","",'Base Encuesta'!G225)</f>
        <v/>
      </c>
      <c r="F251" t="str">
        <f>IF('Base Encuesta'!H225="","",'Base Encuesta'!H225)</f>
        <v/>
      </c>
      <c r="G251" t="str">
        <f>IF('Base Encuesta'!I225="","",'Base Encuesta'!I225)</f>
        <v/>
      </c>
      <c r="H251" t="str">
        <f>IF('Base Encuesta'!J225="","",'Base Encuesta'!J225)</f>
        <v/>
      </c>
      <c r="I251" t="str">
        <f>IF('Base Encuesta'!K225="","",'Base Encuesta'!K225)</f>
        <v/>
      </c>
      <c r="J251" t="str">
        <f>IF(OR('Base Encuesta'!P225="",IFERROR(VALUE(LEFT('Base Encuesta'!K225,1)),"")&gt;=3),"",PROPER(TRIM('Base Encuesta'!P225)))</f>
        <v/>
      </c>
      <c r="K251" t="str">
        <f>IF(OR('Base Encuesta'!Q225="",IFERROR(VALUE(LEFT('Base Encuesta'!K225,1)),"")&gt;=3),"",'Base Encuesta'!Q225)</f>
        <v/>
      </c>
      <c r="L251" t="str">
        <f>IF(OR('Base Encuesta'!R225="",IFERROR(VALUE(LEFT('Base Encuesta'!K225,1)),"")&gt;=3),"",VALUE(LEFT('Base Encuesta'!R225,1)))</f>
        <v/>
      </c>
      <c r="M251" t="str">
        <f>IF(OR('Base Encuesta'!S225="",IFERROR(VALUE(LEFT('Base Encuesta'!K225,1)),"")&gt;=3),"",VALUE(LEFT('Base Encuesta'!S225,1)))</f>
        <v/>
      </c>
      <c r="N251" t="str">
        <f>IF(OR('Base Encuesta'!T225="",IFERROR(VALUE(LEFT('Base Encuesta'!K225,1)),"")&gt;=3),"",VALUE(LEFT('Base Encuesta'!T225,1)))</f>
        <v/>
      </c>
      <c r="O251" t="str">
        <f>IF(OR('Base Encuesta'!V225="",IFERROR(VALUE(LEFT('Base Encuesta'!K225,1)),"")&gt;=3),"",VALUE(LEFT('Base Encuesta'!V225,1)))</f>
        <v/>
      </c>
      <c r="P251" t="str">
        <f>IF(OR('Base Encuesta'!W225="",IFERROR(VALUE(LEFT('Base Encuesta'!K225,1)),"")&gt;=3),"",VALUE(LEFT('Base Encuesta'!W225,1)))</f>
        <v/>
      </c>
      <c r="Q251" t="str">
        <f>IF(OR('Base Encuesta'!X225="",IFERROR(VALUE(LEFT('Base Encuesta'!K225,1)),"")&gt;=3),"",VALUE(LEFT('Base Encuesta'!X225,1)))</f>
        <v/>
      </c>
      <c r="R251" t="str">
        <f>IF(OR('Base Encuesta'!Y225="",IFERROR(VALUE(LEFT('Base Encuesta'!K225,1)),"")&gt;=3),"",VALUE(LEFT('Base Encuesta'!Y225,1)))</f>
        <v/>
      </c>
      <c r="S251" t="str">
        <f>IF(OR('Base Encuesta'!Z225="",IFERROR(VALUE(LEFT('Base Encuesta'!K225,1)),"")&gt;=3),"",VALUE(LEFT('Base Encuesta'!Z225,1)))</f>
        <v/>
      </c>
      <c r="T251" t="str">
        <f>IF(OR('Base Encuesta'!AA225="",IFERROR(VALUE(LEFT('Base Encuesta'!K225,1)),"")&gt;=3),"",VALUE(LEFT('Base Encuesta'!AA225,1)))</f>
        <v/>
      </c>
      <c r="U251" t="str">
        <f>IF(OR('Base Encuesta'!AB225="",IFERROR(VALUE(LEFT('Base Encuesta'!K225,1)),"")&gt;=3),"",VALUE(LEFT('Base Encuesta'!AB225,1)))</f>
        <v/>
      </c>
      <c r="V251" t="str">
        <f>IF(OR('Base Encuesta'!AC225="",IFERROR(VALUE(LEFT('Base Encuesta'!K225,1)),"")&gt;=3),"",VALUE(LEFT('Base Encuesta'!AC225,1)))</f>
        <v/>
      </c>
      <c r="W251" t="str">
        <f>IF(OR('Base Encuesta'!AE225="",IFERROR(VALUE(LEFT('Base Encuesta'!K225,1)),"")&gt;=3),"",VALUE(LEFT('Base Encuesta'!AE225,1)))</f>
        <v/>
      </c>
      <c r="X251" t="str">
        <f>IF(OR('Base Encuesta'!AF225="",IFERROR(VALUE(LEFT('Base Encuesta'!K225,1)),"")&gt;=3),"",IF(W251=1,VALUE(LEFT('Base Encuesta'!AF225,1)),""))</f>
        <v/>
      </c>
      <c r="Y251" t="str">
        <f>IF(OR('Base Encuesta'!AG225="",IFERROR(VALUE(LEFT('Base Encuesta'!K225,1)),"")&gt;=3),"",IF(W251=1,VALUE(LEFT('Base Encuesta'!AG225,1)),""))</f>
        <v/>
      </c>
      <c r="Z251" t="str">
        <f>IF(OR('Base Encuesta'!AH225="",IFERROR(VALUE(LEFT('Base Encuesta'!K225,1)),"")&gt;=3),"",IF(W251=1,VALUE(LEFT('Base Encuesta'!AH225,1)),""))</f>
        <v/>
      </c>
      <c r="AA251" t="str">
        <f>IF(OR('Base Encuesta'!AI225="",IFERROR(VALUE(LEFT('Base Encuesta'!K225,1)),"")&gt;=3),"",IF(W251=1,VALUE(LEFT('Base Encuesta'!AI225,1)),""))</f>
        <v/>
      </c>
      <c r="AB251" t="str">
        <f>IF(OR('Base Encuesta'!AJ225="",IFERROR(VALUE(LEFT('Base Encuesta'!K225,1)),"")&gt;=3),"",IF(W251=1,VALUE(LEFT('Base Encuesta'!AJ225,1)),""))</f>
        <v/>
      </c>
      <c r="AC251" t="str">
        <f>IF(OR('Base Encuesta'!AL225="",IFERROR(VALUE(LEFT('Base Encuesta'!K225,1)),"")&gt;=3),"",VALUE(LEFT('Base Encuesta'!AL225,1)))</f>
        <v/>
      </c>
      <c r="AD251" t="str">
        <f>IF(OR('Base Encuesta'!AM225="",IFERROR(VALUE(LEFT('Base Encuesta'!K225,1)),"")&gt;=3),"",VALUE(LEFT('Base Encuesta'!AM225,1)))</f>
        <v/>
      </c>
      <c r="AE251" t="str">
        <f>IF(OR('Base Encuesta'!AN225="",IFERROR(VALUE(LEFT('Base Encuesta'!K225,1)),"")&gt;=3),"",VALUE(LEFT('Base Encuesta'!AN225,1)))</f>
        <v/>
      </c>
      <c r="AF251" t="str">
        <f>IF(OR('Base Encuesta'!AO225="",IFERROR(VALUE(LEFT('Base Encuesta'!K225,1)),"")&gt;=3),"",VALUE(LEFT('Base Encuesta'!AO225,1)))</f>
        <v/>
      </c>
      <c r="AG251" t="str">
        <f>IF(OR('Base Encuesta'!AQ225="",IFERROR(VALUE(LEFT('Base Encuesta'!K225,1)),"")&gt;=3),"",VALUE(LEFT('Base Encuesta'!AQ225,1)))</f>
        <v/>
      </c>
      <c r="AH251" t="str">
        <f>IF(OR('Base Encuesta'!AR225="",IFERROR(VALUE(LEFT('Base Encuesta'!K225,1)),"")&gt;=3),"",VALUE(LEFT('Base Encuesta'!AR225,1)))</f>
        <v/>
      </c>
    </row>
    <row r="252" spans="1:34">
      <c r="A252" t="str">
        <f>IF('Base Encuesta'!C226="","",'Base Encuesta'!C226)</f>
        <v/>
      </c>
      <c r="B252" t="str">
        <f>IF('Base Encuesta'!D226="","",'Base Encuesta'!D226)</f>
        <v/>
      </c>
      <c r="C252" t="str">
        <f>IF('Base Encuesta'!E226="","",'Base Encuesta'!E226)</f>
        <v/>
      </c>
      <c r="D252" t="str">
        <f>IF('Base Encuesta'!F226="","",'Base Encuesta'!F226)</f>
        <v/>
      </c>
      <c r="E252" t="str">
        <f>IF('Base Encuesta'!G226="","",'Base Encuesta'!G226)</f>
        <v/>
      </c>
      <c r="F252" t="str">
        <f>IF('Base Encuesta'!H226="","",'Base Encuesta'!H226)</f>
        <v/>
      </c>
      <c r="G252" t="str">
        <f>IF('Base Encuesta'!I226="","",'Base Encuesta'!I226)</f>
        <v/>
      </c>
      <c r="H252" t="str">
        <f>IF('Base Encuesta'!J226="","",'Base Encuesta'!J226)</f>
        <v/>
      </c>
      <c r="I252" t="str">
        <f>IF('Base Encuesta'!K226="","",'Base Encuesta'!K226)</f>
        <v/>
      </c>
      <c r="J252" t="str">
        <f>IF(OR('Base Encuesta'!P226="",IFERROR(VALUE(LEFT('Base Encuesta'!K226,1)),"")&gt;=3),"",PROPER(TRIM('Base Encuesta'!P226)))</f>
        <v/>
      </c>
      <c r="K252" t="str">
        <f>IF(OR('Base Encuesta'!Q226="",IFERROR(VALUE(LEFT('Base Encuesta'!K226,1)),"")&gt;=3),"",'Base Encuesta'!Q226)</f>
        <v/>
      </c>
      <c r="L252" t="str">
        <f>IF(OR('Base Encuesta'!R226="",IFERROR(VALUE(LEFT('Base Encuesta'!K226,1)),"")&gt;=3),"",VALUE(LEFT('Base Encuesta'!R226,1)))</f>
        <v/>
      </c>
      <c r="M252" t="str">
        <f>IF(OR('Base Encuesta'!S226="",IFERROR(VALUE(LEFT('Base Encuesta'!K226,1)),"")&gt;=3),"",VALUE(LEFT('Base Encuesta'!S226,1)))</f>
        <v/>
      </c>
      <c r="N252" t="str">
        <f>IF(OR('Base Encuesta'!T226="",IFERROR(VALUE(LEFT('Base Encuesta'!K226,1)),"")&gt;=3),"",VALUE(LEFT('Base Encuesta'!T226,1)))</f>
        <v/>
      </c>
      <c r="O252" t="str">
        <f>IF(OR('Base Encuesta'!V226="",IFERROR(VALUE(LEFT('Base Encuesta'!K226,1)),"")&gt;=3),"",VALUE(LEFT('Base Encuesta'!V226,1)))</f>
        <v/>
      </c>
      <c r="P252" t="str">
        <f>IF(OR('Base Encuesta'!W226="",IFERROR(VALUE(LEFT('Base Encuesta'!K226,1)),"")&gt;=3),"",VALUE(LEFT('Base Encuesta'!W226,1)))</f>
        <v/>
      </c>
      <c r="Q252" t="str">
        <f>IF(OR('Base Encuesta'!X226="",IFERROR(VALUE(LEFT('Base Encuesta'!K226,1)),"")&gt;=3),"",VALUE(LEFT('Base Encuesta'!X226,1)))</f>
        <v/>
      </c>
      <c r="R252" t="str">
        <f>IF(OR('Base Encuesta'!Y226="",IFERROR(VALUE(LEFT('Base Encuesta'!K226,1)),"")&gt;=3),"",VALUE(LEFT('Base Encuesta'!Y226,1)))</f>
        <v/>
      </c>
      <c r="S252" t="str">
        <f>IF(OR('Base Encuesta'!Z226="",IFERROR(VALUE(LEFT('Base Encuesta'!K226,1)),"")&gt;=3),"",VALUE(LEFT('Base Encuesta'!Z226,1)))</f>
        <v/>
      </c>
      <c r="T252" t="str">
        <f>IF(OR('Base Encuesta'!AA226="",IFERROR(VALUE(LEFT('Base Encuesta'!K226,1)),"")&gt;=3),"",VALUE(LEFT('Base Encuesta'!AA226,1)))</f>
        <v/>
      </c>
      <c r="U252" t="str">
        <f>IF(OR('Base Encuesta'!AB226="",IFERROR(VALUE(LEFT('Base Encuesta'!K226,1)),"")&gt;=3),"",VALUE(LEFT('Base Encuesta'!AB226,1)))</f>
        <v/>
      </c>
      <c r="V252" t="str">
        <f>IF(OR('Base Encuesta'!AC226="",IFERROR(VALUE(LEFT('Base Encuesta'!K226,1)),"")&gt;=3),"",VALUE(LEFT('Base Encuesta'!AC226,1)))</f>
        <v/>
      </c>
      <c r="W252" t="str">
        <f>IF(OR('Base Encuesta'!AE226="",IFERROR(VALUE(LEFT('Base Encuesta'!K226,1)),"")&gt;=3),"",VALUE(LEFT('Base Encuesta'!AE226,1)))</f>
        <v/>
      </c>
      <c r="X252" t="str">
        <f>IF(OR('Base Encuesta'!AF226="",IFERROR(VALUE(LEFT('Base Encuesta'!K226,1)),"")&gt;=3),"",IF(W252=1,VALUE(LEFT('Base Encuesta'!AF226,1)),""))</f>
        <v/>
      </c>
      <c r="Y252" t="str">
        <f>IF(OR('Base Encuesta'!AG226="",IFERROR(VALUE(LEFT('Base Encuesta'!K226,1)),"")&gt;=3),"",IF(W252=1,VALUE(LEFT('Base Encuesta'!AG226,1)),""))</f>
        <v/>
      </c>
      <c r="Z252" t="str">
        <f>IF(OR('Base Encuesta'!AH226="",IFERROR(VALUE(LEFT('Base Encuesta'!K226,1)),"")&gt;=3),"",IF(W252=1,VALUE(LEFT('Base Encuesta'!AH226,1)),""))</f>
        <v/>
      </c>
      <c r="AA252" t="str">
        <f>IF(OR('Base Encuesta'!AI226="",IFERROR(VALUE(LEFT('Base Encuesta'!K226,1)),"")&gt;=3),"",IF(W252=1,VALUE(LEFT('Base Encuesta'!AI226,1)),""))</f>
        <v/>
      </c>
      <c r="AB252" t="str">
        <f>IF(OR('Base Encuesta'!AJ226="",IFERROR(VALUE(LEFT('Base Encuesta'!K226,1)),"")&gt;=3),"",IF(W252=1,VALUE(LEFT('Base Encuesta'!AJ226,1)),""))</f>
        <v/>
      </c>
      <c r="AC252" t="str">
        <f>IF(OR('Base Encuesta'!AL226="",IFERROR(VALUE(LEFT('Base Encuesta'!K226,1)),"")&gt;=3),"",VALUE(LEFT('Base Encuesta'!AL226,1)))</f>
        <v/>
      </c>
      <c r="AD252" t="str">
        <f>IF(OR('Base Encuesta'!AM226="",IFERROR(VALUE(LEFT('Base Encuesta'!K226,1)),"")&gt;=3),"",VALUE(LEFT('Base Encuesta'!AM226,1)))</f>
        <v/>
      </c>
      <c r="AE252" t="str">
        <f>IF(OR('Base Encuesta'!AN226="",IFERROR(VALUE(LEFT('Base Encuesta'!K226,1)),"")&gt;=3),"",VALUE(LEFT('Base Encuesta'!AN226,1)))</f>
        <v/>
      </c>
      <c r="AF252" t="str">
        <f>IF(OR('Base Encuesta'!AO226="",IFERROR(VALUE(LEFT('Base Encuesta'!K226,1)),"")&gt;=3),"",VALUE(LEFT('Base Encuesta'!AO226,1)))</f>
        <v/>
      </c>
      <c r="AG252" t="str">
        <f>IF(OR('Base Encuesta'!AQ226="",IFERROR(VALUE(LEFT('Base Encuesta'!K226,1)),"")&gt;=3),"",VALUE(LEFT('Base Encuesta'!AQ226,1)))</f>
        <v/>
      </c>
      <c r="AH252" t="str">
        <f>IF(OR('Base Encuesta'!AR226="",IFERROR(VALUE(LEFT('Base Encuesta'!K226,1)),"")&gt;=3),"",VALUE(LEFT('Base Encuesta'!AR226,1)))</f>
        <v/>
      </c>
    </row>
    <row r="253" spans="1:34">
      <c r="A253" t="str">
        <f>IF('Base Encuesta'!C227="","",'Base Encuesta'!C227)</f>
        <v/>
      </c>
      <c r="B253" t="str">
        <f>IF('Base Encuesta'!D227="","",'Base Encuesta'!D227)</f>
        <v/>
      </c>
      <c r="C253" t="str">
        <f>IF('Base Encuesta'!E227="","",'Base Encuesta'!E227)</f>
        <v/>
      </c>
      <c r="D253" t="str">
        <f>IF('Base Encuesta'!F227="","",'Base Encuesta'!F227)</f>
        <v/>
      </c>
      <c r="E253" t="str">
        <f>IF('Base Encuesta'!G227="","",'Base Encuesta'!G227)</f>
        <v/>
      </c>
      <c r="F253" t="str">
        <f>IF('Base Encuesta'!H227="","",'Base Encuesta'!H227)</f>
        <v/>
      </c>
      <c r="G253" t="str">
        <f>IF('Base Encuesta'!I227="","",'Base Encuesta'!I227)</f>
        <v/>
      </c>
      <c r="H253" t="str">
        <f>IF('Base Encuesta'!J227="","",'Base Encuesta'!J227)</f>
        <v/>
      </c>
      <c r="I253" t="str">
        <f>IF('Base Encuesta'!K227="","",'Base Encuesta'!K227)</f>
        <v/>
      </c>
      <c r="J253" t="str">
        <f>IF(OR('Base Encuesta'!P227="",IFERROR(VALUE(LEFT('Base Encuesta'!K227,1)),"")&gt;=3),"",PROPER(TRIM('Base Encuesta'!P227)))</f>
        <v/>
      </c>
      <c r="K253" t="str">
        <f>IF(OR('Base Encuesta'!Q227="",IFERROR(VALUE(LEFT('Base Encuesta'!K227,1)),"")&gt;=3),"",'Base Encuesta'!Q227)</f>
        <v/>
      </c>
      <c r="L253" t="str">
        <f>IF(OR('Base Encuesta'!R227="",IFERROR(VALUE(LEFT('Base Encuesta'!K227,1)),"")&gt;=3),"",VALUE(LEFT('Base Encuesta'!R227,1)))</f>
        <v/>
      </c>
      <c r="M253" t="str">
        <f>IF(OR('Base Encuesta'!S227="",IFERROR(VALUE(LEFT('Base Encuesta'!K227,1)),"")&gt;=3),"",VALUE(LEFT('Base Encuesta'!S227,1)))</f>
        <v/>
      </c>
      <c r="N253" t="str">
        <f>IF(OR('Base Encuesta'!T227="",IFERROR(VALUE(LEFT('Base Encuesta'!K227,1)),"")&gt;=3),"",VALUE(LEFT('Base Encuesta'!T227,1)))</f>
        <v/>
      </c>
      <c r="O253" t="str">
        <f>IF(OR('Base Encuesta'!V227="",IFERROR(VALUE(LEFT('Base Encuesta'!K227,1)),"")&gt;=3),"",VALUE(LEFT('Base Encuesta'!V227,1)))</f>
        <v/>
      </c>
      <c r="P253" t="str">
        <f>IF(OR('Base Encuesta'!W227="",IFERROR(VALUE(LEFT('Base Encuesta'!K227,1)),"")&gt;=3),"",VALUE(LEFT('Base Encuesta'!W227,1)))</f>
        <v/>
      </c>
      <c r="Q253" t="str">
        <f>IF(OR('Base Encuesta'!X227="",IFERROR(VALUE(LEFT('Base Encuesta'!K227,1)),"")&gt;=3),"",VALUE(LEFT('Base Encuesta'!X227,1)))</f>
        <v/>
      </c>
      <c r="R253" t="str">
        <f>IF(OR('Base Encuesta'!Y227="",IFERROR(VALUE(LEFT('Base Encuesta'!K227,1)),"")&gt;=3),"",VALUE(LEFT('Base Encuesta'!Y227,1)))</f>
        <v/>
      </c>
      <c r="S253" t="str">
        <f>IF(OR('Base Encuesta'!Z227="",IFERROR(VALUE(LEFT('Base Encuesta'!K227,1)),"")&gt;=3),"",VALUE(LEFT('Base Encuesta'!Z227,1)))</f>
        <v/>
      </c>
      <c r="T253" t="str">
        <f>IF(OR('Base Encuesta'!AA227="",IFERROR(VALUE(LEFT('Base Encuesta'!K227,1)),"")&gt;=3),"",VALUE(LEFT('Base Encuesta'!AA227,1)))</f>
        <v/>
      </c>
      <c r="U253" t="str">
        <f>IF(OR('Base Encuesta'!AB227="",IFERROR(VALUE(LEFT('Base Encuesta'!K227,1)),"")&gt;=3),"",VALUE(LEFT('Base Encuesta'!AB227,1)))</f>
        <v/>
      </c>
      <c r="V253" t="str">
        <f>IF(OR('Base Encuesta'!AC227="",IFERROR(VALUE(LEFT('Base Encuesta'!K227,1)),"")&gt;=3),"",VALUE(LEFT('Base Encuesta'!AC227,1)))</f>
        <v/>
      </c>
      <c r="W253" t="str">
        <f>IF(OR('Base Encuesta'!AE227="",IFERROR(VALUE(LEFT('Base Encuesta'!K227,1)),"")&gt;=3),"",VALUE(LEFT('Base Encuesta'!AE227,1)))</f>
        <v/>
      </c>
      <c r="X253" t="str">
        <f>IF(OR('Base Encuesta'!AF227="",IFERROR(VALUE(LEFT('Base Encuesta'!K227,1)),"")&gt;=3),"",IF(W253=1,VALUE(LEFT('Base Encuesta'!AF227,1)),""))</f>
        <v/>
      </c>
      <c r="Y253" t="str">
        <f>IF(OR('Base Encuesta'!AG227="",IFERROR(VALUE(LEFT('Base Encuesta'!K227,1)),"")&gt;=3),"",IF(W253=1,VALUE(LEFT('Base Encuesta'!AG227,1)),""))</f>
        <v/>
      </c>
      <c r="Z253" t="str">
        <f>IF(OR('Base Encuesta'!AH227="",IFERROR(VALUE(LEFT('Base Encuesta'!K227,1)),"")&gt;=3),"",IF(W253=1,VALUE(LEFT('Base Encuesta'!AH227,1)),""))</f>
        <v/>
      </c>
      <c r="AA253" t="str">
        <f>IF(OR('Base Encuesta'!AI227="",IFERROR(VALUE(LEFT('Base Encuesta'!K227,1)),"")&gt;=3),"",IF(W253=1,VALUE(LEFT('Base Encuesta'!AI227,1)),""))</f>
        <v/>
      </c>
      <c r="AB253" t="str">
        <f>IF(OR('Base Encuesta'!AJ227="",IFERROR(VALUE(LEFT('Base Encuesta'!K227,1)),"")&gt;=3),"",IF(W253=1,VALUE(LEFT('Base Encuesta'!AJ227,1)),""))</f>
        <v/>
      </c>
      <c r="AC253" t="str">
        <f>IF(OR('Base Encuesta'!AL227="",IFERROR(VALUE(LEFT('Base Encuesta'!K227,1)),"")&gt;=3),"",VALUE(LEFT('Base Encuesta'!AL227,1)))</f>
        <v/>
      </c>
      <c r="AD253" t="str">
        <f>IF(OR('Base Encuesta'!AM227="",IFERROR(VALUE(LEFT('Base Encuesta'!K227,1)),"")&gt;=3),"",VALUE(LEFT('Base Encuesta'!AM227,1)))</f>
        <v/>
      </c>
      <c r="AE253" t="str">
        <f>IF(OR('Base Encuesta'!AN227="",IFERROR(VALUE(LEFT('Base Encuesta'!K227,1)),"")&gt;=3),"",VALUE(LEFT('Base Encuesta'!AN227,1)))</f>
        <v/>
      </c>
      <c r="AF253" t="str">
        <f>IF(OR('Base Encuesta'!AO227="",IFERROR(VALUE(LEFT('Base Encuesta'!K227,1)),"")&gt;=3),"",VALUE(LEFT('Base Encuesta'!AO227,1)))</f>
        <v/>
      </c>
      <c r="AG253" t="str">
        <f>IF(OR('Base Encuesta'!AQ227="",IFERROR(VALUE(LEFT('Base Encuesta'!K227,1)),"")&gt;=3),"",VALUE(LEFT('Base Encuesta'!AQ227,1)))</f>
        <v/>
      </c>
      <c r="AH253" t="str">
        <f>IF(OR('Base Encuesta'!AR227="",IFERROR(VALUE(LEFT('Base Encuesta'!K227,1)),"")&gt;=3),"",VALUE(LEFT('Base Encuesta'!AR227,1)))</f>
        <v/>
      </c>
    </row>
    <row r="254" spans="1:34">
      <c r="A254" t="str">
        <f>IF('Base Encuesta'!C228="","",'Base Encuesta'!C228)</f>
        <v/>
      </c>
      <c r="B254" t="str">
        <f>IF('Base Encuesta'!D228="","",'Base Encuesta'!D228)</f>
        <v/>
      </c>
      <c r="C254" t="str">
        <f>IF('Base Encuesta'!E228="","",'Base Encuesta'!E228)</f>
        <v/>
      </c>
      <c r="D254" t="str">
        <f>IF('Base Encuesta'!F228="","",'Base Encuesta'!F228)</f>
        <v/>
      </c>
      <c r="E254" t="str">
        <f>IF('Base Encuesta'!G228="","",'Base Encuesta'!G228)</f>
        <v/>
      </c>
      <c r="F254" t="str">
        <f>IF('Base Encuesta'!H228="","",'Base Encuesta'!H228)</f>
        <v/>
      </c>
      <c r="G254" t="str">
        <f>IF('Base Encuesta'!I228="","",'Base Encuesta'!I228)</f>
        <v/>
      </c>
      <c r="H254" t="str">
        <f>IF('Base Encuesta'!J228="","",'Base Encuesta'!J228)</f>
        <v/>
      </c>
      <c r="I254" t="str">
        <f>IF('Base Encuesta'!K228="","",'Base Encuesta'!K228)</f>
        <v/>
      </c>
      <c r="J254" t="str">
        <f>IF(OR('Base Encuesta'!P228="",IFERROR(VALUE(LEFT('Base Encuesta'!K228,1)),"")&gt;=3),"",PROPER(TRIM('Base Encuesta'!P228)))</f>
        <v/>
      </c>
      <c r="K254" t="str">
        <f>IF(OR('Base Encuesta'!Q228="",IFERROR(VALUE(LEFT('Base Encuesta'!K228,1)),"")&gt;=3),"",'Base Encuesta'!Q228)</f>
        <v/>
      </c>
      <c r="L254" t="str">
        <f>IF(OR('Base Encuesta'!R228="",IFERROR(VALUE(LEFT('Base Encuesta'!K228,1)),"")&gt;=3),"",VALUE(LEFT('Base Encuesta'!R228,1)))</f>
        <v/>
      </c>
      <c r="M254" t="str">
        <f>IF(OR('Base Encuesta'!S228="",IFERROR(VALUE(LEFT('Base Encuesta'!K228,1)),"")&gt;=3),"",VALUE(LEFT('Base Encuesta'!S228,1)))</f>
        <v/>
      </c>
      <c r="N254" t="str">
        <f>IF(OR('Base Encuesta'!T228="",IFERROR(VALUE(LEFT('Base Encuesta'!K228,1)),"")&gt;=3),"",VALUE(LEFT('Base Encuesta'!T228,1)))</f>
        <v/>
      </c>
      <c r="O254" t="str">
        <f>IF(OR('Base Encuesta'!V228="",IFERROR(VALUE(LEFT('Base Encuesta'!K228,1)),"")&gt;=3),"",VALUE(LEFT('Base Encuesta'!V228,1)))</f>
        <v/>
      </c>
      <c r="P254" t="str">
        <f>IF(OR('Base Encuesta'!W228="",IFERROR(VALUE(LEFT('Base Encuesta'!K228,1)),"")&gt;=3),"",VALUE(LEFT('Base Encuesta'!W228,1)))</f>
        <v/>
      </c>
      <c r="Q254" t="str">
        <f>IF(OR('Base Encuesta'!X228="",IFERROR(VALUE(LEFT('Base Encuesta'!K228,1)),"")&gt;=3),"",VALUE(LEFT('Base Encuesta'!X228,1)))</f>
        <v/>
      </c>
      <c r="R254" t="str">
        <f>IF(OR('Base Encuesta'!Y228="",IFERROR(VALUE(LEFT('Base Encuesta'!K228,1)),"")&gt;=3),"",VALUE(LEFT('Base Encuesta'!Y228,1)))</f>
        <v/>
      </c>
      <c r="S254" t="str">
        <f>IF(OR('Base Encuesta'!Z228="",IFERROR(VALUE(LEFT('Base Encuesta'!K228,1)),"")&gt;=3),"",VALUE(LEFT('Base Encuesta'!Z228,1)))</f>
        <v/>
      </c>
      <c r="T254" t="str">
        <f>IF(OR('Base Encuesta'!AA228="",IFERROR(VALUE(LEFT('Base Encuesta'!K228,1)),"")&gt;=3),"",VALUE(LEFT('Base Encuesta'!AA228,1)))</f>
        <v/>
      </c>
      <c r="U254" t="str">
        <f>IF(OR('Base Encuesta'!AB228="",IFERROR(VALUE(LEFT('Base Encuesta'!K228,1)),"")&gt;=3),"",VALUE(LEFT('Base Encuesta'!AB228,1)))</f>
        <v/>
      </c>
      <c r="V254" t="str">
        <f>IF(OR('Base Encuesta'!AC228="",IFERROR(VALUE(LEFT('Base Encuesta'!K228,1)),"")&gt;=3),"",VALUE(LEFT('Base Encuesta'!AC228,1)))</f>
        <v/>
      </c>
      <c r="W254" t="str">
        <f>IF(OR('Base Encuesta'!AE228="",IFERROR(VALUE(LEFT('Base Encuesta'!K228,1)),"")&gt;=3),"",VALUE(LEFT('Base Encuesta'!AE228,1)))</f>
        <v/>
      </c>
      <c r="X254" t="str">
        <f>IF(OR('Base Encuesta'!AF228="",IFERROR(VALUE(LEFT('Base Encuesta'!K228,1)),"")&gt;=3),"",IF(W254=1,VALUE(LEFT('Base Encuesta'!AF228,1)),""))</f>
        <v/>
      </c>
      <c r="Y254" t="str">
        <f>IF(OR('Base Encuesta'!AG228="",IFERROR(VALUE(LEFT('Base Encuesta'!K228,1)),"")&gt;=3),"",IF(W254=1,VALUE(LEFT('Base Encuesta'!AG228,1)),""))</f>
        <v/>
      </c>
      <c r="Z254" t="str">
        <f>IF(OR('Base Encuesta'!AH228="",IFERROR(VALUE(LEFT('Base Encuesta'!K228,1)),"")&gt;=3),"",IF(W254=1,VALUE(LEFT('Base Encuesta'!AH228,1)),""))</f>
        <v/>
      </c>
      <c r="AA254" t="str">
        <f>IF(OR('Base Encuesta'!AI228="",IFERROR(VALUE(LEFT('Base Encuesta'!K228,1)),"")&gt;=3),"",IF(W254=1,VALUE(LEFT('Base Encuesta'!AI228,1)),""))</f>
        <v/>
      </c>
      <c r="AB254" t="str">
        <f>IF(OR('Base Encuesta'!AJ228="",IFERROR(VALUE(LEFT('Base Encuesta'!K228,1)),"")&gt;=3),"",IF(W254=1,VALUE(LEFT('Base Encuesta'!AJ228,1)),""))</f>
        <v/>
      </c>
      <c r="AC254" t="str">
        <f>IF(OR('Base Encuesta'!AL228="",IFERROR(VALUE(LEFT('Base Encuesta'!K228,1)),"")&gt;=3),"",VALUE(LEFT('Base Encuesta'!AL228,1)))</f>
        <v/>
      </c>
      <c r="AD254" t="str">
        <f>IF(OR('Base Encuesta'!AM228="",IFERROR(VALUE(LEFT('Base Encuesta'!K228,1)),"")&gt;=3),"",VALUE(LEFT('Base Encuesta'!AM228,1)))</f>
        <v/>
      </c>
      <c r="AE254" t="str">
        <f>IF(OR('Base Encuesta'!AN228="",IFERROR(VALUE(LEFT('Base Encuesta'!K228,1)),"")&gt;=3),"",VALUE(LEFT('Base Encuesta'!AN228,1)))</f>
        <v/>
      </c>
      <c r="AF254" t="str">
        <f>IF(OR('Base Encuesta'!AO228="",IFERROR(VALUE(LEFT('Base Encuesta'!K228,1)),"")&gt;=3),"",VALUE(LEFT('Base Encuesta'!AO228,1)))</f>
        <v/>
      </c>
      <c r="AG254" t="str">
        <f>IF(OR('Base Encuesta'!AQ228="",IFERROR(VALUE(LEFT('Base Encuesta'!K228,1)),"")&gt;=3),"",VALUE(LEFT('Base Encuesta'!AQ228,1)))</f>
        <v/>
      </c>
      <c r="AH254" t="str">
        <f>IF(OR('Base Encuesta'!AR228="",IFERROR(VALUE(LEFT('Base Encuesta'!K228,1)),"")&gt;=3),"",VALUE(LEFT('Base Encuesta'!AR228,1)))</f>
        <v/>
      </c>
    </row>
    <row r="255" spans="1:34">
      <c r="A255" t="str">
        <f>IF('Base Encuesta'!C229="","",'Base Encuesta'!C229)</f>
        <v/>
      </c>
      <c r="B255" t="str">
        <f>IF('Base Encuesta'!D229="","",'Base Encuesta'!D229)</f>
        <v/>
      </c>
      <c r="C255" t="str">
        <f>IF('Base Encuesta'!E229="","",'Base Encuesta'!E229)</f>
        <v/>
      </c>
      <c r="D255" t="str">
        <f>IF('Base Encuesta'!F229="","",'Base Encuesta'!F229)</f>
        <v/>
      </c>
      <c r="E255" t="str">
        <f>IF('Base Encuesta'!G229="","",'Base Encuesta'!G229)</f>
        <v/>
      </c>
      <c r="F255" t="str">
        <f>IF('Base Encuesta'!H229="","",'Base Encuesta'!H229)</f>
        <v/>
      </c>
      <c r="G255" t="str">
        <f>IF('Base Encuesta'!I229="","",'Base Encuesta'!I229)</f>
        <v/>
      </c>
      <c r="H255" t="str">
        <f>IF('Base Encuesta'!J229="","",'Base Encuesta'!J229)</f>
        <v/>
      </c>
      <c r="I255" t="str">
        <f>IF('Base Encuesta'!K229="","",'Base Encuesta'!K229)</f>
        <v/>
      </c>
      <c r="J255" t="str">
        <f>IF(OR('Base Encuesta'!P229="",IFERROR(VALUE(LEFT('Base Encuesta'!K229,1)),"")&gt;=3),"",PROPER(TRIM('Base Encuesta'!P229)))</f>
        <v/>
      </c>
      <c r="K255" t="str">
        <f>IF(OR('Base Encuesta'!Q229="",IFERROR(VALUE(LEFT('Base Encuesta'!K229,1)),"")&gt;=3),"",'Base Encuesta'!Q229)</f>
        <v/>
      </c>
      <c r="L255" t="str">
        <f>IF(OR('Base Encuesta'!R229="",IFERROR(VALUE(LEFT('Base Encuesta'!K229,1)),"")&gt;=3),"",VALUE(LEFT('Base Encuesta'!R229,1)))</f>
        <v/>
      </c>
      <c r="M255" t="str">
        <f>IF(OR('Base Encuesta'!S229="",IFERROR(VALUE(LEFT('Base Encuesta'!K229,1)),"")&gt;=3),"",VALUE(LEFT('Base Encuesta'!S229,1)))</f>
        <v/>
      </c>
      <c r="N255" t="str">
        <f>IF(OR('Base Encuesta'!T229="",IFERROR(VALUE(LEFT('Base Encuesta'!K229,1)),"")&gt;=3),"",VALUE(LEFT('Base Encuesta'!T229,1)))</f>
        <v/>
      </c>
      <c r="O255" t="str">
        <f>IF(OR('Base Encuesta'!V229="",IFERROR(VALUE(LEFT('Base Encuesta'!K229,1)),"")&gt;=3),"",VALUE(LEFT('Base Encuesta'!V229,1)))</f>
        <v/>
      </c>
      <c r="P255" t="str">
        <f>IF(OR('Base Encuesta'!W229="",IFERROR(VALUE(LEFT('Base Encuesta'!K229,1)),"")&gt;=3),"",VALUE(LEFT('Base Encuesta'!W229,1)))</f>
        <v/>
      </c>
      <c r="Q255" t="str">
        <f>IF(OR('Base Encuesta'!X229="",IFERROR(VALUE(LEFT('Base Encuesta'!K229,1)),"")&gt;=3),"",VALUE(LEFT('Base Encuesta'!X229,1)))</f>
        <v/>
      </c>
      <c r="R255" t="str">
        <f>IF(OR('Base Encuesta'!Y229="",IFERROR(VALUE(LEFT('Base Encuesta'!K229,1)),"")&gt;=3),"",VALUE(LEFT('Base Encuesta'!Y229,1)))</f>
        <v/>
      </c>
      <c r="S255" t="str">
        <f>IF(OR('Base Encuesta'!Z229="",IFERROR(VALUE(LEFT('Base Encuesta'!K229,1)),"")&gt;=3),"",VALUE(LEFT('Base Encuesta'!Z229,1)))</f>
        <v/>
      </c>
      <c r="T255" t="str">
        <f>IF(OR('Base Encuesta'!AA229="",IFERROR(VALUE(LEFT('Base Encuesta'!K229,1)),"")&gt;=3),"",VALUE(LEFT('Base Encuesta'!AA229,1)))</f>
        <v/>
      </c>
      <c r="U255" t="str">
        <f>IF(OR('Base Encuesta'!AB229="",IFERROR(VALUE(LEFT('Base Encuesta'!K229,1)),"")&gt;=3),"",VALUE(LEFT('Base Encuesta'!AB229,1)))</f>
        <v/>
      </c>
      <c r="V255" t="str">
        <f>IF(OR('Base Encuesta'!AC229="",IFERROR(VALUE(LEFT('Base Encuesta'!K229,1)),"")&gt;=3),"",VALUE(LEFT('Base Encuesta'!AC229,1)))</f>
        <v/>
      </c>
      <c r="W255" t="str">
        <f>IF(OR('Base Encuesta'!AE229="",IFERROR(VALUE(LEFT('Base Encuesta'!K229,1)),"")&gt;=3),"",VALUE(LEFT('Base Encuesta'!AE229,1)))</f>
        <v/>
      </c>
      <c r="X255" t="str">
        <f>IF(OR('Base Encuesta'!AF229="",IFERROR(VALUE(LEFT('Base Encuesta'!K229,1)),"")&gt;=3),"",IF(W255=1,VALUE(LEFT('Base Encuesta'!AF229,1)),""))</f>
        <v/>
      </c>
      <c r="Y255" t="str">
        <f>IF(OR('Base Encuesta'!AG229="",IFERROR(VALUE(LEFT('Base Encuesta'!K229,1)),"")&gt;=3),"",IF(W255=1,VALUE(LEFT('Base Encuesta'!AG229,1)),""))</f>
        <v/>
      </c>
      <c r="Z255" t="str">
        <f>IF(OR('Base Encuesta'!AH229="",IFERROR(VALUE(LEFT('Base Encuesta'!K229,1)),"")&gt;=3),"",IF(W255=1,VALUE(LEFT('Base Encuesta'!AH229,1)),""))</f>
        <v/>
      </c>
      <c r="AA255" t="str">
        <f>IF(OR('Base Encuesta'!AI229="",IFERROR(VALUE(LEFT('Base Encuesta'!K229,1)),"")&gt;=3),"",IF(W255=1,VALUE(LEFT('Base Encuesta'!AI229,1)),""))</f>
        <v/>
      </c>
      <c r="AB255" t="str">
        <f>IF(OR('Base Encuesta'!AJ229="",IFERROR(VALUE(LEFT('Base Encuesta'!K229,1)),"")&gt;=3),"",IF(W255=1,VALUE(LEFT('Base Encuesta'!AJ229,1)),""))</f>
        <v/>
      </c>
      <c r="AC255" t="str">
        <f>IF(OR('Base Encuesta'!AL229="",IFERROR(VALUE(LEFT('Base Encuesta'!K229,1)),"")&gt;=3),"",VALUE(LEFT('Base Encuesta'!AL229,1)))</f>
        <v/>
      </c>
      <c r="AD255" t="str">
        <f>IF(OR('Base Encuesta'!AM229="",IFERROR(VALUE(LEFT('Base Encuesta'!K229,1)),"")&gt;=3),"",VALUE(LEFT('Base Encuesta'!AM229,1)))</f>
        <v/>
      </c>
      <c r="AE255" t="str">
        <f>IF(OR('Base Encuesta'!AN229="",IFERROR(VALUE(LEFT('Base Encuesta'!K229,1)),"")&gt;=3),"",VALUE(LEFT('Base Encuesta'!AN229,1)))</f>
        <v/>
      </c>
      <c r="AF255" t="str">
        <f>IF(OR('Base Encuesta'!AO229="",IFERROR(VALUE(LEFT('Base Encuesta'!K229,1)),"")&gt;=3),"",VALUE(LEFT('Base Encuesta'!AO229,1)))</f>
        <v/>
      </c>
      <c r="AG255" t="str">
        <f>IF(OR('Base Encuesta'!AQ229="",IFERROR(VALUE(LEFT('Base Encuesta'!K229,1)),"")&gt;=3),"",VALUE(LEFT('Base Encuesta'!AQ229,1)))</f>
        <v/>
      </c>
      <c r="AH255" t="str">
        <f>IF(OR('Base Encuesta'!AR229="",IFERROR(VALUE(LEFT('Base Encuesta'!K229,1)),"")&gt;=3),"",VALUE(LEFT('Base Encuesta'!AR229,1)))</f>
        <v/>
      </c>
    </row>
    <row r="256" spans="1:34">
      <c r="A256" t="str">
        <f>IF('Base Encuesta'!C230="","",'Base Encuesta'!C230)</f>
        <v/>
      </c>
      <c r="B256" t="str">
        <f>IF('Base Encuesta'!D230="","",'Base Encuesta'!D230)</f>
        <v/>
      </c>
      <c r="C256" t="str">
        <f>IF('Base Encuesta'!E230="","",'Base Encuesta'!E230)</f>
        <v/>
      </c>
      <c r="D256" t="str">
        <f>IF('Base Encuesta'!F230="","",'Base Encuesta'!F230)</f>
        <v/>
      </c>
      <c r="E256" t="str">
        <f>IF('Base Encuesta'!G230="","",'Base Encuesta'!G230)</f>
        <v/>
      </c>
      <c r="F256" t="str">
        <f>IF('Base Encuesta'!H230="","",'Base Encuesta'!H230)</f>
        <v/>
      </c>
      <c r="G256" t="str">
        <f>IF('Base Encuesta'!I230="","",'Base Encuesta'!I230)</f>
        <v/>
      </c>
      <c r="H256" t="str">
        <f>IF('Base Encuesta'!J230="","",'Base Encuesta'!J230)</f>
        <v/>
      </c>
      <c r="I256" t="str">
        <f>IF('Base Encuesta'!K230="","",'Base Encuesta'!K230)</f>
        <v/>
      </c>
      <c r="J256" t="str">
        <f>IF(OR('Base Encuesta'!P230="",IFERROR(VALUE(LEFT('Base Encuesta'!K230,1)),"")&gt;=3),"",PROPER(TRIM('Base Encuesta'!P230)))</f>
        <v/>
      </c>
      <c r="K256" t="str">
        <f>IF(OR('Base Encuesta'!Q230="",IFERROR(VALUE(LEFT('Base Encuesta'!K230,1)),"")&gt;=3),"",'Base Encuesta'!Q230)</f>
        <v/>
      </c>
      <c r="L256" t="str">
        <f>IF(OR('Base Encuesta'!R230="",IFERROR(VALUE(LEFT('Base Encuesta'!K230,1)),"")&gt;=3),"",VALUE(LEFT('Base Encuesta'!R230,1)))</f>
        <v/>
      </c>
      <c r="M256" t="str">
        <f>IF(OR('Base Encuesta'!S230="",IFERROR(VALUE(LEFT('Base Encuesta'!K230,1)),"")&gt;=3),"",VALUE(LEFT('Base Encuesta'!S230,1)))</f>
        <v/>
      </c>
      <c r="N256" t="str">
        <f>IF(OR('Base Encuesta'!T230="",IFERROR(VALUE(LEFT('Base Encuesta'!K230,1)),"")&gt;=3),"",VALUE(LEFT('Base Encuesta'!T230,1)))</f>
        <v/>
      </c>
      <c r="O256" t="str">
        <f>IF(OR('Base Encuesta'!V230="",IFERROR(VALUE(LEFT('Base Encuesta'!K230,1)),"")&gt;=3),"",VALUE(LEFT('Base Encuesta'!V230,1)))</f>
        <v/>
      </c>
      <c r="P256" t="str">
        <f>IF(OR('Base Encuesta'!W230="",IFERROR(VALUE(LEFT('Base Encuesta'!K230,1)),"")&gt;=3),"",VALUE(LEFT('Base Encuesta'!W230,1)))</f>
        <v/>
      </c>
      <c r="Q256" t="str">
        <f>IF(OR('Base Encuesta'!X230="",IFERROR(VALUE(LEFT('Base Encuesta'!K230,1)),"")&gt;=3),"",VALUE(LEFT('Base Encuesta'!X230,1)))</f>
        <v/>
      </c>
      <c r="R256" t="str">
        <f>IF(OR('Base Encuesta'!Y230="",IFERROR(VALUE(LEFT('Base Encuesta'!K230,1)),"")&gt;=3),"",VALUE(LEFT('Base Encuesta'!Y230,1)))</f>
        <v/>
      </c>
      <c r="S256" t="str">
        <f>IF(OR('Base Encuesta'!Z230="",IFERROR(VALUE(LEFT('Base Encuesta'!K230,1)),"")&gt;=3),"",VALUE(LEFT('Base Encuesta'!Z230,1)))</f>
        <v/>
      </c>
      <c r="T256" t="str">
        <f>IF(OR('Base Encuesta'!AA230="",IFERROR(VALUE(LEFT('Base Encuesta'!K230,1)),"")&gt;=3),"",VALUE(LEFT('Base Encuesta'!AA230,1)))</f>
        <v/>
      </c>
      <c r="U256" t="str">
        <f>IF(OR('Base Encuesta'!AB230="",IFERROR(VALUE(LEFT('Base Encuesta'!K230,1)),"")&gt;=3),"",VALUE(LEFT('Base Encuesta'!AB230,1)))</f>
        <v/>
      </c>
      <c r="V256" t="str">
        <f>IF(OR('Base Encuesta'!AC230="",IFERROR(VALUE(LEFT('Base Encuesta'!K230,1)),"")&gt;=3),"",VALUE(LEFT('Base Encuesta'!AC230,1)))</f>
        <v/>
      </c>
      <c r="W256" t="str">
        <f>IF(OR('Base Encuesta'!AE230="",IFERROR(VALUE(LEFT('Base Encuesta'!K230,1)),"")&gt;=3),"",VALUE(LEFT('Base Encuesta'!AE230,1)))</f>
        <v/>
      </c>
      <c r="X256" t="str">
        <f>IF(OR('Base Encuesta'!AF230="",IFERROR(VALUE(LEFT('Base Encuesta'!K230,1)),"")&gt;=3),"",IF(W256=1,VALUE(LEFT('Base Encuesta'!AF230,1)),""))</f>
        <v/>
      </c>
      <c r="Y256" t="str">
        <f>IF(OR('Base Encuesta'!AG230="",IFERROR(VALUE(LEFT('Base Encuesta'!K230,1)),"")&gt;=3),"",IF(W256=1,VALUE(LEFT('Base Encuesta'!AG230,1)),""))</f>
        <v/>
      </c>
      <c r="Z256" t="str">
        <f>IF(OR('Base Encuesta'!AH230="",IFERROR(VALUE(LEFT('Base Encuesta'!K230,1)),"")&gt;=3),"",IF(W256=1,VALUE(LEFT('Base Encuesta'!AH230,1)),""))</f>
        <v/>
      </c>
      <c r="AA256" t="str">
        <f>IF(OR('Base Encuesta'!AI230="",IFERROR(VALUE(LEFT('Base Encuesta'!K230,1)),"")&gt;=3),"",IF(W256=1,VALUE(LEFT('Base Encuesta'!AI230,1)),""))</f>
        <v/>
      </c>
      <c r="AB256" t="str">
        <f>IF(OR('Base Encuesta'!AJ230="",IFERROR(VALUE(LEFT('Base Encuesta'!K230,1)),"")&gt;=3),"",IF(W256=1,VALUE(LEFT('Base Encuesta'!AJ230,1)),""))</f>
        <v/>
      </c>
      <c r="AC256" t="str">
        <f>IF(OR('Base Encuesta'!AL230="",IFERROR(VALUE(LEFT('Base Encuesta'!K230,1)),"")&gt;=3),"",VALUE(LEFT('Base Encuesta'!AL230,1)))</f>
        <v/>
      </c>
      <c r="AD256" t="str">
        <f>IF(OR('Base Encuesta'!AM230="",IFERROR(VALUE(LEFT('Base Encuesta'!K230,1)),"")&gt;=3),"",VALUE(LEFT('Base Encuesta'!AM230,1)))</f>
        <v/>
      </c>
      <c r="AE256" t="str">
        <f>IF(OR('Base Encuesta'!AN230="",IFERROR(VALUE(LEFT('Base Encuesta'!K230,1)),"")&gt;=3),"",VALUE(LEFT('Base Encuesta'!AN230,1)))</f>
        <v/>
      </c>
      <c r="AF256" t="str">
        <f>IF(OR('Base Encuesta'!AO230="",IFERROR(VALUE(LEFT('Base Encuesta'!K230,1)),"")&gt;=3),"",VALUE(LEFT('Base Encuesta'!AO230,1)))</f>
        <v/>
      </c>
      <c r="AG256" t="str">
        <f>IF(OR('Base Encuesta'!AQ230="",IFERROR(VALUE(LEFT('Base Encuesta'!K230,1)),"")&gt;=3),"",VALUE(LEFT('Base Encuesta'!AQ230,1)))</f>
        <v/>
      </c>
      <c r="AH256" t="str">
        <f>IF(OR('Base Encuesta'!AR230="",IFERROR(VALUE(LEFT('Base Encuesta'!K230,1)),"")&gt;=3),"",VALUE(LEFT('Base Encuesta'!AR230,1)))</f>
        <v/>
      </c>
    </row>
    <row r="257" spans="1:34">
      <c r="A257" t="str">
        <f>IF('Base Encuesta'!C231="","",'Base Encuesta'!C231)</f>
        <v/>
      </c>
      <c r="B257" t="str">
        <f>IF('Base Encuesta'!D231="","",'Base Encuesta'!D231)</f>
        <v/>
      </c>
      <c r="C257" t="str">
        <f>IF('Base Encuesta'!E231="","",'Base Encuesta'!E231)</f>
        <v/>
      </c>
      <c r="D257" t="str">
        <f>IF('Base Encuesta'!F231="","",'Base Encuesta'!F231)</f>
        <v/>
      </c>
      <c r="E257" t="str">
        <f>IF('Base Encuesta'!G231="","",'Base Encuesta'!G231)</f>
        <v/>
      </c>
      <c r="F257" t="str">
        <f>IF('Base Encuesta'!H231="","",'Base Encuesta'!H231)</f>
        <v/>
      </c>
      <c r="G257" t="str">
        <f>IF('Base Encuesta'!I231="","",'Base Encuesta'!I231)</f>
        <v/>
      </c>
      <c r="H257" t="str">
        <f>IF('Base Encuesta'!J231="","",'Base Encuesta'!J231)</f>
        <v/>
      </c>
      <c r="I257" t="str">
        <f>IF('Base Encuesta'!K231="","",'Base Encuesta'!K231)</f>
        <v/>
      </c>
      <c r="J257" t="str">
        <f>IF(OR('Base Encuesta'!P231="",IFERROR(VALUE(LEFT('Base Encuesta'!K231,1)),"")&gt;=3),"",PROPER(TRIM('Base Encuesta'!P231)))</f>
        <v/>
      </c>
      <c r="K257" t="str">
        <f>IF(OR('Base Encuesta'!Q231="",IFERROR(VALUE(LEFT('Base Encuesta'!K231,1)),"")&gt;=3),"",'Base Encuesta'!Q231)</f>
        <v/>
      </c>
      <c r="L257" t="str">
        <f>IF(OR('Base Encuesta'!R231="",IFERROR(VALUE(LEFT('Base Encuesta'!K231,1)),"")&gt;=3),"",VALUE(LEFT('Base Encuesta'!R231,1)))</f>
        <v/>
      </c>
      <c r="M257" t="str">
        <f>IF(OR('Base Encuesta'!S231="",IFERROR(VALUE(LEFT('Base Encuesta'!K231,1)),"")&gt;=3),"",VALUE(LEFT('Base Encuesta'!S231,1)))</f>
        <v/>
      </c>
      <c r="N257" t="str">
        <f>IF(OR('Base Encuesta'!T231="",IFERROR(VALUE(LEFT('Base Encuesta'!K231,1)),"")&gt;=3),"",VALUE(LEFT('Base Encuesta'!T231,1)))</f>
        <v/>
      </c>
      <c r="O257" t="str">
        <f>IF(OR('Base Encuesta'!V231="",IFERROR(VALUE(LEFT('Base Encuesta'!K231,1)),"")&gt;=3),"",VALUE(LEFT('Base Encuesta'!V231,1)))</f>
        <v/>
      </c>
      <c r="P257" t="str">
        <f>IF(OR('Base Encuesta'!W231="",IFERROR(VALUE(LEFT('Base Encuesta'!K231,1)),"")&gt;=3),"",VALUE(LEFT('Base Encuesta'!W231,1)))</f>
        <v/>
      </c>
      <c r="Q257" t="str">
        <f>IF(OR('Base Encuesta'!X231="",IFERROR(VALUE(LEFT('Base Encuesta'!K231,1)),"")&gt;=3),"",VALUE(LEFT('Base Encuesta'!X231,1)))</f>
        <v/>
      </c>
      <c r="R257" t="str">
        <f>IF(OR('Base Encuesta'!Y231="",IFERROR(VALUE(LEFT('Base Encuesta'!K231,1)),"")&gt;=3),"",VALUE(LEFT('Base Encuesta'!Y231,1)))</f>
        <v/>
      </c>
      <c r="S257" t="str">
        <f>IF(OR('Base Encuesta'!Z231="",IFERROR(VALUE(LEFT('Base Encuesta'!K231,1)),"")&gt;=3),"",VALUE(LEFT('Base Encuesta'!Z231,1)))</f>
        <v/>
      </c>
      <c r="T257" t="str">
        <f>IF(OR('Base Encuesta'!AA231="",IFERROR(VALUE(LEFT('Base Encuesta'!K231,1)),"")&gt;=3),"",VALUE(LEFT('Base Encuesta'!AA231,1)))</f>
        <v/>
      </c>
      <c r="U257" t="str">
        <f>IF(OR('Base Encuesta'!AB231="",IFERROR(VALUE(LEFT('Base Encuesta'!K231,1)),"")&gt;=3),"",VALUE(LEFT('Base Encuesta'!AB231,1)))</f>
        <v/>
      </c>
      <c r="V257" t="str">
        <f>IF(OR('Base Encuesta'!AC231="",IFERROR(VALUE(LEFT('Base Encuesta'!K231,1)),"")&gt;=3),"",VALUE(LEFT('Base Encuesta'!AC231,1)))</f>
        <v/>
      </c>
      <c r="W257" t="str">
        <f>IF(OR('Base Encuesta'!AE231="",IFERROR(VALUE(LEFT('Base Encuesta'!K231,1)),"")&gt;=3),"",VALUE(LEFT('Base Encuesta'!AE231,1)))</f>
        <v/>
      </c>
      <c r="X257" t="str">
        <f>IF(OR('Base Encuesta'!AF231="",IFERROR(VALUE(LEFT('Base Encuesta'!K231,1)),"")&gt;=3),"",IF(W257=1,VALUE(LEFT('Base Encuesta'!AF231,1)),""))</f>
        <v/>
      </c>
      <c r="Y257" t="str">
        <f>IF(OR('Base Encuesta'!AG231="",IFERROR(VALUE(LEFT('Base Encuesta'!K231,1)),"")&gt;=3),"",IF(W257=1,VALUE(LEFT('Base Encuesta'!AG231,1)),""))</f>
        <v/>
      </c>
      <c r="Z257" t="str">
        <f>IF(OR('Base Encuesta'!AH231="",IFERROR(VALUE(LEFT('Base Encuesta'!K231,1)),"")&gt;=3),"",IF(W257=1,VALUE(LEFT('Base Encuesta'!AH231,1)),""))</f>
        <v/>
      </c>
      <c r="AA257" t="str">
        <f>IF(OR('Base Encuesta'!AI231="",IFERROR(VALUE(LEFT('Base Encuesta'!K231,1)),"")&gt;=3),"",IF(W257=1,VALUE(LEFT('Base Encuesta'!AI231,1)),""))</f>
        <v/>
      </c>
      <c r="AB257" t="str">
        <f>IF(OR('Base Encuesta'!AJ231="",IFERROR(VALUE(LEFT('Base Encuesta'!K231,1)),"")&gt;=3),"",IF(W257=1,VALUE(LEFT('Base Encuesta'!AJ231,1)),""))</f>
        <v/>
      </c>
      <c r="AC257" t="str">
        <f>IF(OR('Base Encuesta'!AL231="",IFERROR(VALUE(LEFT('Base Encuesta'!K231,1)),"")&gt;=3),"",VALUE(LEFT('Base Encuesta'!AL231,1)))</f>
        <v/>
      </c>
      <c r="AD257" t="str">
        <f>IF(OR('Base Encuesta'!AM231="",IFERROR(VALUE(LEFT('Base Encuesta'!K231,1)),"")&gt;=3),"",VALUE(LEFT('Base Encuesta'!AM231,1)))</f>
        <v/>
      </c>
      <c r="AE257" t="str">
        <f>IF(OR('Base Encuesta'!AN231="",IFERROR(VALUE(LEFT('Base Encuesta'!K231,1)),"")&gt;=3),"",VALUE(LEFT('Base Encuesta'!AN231,1)))</f>
        <v/>
      </c>
      <c r="AF257" t="str">
        <f>IF(OR('Base Encuesta'!AO231="",IFERROR(VALUE(LEFT('Base Encuesta'!K231,1)),"")&gt;=3),"",VALUE(LEFT('Base Encuesta'!AO231,1)))</f>
        <v/>
      </c>
      <c r="AG257" t="str">
        <f>IF(OR('Base Encuesta'!AQ231="",IFERROR(VALUE(LEFT('Base Encuesta'!K231,1)),"")&gt;=3),"",VALUE(LEFT('Base Encuesta'!AQ231,1)))</f>
        <v/>
      </c>
      <c r="AH257" t="str">
        <f>IF(OR('Base Encuesta'!AR231="",IFERROR(VALUE(LEFT('Base Encuesta'!K231,1)),"")&gt;=3),"",VALUE(LEFT('Base Encuesta'!AR231,1)))</f>
        <v/>
      </c>
    </row>
    <row r="258" spans="1:34">
      <c r="A258" t="str">
        <f>IF('Base Encuesta'!C232="","",'Base Encuesta'!C232)</f>
        <v/>
      </c>
      <c r="B258" t="str">
        <f>IF('Base Encuesta'!D232="","",'Base Encuesta'!D232)</f>
        <v/>
      </c>
      <c r="C258" t="str">
        <f>IF('Base Encuesta'!E232="","",'Base Encuesta'!E232)</f>
        <v/>
      </c>
      <c r="D258" t="str">
        <f>IF('Base Encuesta'!F232="","",'Base Encuesta'!F232)</f>
        <v/>
      </c>
      <c r="E258" t="str">
        <f>IF('Base Encuesta'!G232="","",'Base Encuesta'!G232)</f>
        <v/>
      </c>
      <c r="F258" t="str">
        <f>IF('Base Encuesta'!H232="","",'Base Encuesta'!H232)</f>
        <v/>
      </c>
      <c r="G258" t="str">
        <f>IF('Base Encuesta'!I232="","",'Base Encuesta'!I232)</f>
        <v/>
      </c>
      <c r="H258" t="str">
        <f>IF('Base Encuesta'!J232="","",'Base Encuesta'!J232)</f>
        <v/>
      </c>
      <c r="I258" t="str">
        <f>IF('Base Encuesta'!K232="","",'Base Encuesta'!K232)</f>
        <v/>
      </c>
      <c r="J258" t="str">
        <f>IF(OR('Base Encuesta'!P232="",IFERROR(VALUE(LEFT('Base Encuesta'!K232,1)),"")&gt;=3),"",PROPER(TRIM('Base Encuesta'!P232)))</f>
        <v/>
      </c>
      <c r="K258" t="str">
        <f>IF(OR('Base Encuesta'!Q232="",IFERROR(VALUE(LEFT('Base Encuesta'!K232,1)),"")&gt;=3),"",'Base Encuesta'!Q232)</f>
        <v/>
      </c>
      <c r="L258" t="str">
        <f>IF(OR('Base Encuesta'!R232="",IFERROR(VALUE(LEFT('Base Encuesta'!K232,1)),"")&gt;=3),"",VALUE(LEFT('Base Encuesta'!R232,1)))</f>
        <v/>
      </c>
      <c r="M258" t="str">
        <f>IF(OR('Base Encuesta'!S232="",IFERROR(VALUE(LEFT('Base Encuesta'!K232,1)),"")&gt;=3),"",VALUE(LEFT('Base Encuesta'!S232,1)))</f>
        <v/>
      </c>
      <c r="N258" t="str">
        <f>IF(OR('Base Encuesta'!T232="",IFERROR(VALUE(LEFT('Base Encuesta'!K232,1)),"")&gt;=3),"",VALUE(LEFT('Base Encuesta'!T232,1)))</f>
        <v/>
      </c>
      <c r="O258" t="str">
        <f>IF(OR('Base Encuesta'!V232="",IFERROR(VALUE(LEFT('Base Encuesta'!K232,1)),"")&gt;=3),"",VALUE(LEFT('Base Encuesta'!V232,1)))</f>
        <v/>
      </c>
      <c r="P258" t="str">
        <f>IF(OR('Base Encuesta'!W232="",IFERROR(VALUE(LEFT('Base Encuesta'!K232,1)),"")&gt;=3),"",VALUE(LEFT('Base Encuesta'!W232,1)))</f>
        <v/>
      </c>
      <c r="Q258" t="str">
        <f>IF(OR('Base Encuesta'!X232="",IFERROR(VALUE(LEFT('Base Encuesta'!K232,1)),"")&gt;=3),"",VALUE(LEFT('Base Encuesta'!X232,1)))</f>
        <v/>
      </c>
      <c r="R258" t="str">
        <f>IF(OR('Base Encuesta'!Y232="",IFERROR(VALUE(LEFT('Base Encuesta'!K232,1)),"")&gt;=3),"",VALUE(LEFT('Base Encuesta'!Y232,1)))</f>
        <v/>
      </c>
      <c r="S258" t="str">
        <f>IF(OR('Base Encuesta'!Z232="",IFERROR(VALUE(LEFT('Base Encuesta'!K232,1)),"")&gt;=3),"",VALUE(LEFT('Base Encuesta'!Z232,1)))</f>
        <v/>
      </c>
      <c r="T258" t="str">
        <f>IF(OR('Base Encuesta'!AA232="",IFERROR(VALUE(LEFT('Base Encuesta'!K232,1)),"")&gt;=3),"",VALUE(LEFT('Base Encuesta'!AA232,1)))</f>
        <v/>
      </c>
      <c r="U258" t="str">
        <f>IF(OR('Base Encuesta'!AB232="",IFERROR(VALUE(LEFT('Base Encuesta'!K232,1)),"")&gt;=3),"",VALUE(LEFT('Base Encuesta'!AB232,1)))</f>
        <v/>
      </c>
      <c r="V258" t="str">
        <f>IF(OR('Base Encuesta'!AC232="",IFERROR(VALUE(LEFT('Base Encuesta'!K232,1)),"")&gt;=3),"",VALUE(LEFT('Base Encuesta'!AC232,1)))</f>
        <v/>
      </c>
      <c r="W258" t="str">
        <f>IF(OR('Base Encuesta'!AE232="",IFERROR(VALUE(LEFT('Base Encuesta'!K232,1)),"")&gt;=3),"",VALUE(LEFT('Base Encuesta'!AE232,1)))</f>
        <v/>
      </c>
      <c r="X258" t="str">
        <f>IF(OR('Base Encuesta'!AF232="",IFERROR(VALUE(LEFT('Base Encuesta'!K232,1)),"")&gt;=3),"",IF(W258=1,VALUE(LEFT('Base Encuesta'!AF232,1)),""))</f>
        <v/>
      </c>
      <c r="Y258" t="str">
        <f>IF(OR('Base Encuesta'!AG232="",IFERROR(VALUE(LEFT('Base Encuesta'!K232,1)),"")&gt;=3),"",IF(W258=1,VALUE(LEFT('Base Encuesta'!AG232,1)),""))</f>
        <v/>
      </c>
      <c r="Z258" t="str">
        <f>IF(OR('Base Encuesta'!AH232="",IFERROR(VALUE(LEFT('Base Encuesta'!K232,1)),"")&gt;=3),"",IF(W258=1,VALUE(LEFT('Base Encuesta'!AH232,1)),""))</f>
        <v/>
      </c>
      <c r="AA258" t="str">
        <f>IF(OR('Base Encuesta'!AI232="",IFERROR(VALUE(LEFT('Base Encuesta'!K232,1)),"")&gt;=3),"",IF(W258=1,VALUE(LEFT('Base Encuesta'!AI232,1)),""))</f>
        <v/>
      </c>
      <c r="AB258" t="str">
        <f>IF(OR('Base Encuesta'!AJ232="",IFERROR(VALUE(LEFT('Base Encuesta'!K232,1)),"")&gt;=3),"",IF(W258=1,VALUE(LEFT('Base Encuesta'!AJ232,1)),""))</f>
        <v/>
      </c>
      <c r="AC258" t="str">
        <f>IF(OR('Base Encuesta'!AL232="",IFERROR(VALUE(LEFT('Base Encuesta'!K232,1)),"")&gt;=3),"",VALUE(LEFT('Base Encuesta'!AL232,1)))</f>
        <v/>
      </c>
      <c r="AD258" t="str">
        <f>IF(OR('Base Encuesta'!AM232="",IFERROR(VALUE(LEFT('Base Encuesta'!K232,1)),"")&gt;=3),"",VALUE(LEFT('Base Encuesta'!AM232,1)))</f>
        <v/>
      </c>
      <c r="AE258" t="str">
        <f>IF(OR('Base Encuesta'!AN232="",IFERROR(VALUE(LEFT('Base Encuesta'!K232,1)),"")&gt;=3),"",VALUE(LEFT('Base Encuesta'!AN232,1)))</f>
        <v/>
      </c>
      <c r="AF258" t="str">
        <f>IF(OR('Base Encuesta'!AO232="",IFERROR(VALUE(LEFT('Base Encuesta'!K232,1)),"")&gt;=3),"",VALUE(LEFT('Base Encuesta'!AO232,1)))</f>
        <v/>
      </c>
      <c r="AG258" t="str">
        <f>IF(OR('Base Encuesta'!AQ232="",IFERROR(VALUE(LEFT('Base Encuesta'!K232,1)),"")&gt;=3),"",VALUE(LEFT('Base Encuesta'!AQ232,1)))</f>
        <v/>
      </c>
      <c r="AH258" t="str">
        <f>IF(OR('Base Encuesta'!AR232="",IFERROR(VALUE(LEFT('Base Encuesta'!K232,1)),"")&gt;=3),"",VALUE(LEFT('Base Encuesta'!AR232,1)))</f>
        <v/>
      </c>
    </row>
    <row r="259" spans="1:34">
      <c r="A259" t="str">
        <f>IF('Base Encuesta'!C233="","",'Base Encuesta'!C233)</f>
        <v/>
      </c>
      <c r="B259" t="str">
        <f>IF('Base Encuesta'!D233="","",'Base Encuesta'!D233)</f>
        <v/>
      </c>
      <c r="C259" t="str">
        <f>IF('Base Encuesta'!E233="","",'Base Encuesta'!E233)</f>
        <v/>
      </c>
      <c r="D259" t="str">
        <f>IF('Base Encuesta'!F233="","",'Base Encuesta'!F233)</f>
        <v/>
      </c>
      <c r="E259" t="str">
        <f>IF('Base Encuesta'!G233="","",'Base Encuesta'!G233)</f>
        <v/>
      </c>
      <c r="F259" t="str">
        <f>IF('Base Encuesta'!H233="","",'Base Encuesta'!H233)</f>
        <v/>
      </c>
      <c r="G259" t="str">
        <f>IF('Base Encuesta'!I233="","",'Base Encuesta'!I233)</f>
        <v/>
      </c>
      <c r="H259" t="str">
        <f>IF('Base Encuesta'!J233="","",'Base Encuesta'!J233)</f>
        <v/>
      </c>
      <c r="I259" t="str">
        <f>IF('Base Encuesta'!K233="","",'Base Encuesta'!K233)</f>
        <v/>
      </c>
      <c r="J259" t="str">
        <f>IF(OR('Base Encuesta'!P233="",IFERROR(VALUE(LEFT('Base Encuesta'!K233,1)),"")&gt;=3),"",PROPER(TRIM('Base Encuesta'!P233)))</f>
        <v/>
      </c>
      <c r="K259" t="str">
        <f>IF(OR('Base Encuesta'!Q233="",IFERROR(VALUE(LEFT('Base Encuesta'!K233,1)),"")&gt;=3),"",'Base Encuesta'!Q233)</f>
        <v/>
      </c>
      <c r="L259" t="str">
        <f>IF(OR('Base Encuesta'!R233="",IFERROR(VALUE(LEFT('Base Encuesta'!K233,1)),"")&gt;=3),"",VALUE(LEFT('Base Encuesta'!R233,1)))</f>
        <v/>
      </c>
      <c r="M259" t="str">
        <f>IF(OR('Base Encuesta'!S233="",IFERROR(VALUE(LEFT('Base Encuesta'!K233,1)),"")&gt;=3),"",VALUE(LEFT('Base Encuesta'!S233,1)))</f>
        <v/>
      </c>
      <c r="N259" t="str">
        <f>IF(OR('Base Encuesta'!T233="",IFERROR(VALUE(LEFT('Base Encuesta'!K233,1)),"")&gt;=3),"",VALUE(LEFT('Base Encuesta'!T233,1)))</f>
        <v/>
      </c>
      <c r="O259" t="str">
        <f>IF(OR('Base Encuesta'!V233="",IFERROR(VALUE(LEFT('Base Encuesta'!K233,1)),"")&gt;=3),"",VALUE(LEFT('Base Encuesta'!V233,1)))</f>
        <v/>
      </c>
      <c r="P259" t="str">
        <f>IF(OR('Base Encuesta'!W233="",IFERROR(VALUE(LEFT('Base Encuesta'!K233,1)),"")&gt;=3),"",VALUE(LEFT('Base Encuesta'!W233,1)))</f>
        <v/>
      </c>
      <c r="Q259" t="str">
        <f>IF(OR('Base Encuesta'!X233="",IFERROR(VALUE(LEFT('Base Encuesta'!K233,1)),"")&gt;=3),"",VALUE(LEFT('Base Encuesta'!X233,1)))</f>
        <v/>
      </c>
      <c r="R259" t="str">
        <f>IF(OR('Base Encuesta'!Y233="",IFERROR(VALUE(LEFT('Base Encuesta'!K233,1)),"")&gt;=3),"",VALUE(LEFT('Base Encuesta'!Y233,1)))</f>
        <v/>
      </c>
      <c r="S259" t="str">
        <f>IF(OR('Base Encuesta'!Z233="",IFERROR(VALUE(LEFT('Base Encuesta'!K233,1)),"")&gt;=3),"",VALUE(LEFT('Base Encuesta'!Z233,1)))</f>
        <v/>
      </c>
      <c r="T259" t="str">
        <f>IF(OR('Base Encuesta'!AA233="",IFERROR(VALUE(LEFT('Base Encuesta'!K233,1)),"")&gt;=3),"",VALUE(LEFT('Base Encuesta'!AA233,1)))</f>
        <v/>
      </c>
      <c r="U259" t="str">
        <f>IF(OR('Base Encuesta'!AB233="",IFERROR(VALUE(LEFT('Base Encuesta'!K233,1)),"")&gt;=3),"",VALUE(LEFT('Base Encuesta'!AB233,1)))</f>
        <v/>
      </c>
      <c r="V259" t="str">
        <f>IF(OR('Base Encuesta'!AC233="",IFERROR(VALUE(LEFT('Base Encuesta'!K233,1)),"")&gt;=3),"",VALUE(LEFT('Base Encuesta'!AC233,1)))</f>
        <v/>
      </c>
      <c r="W259" t="str">
        <f>IF(OR('Base Encuesta'!AE233="",IFERROR(VALUE(LEFT('Base Encuesta'!K233,1)),"")&gt;=3),"",VALUE(LEFT('Base Encuesta'!AE233,1)))</f>
        <v/>
      </c>
      <c r="X259" t="str">
        <f>IF(OR('Base Encuesta'!AF233="",IFERROR(VALUE(LEFT('Base Encuesta'!K233,1)),"")&gt;=3),"",IF(W259=1,VALUE(LEFT('Base Encuesta'!AF233,1)),""))</f>
        <v/>
      </c>
      <c r="Y259" t="str">
        <f>IF(OR('Base Encuesta'!AG233="",IFERROR(VALUE(LEFT('Base Encuesta'!K233,1)),"")&gt;=3),"",IF(W259=1,VALUE(LEFT('Base Encuesta'!AG233,1)),""))</f>
        <v/>
      </c>
      <c r="Z259" t="str">
        <f>IF(OR('Base Encuesta'!AH233="",IFERROR(VALUE(LEFT('Base Encuesta'!K233,1)),"")&gt;=3),"",IF(W259=1,VALUE(LEFT('Base Encuesta'!AH233,1)),""))</f>
        <v/>
      </c>
      <c r="AA259" t="str">
        <f>IF(OR('Base Encuesta'!AI233="",IFERROR(VALUE(LEFT('Base Encuesta'!K233,1)),"")&gt;=3),"",IF(W259=1,VALUE(LEFT('Base Encuesta'!AI233,1)),""))</f>
        <v/>
      </c>
      <c r="AB259" t="str">
        <f>IF(OR('Base Encuesta'!AJ233="",IFERROR(VALUE(LEFT('Base Encuesta'!K233,1)),"")&gt;=3),"",IF(W259=1,VALUE(LEFT('Base Encuesta'!AJ233,1)),""))</f>
        <v/>
      </c>
      <c r="AC259" t="str">
        <f>IF(OR('Base Encuesta'!AL233="",IFERROR(VALUE(LEFT('Base Encuesta'!K233,1)),"")&gt;=3),"",VALUE(LEFT('Base Encuesta'!AL233,1)))</f>
        <v/>
      </c>
      <c r="AD259" t="str">
        <f>IF(OR('Base Encuesta'!AM233="",IFERROR(VALUE(LEFT('Base Encuesta'!K233,1)),"")&gt;=3),"",VALUE(LEFT('Base Encuesta'!AM233,1)))</f>
        <v/>
      </c>
      <c r="AE259" t="str">
        <f>IF(OR('Base Encuesta'!AN233="",IFERROR(VALUE(LEFT('Base Encuesta'!K233,1)),"")&gt;=3),"",VALUE(LEFT('Base Encuesta'!AN233,1)))</f>
        <v/>
      </c>
      <c r="AF259" t="str">
        <f>IF(OR('Base Encuesta'!AO233="",IFERROR(VALUE(LEFT('Base Encuesta'!K233,1)),"")&gt;=3),"",VALUE(LEFT('Base Encuesta'!AO233,1)))</f>
        <v/>
      </c>
      <c r="AG259" t="str">
        <f>IF(OR('Base Encuesta'!AQ233="",IFERROR(VALUE(LEFT('Base Encuesta'!K233,1)),"")&gt;=3),"",VALUE(LEFT('Base Encuesta'!AQ233,1)))</f>
        <v/>
      </c>
      <c r="AH259" t="str">
        <f>IF(OR('Base Encuesta'!AR233="",IFERROR(VALUE(LEFT('Base Encuesta'!K233,1)),"")&gt;=3),"",VALUE(LEFT('Base Encuesta'!AR233,1)))</f>
        <v/>
      </c>
    </row>
    <row r="260" spans="1:34">
      <c r="A260" t="str">
        <f>IF('Base Encuesta'!C234="","",'Base Encuesta'!C234)</f>
        <v/>
      </c>
      <c r="B260" t="str">
        <f>IF('Base Encuesta'!D234="","",'Base Encuesta'!D234)</f>
        <v/>
      </c>
      <c r="C260" t="str">
        <f>IF('Base Encuesta'!E234="","",'Base Encuesta'!E234)</f>
        <v/>
      </c>
      <c r="D260" t="str">
        <f>IF('Base Encuesta'!F234="","",'Base Encuesta'!F234)</f>
        <v/>
      </c>
      <c r="E260" t="str">
        <f>IF('Base Encuesta'!G234="","",'Base Encuesta'!G234)</f>
        <v/>
      </c>
      <c r="F260" t="str">
        <f>IF('Base Encuesta'!H234="","",'Base Encuesta'!H234)</f>
        <v/>
      </c>
      <c r="G260" t="str">
        <f>IF('Base Encuesta'!I234="","",'Base Encuesta'!I234)</f>
        <v/>
      </c>
      <c r="H260" t="str">
        <f>IF('Base Encuesta'!J234="","",'Base Encuesta'!J234)</f>
        <v/>
      </c>
      <c r="I260" t="str">
        <f>IF('Base Encuesta'!K234="","",'Base Encuesta'!K234)</f>
        <v/>
      </c>
      <c r="J260" t="str">
        <f>IF(OR('Base Encuesta'!P234="",IFERROR(VALUE(LEFT('Base Encuesta'!K234,1)),"")&gt;=3),"",PROPER(TRIM('Base Encuesta'!P234)))</f>
        <v/>
      </c>
      <c r="K260" t="str">
        <f>IF(OR('Base Encuesta'!Q234="",IFERROR(VALUE(LEFT('Base Encuesta'!K234,1)),"")&gt;=3),"",'Base Encuesta'!Q234)</f>
        <v/>
      </c>
      <c r="L260" t="str">
        <f>IF(OR('Base Encuesta'!R234="",IFERROR(VALUE(LEFT('Base Encuesta'!K234,1)),"")&gt;=3),"",VALUE(LEFT('Base Encuesta'!R234,1)))</f>
        <v/>
      </c>
      <c r="M260" t="str">
        <f>IF(OR('Base Encuesta'!S234="",IFERROR(VALUE(LEFT('Base Encuesta'!K234,1)),"")&gt;=3),"",VALUE(LEFT('Base Encuesta'!S234,1)))</f>
        <v/>
      </c>
      <c r="N260" t="str">
        <f>IF(OR('Base Encuesta'!T234="",IFERROR(VALUE(LEFT('Base Encuesta'!K234,1)),"")&gt;=3),"",VALUE(LEFT('Base Encuesta'!T234,1)))</f>
        <v/>
      </c>
      <c r="O260" t="str">
        <f>IF(OR('Base Encuesta'!V234="",IFERROR(VALUE(LEFT('Base Encuesta'!K234,1)),"")&gt;=3),"",VALUE(LEFT('Base Encuesta'!V234,1)))</f>
        <v/>
      </c>
      <c r="P260" t="str">
        <f>IF(OR('Base Encuesta'!W234="",IFERROR(VALUE(LEFT('Base Encuesta'!K234,1)),"")&gt;=3),"",VALUE(LEFT('Base Encuesta'!W234,1)))</f>
        <v/>
      </c>
      <c r="Q260" t="str">
        <f>IF(OR('Base Encuesta'!X234="",IFERROR(VALUE(LEFT('Base Encuesta'!K234,1)),"")&gt;=3),"",VALUE(LEFT('Base Encuesta'!X234,1)))</f>
        <v/>
      </c>
      <c r="R260" t="str">
        <f>IF(OR('Base Encuesta'!Y234="",IFERROR(VALUE(LEFT('Base Encuesta'!K234,1)),"")&gt;=3),"",VALUE(LEFT('Base Encuesta'!Y234,1)))</f>
        <v/>
      </c>
      <c r="S260" t="str">
        <f>IF(OR('Base Encuesta'!Z234="",IFERROR(VALUE(LEFT('Base Encuesta'!K234,1)),"")&gt;=3),"",VALUE(LEFT('Base Encuesta'!Z234,1)))</f>
        <v/>
      </c>
      <c r="T260" t="str">
        <f>IF(OR('Base Encuesta'!AA234="",IFERROR(VALUE(LEFT('Base Encuesta'!K234,1)),"")&gt;=3),"",VALUE(LEFT('Base Encuesta'!AA234,1)))</f>
        <v/>
      </c>
      <c r="U260" t="str">
        <f>IF(OR('Base Encuesta'!AB234="",IFERROR(VALUE(LEFT('Base Encuesta'!K234,1)),"")&gt;=3),"",VALUE(LEFT('Base Encuesta'!AB234,1)))</f>
        <v/>
      </c>
      <c r="V260" t="str">
        <f>IF(OR('Base Encuesta'!AC234="",IFERROR(VALUE(LEFT('Base Encuesta'!K234,1)),"")&gt;=3),"",VALUE(LEFT('Base Encuesta'!AC234,1)))</f>
        <v/>
      </c>
      <c r="W260" t="str">
        <f>IF(OR('Base Encuesta'!AE234="",IFERROR(VALUE(LEFT('Base Encuesta'!K234,1)),"")&gt;=3),"",VALUE(LEFT('Base Encuesta'!AE234,1)))</f>
        <v/>
      </c>
      <c r="X260" t="str">
        <f>IF(OR('Base Encuesta'!AF234="",IFERROR(VALUE(LEFT('Base Encuesta'!K234,1)),"")&gt;=3),"",IF(W260=1,VALUE(LEFT('Base Encuesta'!AF234,1)),""))</f>
        <v/>
      </c>
      <c r="Y260" t="str">
        <f>IF(OR('Base Encuesta'!AG234="",IFERROR(VALUE(LEFT('Base Encuesta'!K234,1)),"")&gt;=3),"",IF(W260=1,VALUE(LEFT('Base Encuesta'!AG234,1)),""))</f>
        <v/>
      </c>
      <c r="Z260" t="str">
        <f>IF(OR('Base Encuesta'!AH234="",IFERROR(VALUE(LEFT('Base Encuesta'!K234,1)),"")&gt;=3),"",IF(W260=1,VALUE(LEFT('Base Encuesta'!AH234,1)),""))</f>
        <v/>
      </c>
      <c r="AA260" t="str">
        <f>IF(OR('Base Encuesta'!AI234="",IFERROR(VALUE(LEFT('Base Encuesta'!K234,1)),"")&gt;=3),"",IF(W260=1,VALUE(LEFT('Base Encuesta'!AI234,1)),""))</f>
        <v/>
      </c>
      <c r="AB260" t="str">
        <f>IF(OR('Base Encuesta'!AJ234="",IFERROR(VALUE(LEFT('Base Encuesta'!K234,1)),"")&gt;=3),"",IF(W260=1,VALUE(LEFT('Base Encuesta'!AJ234,1)),""))</f>
        <v/>
      </c>
      <c r="AC260" t="str">
        <f>IF(OR('Base Encuesta'!AL234="",IFERROR(VALUE(LEFT('Base Encuesta'!K234,1)),"")&gt;=3),"",VALUE(LEFT('Base Encuesta'!AL234,1)))</f>
        <v/>
      </c>
      <c r="AD260" t="str">
        <f>IF(OR('Base Encuesta'!AM234="",IFERROR(VALUE(LEFT('Base Encuesta'!K234,1)),"")&gt;=3),"",VALUE(LEFT('Base Encuesta'!AM234,1)))</f>
        <v/>
      </c>
      <c r="AE260" t="str">
        <f>IF(OR('Base Encuesta'!AN234="",IFERROR(VALUE(LEFT('Base Encuesta'!K234,1)),"")&gt;=3),"",VALUE(LEFT('Base Encuesta'!AN234,1)))</f>
        <v/>
      </c>
      <c r="AF260" t="str">
        <f>IF(OR('Base Encuesta'!AO234="",IFERROR(VALUE(LEFT('Base Encuesta'!K234,1)),"")&gt;=3),"",VALUE(LEFT('Base Encuesta'!AO234,1)))</f>
        <v/>
      </c>
      <c r="AG260" t="str">
        <f>IF(OR('Base Encuesta'!AQ234="",IFERROR(VALUE(LEFT('Base Encuesta'!K234,1)),"")&gt;=3),"",VALUE(LEFT('Base Encuesta'!AQ234,1)))</f>
        <v/>
      </c>
      <c r="AH260" t="str">
        <f>IF(OR('Base Encuesta'!AR234="",IFERROR(VALUE(LEFT('Base Encuesta'!K234,1)),"")&gt;=3),"",VALUE(LEFT('Base Encuesta'!AR234,1)))</f>
        <v/>
      </c>
    </row>
    <row r="261" spans="1:34">
      <c r="A261" t="str">
        <f>IF('Base Encuesta'!C235="","",'Base Encuesta'!C235)</f>
        <v/>
      </c>
      <c r="B261" t="str">
        <f>IF('Base Encuesta'!D235="","",'Base Encuesta'!D235)</f>
        <v/>
      </c>
      <c r="C261" t="str">
        <f>IF('Base Encuesta'!E235="","",'Base Encuesta'!E235)</f>
        <v/>
      </c>
      <c r="D261" t="str">
        <f>IF('Base Encuesta'!F235="","",'Base Encuesta'!F235)</f>
        <v/>
      </c>
      <c r="E261" t="str">
        <f>IF('Base Encuesta'!G235="","",'Base Encuesta'!G235)</f>
        <v/>
      </c>
      <c r="F261" t="str">
        <f>IF('Base Encuesta'!H235="","",'Base Encuesta'!H235)</f>
        <v/>
      </c>
      <c r="G261" t="str">
        <f>IF('Base Encuesta'!I235="","",'Base Encuesta'!I235)</f>
        <v/>
      </c>
      <c r="H261" t="str">
        <f>IF('Base Encuesta'!J235="","",'Base Encuesta'!J235)</f>
        <v/>
      </c>
      <c r="I261" t="str">
        <f>IF('Base Encuesta'!K235="","",'Base Encuesta'!K235)</f>
        <v/>
      </c>
      <c r="J261" t="str">
        <f>IF(OR('Base Encuesta'!P235="",IFERROR(VALUE(LEFT('Base Encuesta'!K235,1)),"")&gt;=3),"",PROPER(TRIM('Base Encuesta'!P235)))</f>
        <v/>
      </c>
      <c r="K261" t="str">
        <f>IF(OR('Base Encuesta'!Q235="",IFERROR(VALUE(LEFT('Base Encuesta'!K235,1)),"")&gt;=3),"",'Base Encuesta'!Q235)</f>
        <v/>
      </c>
      <c r="L261" t="str">
        <f>IF(OR('Base Encuesta'!R235="",IFERROR(VALUE(LEFT('Base Encuesta'!K235,1)),"")&gt;=3),"",VALUE(LEFT('Base Encuesta'!R235,1)))</f>
        <v/>
      </c>
      <c r="M261" t="str">
        <f>IF(OR('Base Encuesta'!S235="",IFERROR(VALUE(LEFT('Base Encuesta'!K235,1)),"")&gt;=3),"",VALUE(LEFT('Base Encuesta'!S235,1)))</f>
        <v/>
      </c>
      <c r="N261" t="str">
        <f>IF(OR('Base Encuesta'!T235="",IFERROR(VALUE(LEFT('Base Encuesta'!K235,1)),"")&gt;=3),"",VALUE(LEFT('Base Encuesta'!T235,1)))</f>
        <v/>
      </c>
      <c r="O261" t="str">
        <f>IF(OR('Base Encuesta'!V235="",IFERROR(VALUE(LEFT('Base Encuesta'!K235,1)),"")&gt;=3),"",VALUE(LEFT('Base Encuesta'!V235,1)))</f>
        <v/>
      </c>
      <c r="P261" t="str">
        <f>IF(OR('Base Encuesta'!W235="",IFERROR(VALUE(LEFT('Base Encuesta'!K235,1)),"")&gt;=3),"",VALUE(LEFT('Base Encuesta'!W235,1)))</f>
        <v/>
      </c>
      <c r="Q261" t="str">
        <f>IF(OR('Base Encuesta'!X235="",IFERROR(VALUE(LEFT('Base Encuesta'!K235,1)),"")&gt;=3),"",VALUE(LEFT('Base Encuesta'!X235,1)))</f>
        <v/>
      </c>
      <c r="R261" t="str">
        <f>IF(OR('Base Encuesta'!Y235="",IFERROR(VALUE(LEFT('Base Encuesta'!K235,1)),"")&gt;=3),"",VALUE(LEFT('Base Encuesta'!Y235,1)))</f>
        <v/>
      </c>
      <c r="S261" t="str">
        <f>IF(OR('Base Encuesta'!Z235="",IFERROR(VALUE(LEFT('Base Encuesta'!K235,1)),"")&gt;=3),"",VALUE(LEFT('Base Encuesta'!Z235,1)))</f>
        <v/>
      </c>
      <c r="T261" t="str">
        <f>IF(OR('Base Encuesta'!AA235="",IFERROR(VALUE(LEFT('Base Encuesta'!K235,1)),"")&gt;=3),"",VALUE(LEFT('Base Encuesta'!AA235,1)))</f>
        <v/>
      </c>
      <c r="U261" t="str">
        <f>IF(OR('Base Encuesta'!AB235="",IFERROR(VALUE(LEFT('Base Encuesta'!K235,1)),"")&gt;=3),"",VALUE(LEFT('Base Encuesta'!AB235,1)))</f>
        <v/>
      </c>
      <c r="V261" t="str">
        <f>IF(OR('Base Encuesta'!AC235="",IFERROR(VALUE(LEFT('Base Encuesta'!K235,1)),"")&gt;=3),"",VALUE(LEFT('Base Encuesta'!AC235,1)))</f>
        <v/>
      </c>
      <c r="W261" t="str">
        <f>IF(OR('Base Encuesta'!AE235="",IFERROR(VALUE(LEFT('Base Encuesta'!K235,1)),"")&gt;=3),"",VALUE(LEFT('Base Encuesta'!AE235,1)))</f>
        <v/>
      </c>
      <c r="X261" t="str">
        <f>IF(OR('Base Encuesta'!AF235="",IFERROR(VALUE(LEFT('Base Encuesta'!K235,1)),"")&gt;=3),"",IF(W261=1,VALUE(LEFT('Base Encuesta'!AF235,1)),""))</f>
        <v/>
      </c>
      <c r="Y261" t="str">
        <f>IF(OR('Base Encuesta'!AG235="",IFERROR(VALUE(LEFT('Base Encuesta'!K235,1)),"")&gt;=3),"",IF(W261=1,VALUE(LEFT('Base Encuesta'!AG235,1)),""))</f>
        <v/>
      </c>
      <c r="Z261" t="str">
        <f>IF(OR('Base Encuesta'!AH235="",IFERROR(VALUE(LEFT('Base Encuesta'!K235,1)),"")&gt;=3),"",IF(W261=1,VALUE(LEFT('Base Encuesta'!AH235,1)),""))</f>
        <v/>
      </c>
      <c r="AA261" t="str">
        <f>IF(OR('Base Encuesta'!AI235="",IFERROR(VALUE(LEFT('Base Encuesta'!K235,1)),"")&gt;=3),"",IF(W261=1,VALUE(LEFT('Base Encuesta'!AI235,1)),""))</f>
        <v/>
      </c>
      <c r="AB261" t="str">
        <f>IF(OR('Base Encuesta'!AJ235="",IFERROR(VALUE(LEFT('Base Encuesta'!K235,1)),"")&gt;=3),"",IF(W261=1,VALUE(LEFT('Base Encuesta'!AJ235,1)),""))</f>
        <v/>
      </c>
      <c r="AC261" t="str">
        <f>IF(OR('Base Encuesta'!AL235="",IFERROR(VALUE(LEFT('Base Encuesta'!K235,1)),"")&gt;=3),"",VALUE(LEFT('Base Encuesta'!AL235,1)))</f>
        <v/>
      </c>
      <c r="AD261" t="str">
        <f>IF(OR('Base Encuesta'!AM235="",IFERROR(VALUE(LEFT('Base Encuesta'!K235,1)),"")&gt;=3),"",VALUE(LEFT('Base Encuesta'!AM235,1)))</f>
        <v/>
      </c>
      <c r="AE261" t="str">
        <f>IF(OR('Base Encuesta'!AN235="",IFERROR(VALUE(LEFT('Base Encuesta'!K235,1)),"")&gt;=3),"",VALUE(LEFT('Base Encuesta'!AN235,1)))</f>
        <v/>
      </c>
      <c r="AF261" t="str">
        <f>IF(OR('Base Encuesta'!AO235="",IFERROR(VALUE(LEFT('Base Encuesta'!K235,1)),"")&gt;=3),"",VALUE(LEFT('Base Encuesta'!AO235,1)))</f>
        <v/>
      </c>
      <c r="AG261" t="str">
        <f>IF(OR('Base Encuesta'!AQ235="",IFERROR(VALUE(LEFT('Base Encuesta'!K235,1)),"")&gt;=3),"",VALUE(LEFT('Base Encuesta'!AQ235,1)))</f>
        <v/>
      </c>
      <c r="AH261" t="str">
        <f>IF(OR('Base Encuesta'!AR235="",IFERROR(VALUE(LEFT('Base Encuesta'!K235,1)),"")&gt;=3),"",VALUE(LEFT('Base Encuesta'!AR235,1)))</f>
        <v/>
      </c>
    </row>
    <row r="262" spans="1:34">
      <c r="A262" t="str">
        <f>IF('Base Encuesta'!C236="","",'Base Encuesta'!C236)</f>
        <v/>
      </c>
      <c r="B262" t="str">
        <f>IF('Base Encuesta'!D236="","",'Base Encuesta'!D236)</f>
        <v/>
      </c>
      <c r="C262" t="str">
        <f>IF('Base Encuesta'!E236="","",'Base Encuesta'!E236)</f>
        <v/>
      </c>
      <c r="D262" t="str">
        <f>IF('Base Encuesta'!F236="","",'Base Encuesta'!F236)</f>
        <v/>
      </c>
      <c r="E262" t="str">
        <f>IF('Base Encuesta'!G236="","",'Base Encuesta'!G236)</f>
        <v/>
      </c>
      <c r="F262" t="str">
        <f>IF('Base Encuesta'!H236="","",'Base Encuesta'!H236)</f>
        <v/>
      </c>
      <c r="G262" t="str">
        <f>IF('Base Encuesta'!I236="","",'Base Encuesta'!I236)</f>
        <v/>
      </c>
      <c r="H262" t="str">
        <f>IF('Base Encuesta'!J236="","",'Base Encuesta'!J236)</f>
        <v/>
      </c>
      <c r="I262" t="str">
        <f>IF('Base Encuesta'!K236="","",'Base Encuesta'!K236)</f>
        <v/>
      </c>
      <c r="J262" t="str">
        <f>IF(OR('Base Encuesta'!P236="",IFERROR(VALUE(LEFT('Base Encuesta'!K236,1)),"")&gt;=3),"",PROPER(TRIM('Base Encuesta'!P236)))</f>
        <v/>
      </c>
      <c r="K262" t="str">
        <f>IF(OR('Base Encuesta'!Q236="",IFERROR(VALUE(LEFT('Base Encuesta'!K236,1)),"")&gt;=3),"",'Base Encuesta'!Q236)</f>
        <v/>
      </c>
      <c r="L262" t="str">
        <f>IF(OR('Base Encuesta'!R236="",IFERROR(VALUE(LEFT('Base Encuesta'!K236,1)),"")&gt;=3),"",VALUE(LEFT('Base Encuesta'!R236,1)))</f>
        <v/>
      </c>
      <c r="M262" t="str">
        <f>IF(OR('Base Encuesta'!S236="",IFERROR(VALUE(LEFT('Base Encuesta'!K236,1)),"")&gt;=3),"",VALUE(LEFT('Base Encuesta'!S236,1)))</f>
        <v/>
      </c>
      <c r="N262" t="str">
        <f>IF(OR('Base Encuesta'!T236="",IFERROR(VALUE(LEFT('Base Encuesta'!K236,1)),"")&gt;=3),"",VALUE(LEFT('Base Encuesta'!T236,1)))</f>
        <v/>
      </c>
      <c r="O262" t="str">
        <f>IF(OR('Base Encuesta'!V236="",IFERROR(VALUE(LEFT('Base Encuesta'!K236,1)),"")&gt;=3),"",VALUE(LEFT('Base Encuesta'!V236,1)))</f>
        <v/>
      </c>
      <c r="P262" t="str">
        <f>IF(OR('Base Encuesta'!W236="",IFERROR(VALUE(LEFT('Base Encuesta'!K236,1)),"")&gt;=3),"",VALUE(LEFT('Base Encuesta'!W236,1)))</f>
        <v/>
      </c>
      <c r="Q262" t="str">
        <f>IF(OR('Base Encuesta'!X236="",IFERROR(VALUE(LEFT('Base Encuesta'!K236,1)),"")&gt;=3),"",VALUE(LEFT('Base Encuesta'!X236,1)))</f>
        <v/>
      </c>
      <c r="R262" t="str">
        <f>IF(OR('Base Encuesta'!Y236="",IFERROR(VALUE(LEFT('Base Encuesta'!K236,1)),"")&gt;=3),"",VALUE(LEFT('Base Encuesta'!Y236,1)))</f>
        <v/>
      </c>
      <c r="S262" t="str">
        <f>IF(OR('Base Encuesta'!Z236="",IFERROR(VALUE(LEFT('Base Encuesta'!K236,1)),"")&gt;=3),"",VALUE(LEFT('Base Encuesta'!Z236,1)))</f>
        <v/>
      </c>
      <c r="T262" t="str">
        <f>IF(OR('Base Encuesta'!AA236="",IFERROR(VALUE(LEFT('Base Encuesta'!K236,1)),"")&gt;=3),"",VALUE(LEFT('Base Encuesta'!AA236,1)))</f>
        <v/>
      </c>
      <c r="U262" t="str">
        <f>IF(OR('Base Encuesta'!AB236="",IFERROR(VALUE(LEFT('Base Encuesta'!K236,1)),"")&gt;=3),"",VALUE(LEFT('Base Encuesta'!AB236,1)))</f>
        <v/>
      </c>
      <c r="V262" t="str">
        <f>IF(OR('Base Encuesta'!AC236="",IFERROR(VALUE(LEFT('Base Encuesta'!K236,1)),"")&gt;=3),"",VALUE(LEFT('Base Encuesta'!AC236,1)))</f>
        <v/>
      </c>
      <c r="W262" t="str">
        <f>IF(OR('Base Encuesta'!AE236="",IFERROR(VALUE(LEFT('Base Encuesta'!K236,1)),"")&gt;=3),"",VALUE(LEFT('Base Encuesta'!AE236,1)))</f>
        <v/>
      </c>
      <c r="X262" t="str">
        <f>IF(OR('Base Encuesta'!AF236="",IFERROR(VALUE(LEFT('Base Encuesta'!K236,1)),"")&gt;=3),"",IF(W262=1,VALUE(LEFT('Base Encuesta'!AF236,1)),""))</f>
        <v/>
      </c>
      <c r="Y262" t="str">
        <f>IF(OR('Base Encuesta'!AG236="",IFERROR(VALUE(LEFT('Base Encuesta'!K236,1)),"")&gt;=3),"",IF(W262=1,VALUE(LEFT('Base Encuesta'!AG236,1)),""))</f>
        <v/>
      </c>
      <c r="Z262" t="str">
        <f>IF(OR('Base Encuesta'!AH236="",IFERROR(VALUE(LEFT('Base Encuesta'!K236,1)),"")&gt;=3),"",IF(W262=1,VALUE(LEFT('Base Encuesta'!AH236,1)),""))</f>
        <v/>
      </c>
      <c r="AA262" t="str">
        <f>IF(OR('Base Encuesta'!AI236="",IFERROR(VALUE(LEFT('Base Encuesta'!K236,1)),"")&gt;=3),"",IF(W262=1,VALUE(LEFT('Base Encuesta'!AI236,1)),""))</f>
        <v/>
      </c>
      <c r="AB262" t="str">
        <f>IF(OR('Base Encuesta'!AJ236="",IFERROR(VALUE(LEFT('Base Encuesta'!K236,1)),"")&gt;=3),"",IF(W262=1,VALUE(LEFT('Base Encuesta'!AJ236,1)),""))</f>
        <v/>
      </c>
      <c r="AC262" t="str">
        <f>IF(OR('Base Encuesta'!AL236="",IFERROR(VALUE(LEFT('Base Encuesta'!K236,1)),"")&gt;=3),"",VALUE(LEFT('Base Encuesta'!AL236,1)))</f>
        <v/>
      </c>
      <c r="AD262" t="str">
        <f>IF(OR('Base Encuesta'!AM236="",IFERROR(VALUE(LEFT('Base Encuesta'!K236,1)),"")&gt;=3),"",VALUE(LEFT('Base Encuesta'!AM236,1)))</f>
        <v/>
      </c>
      <c r="AE262" t="str">
        <f>IF(OR('Base Encuesta'!AN236="",IFERROR(VALUE(LEFT('Base Encuesta'!K236,1)),"")&gt;=3),"",VALUE(LEFT('Base Encuesta'!AN236,1)))</f>
        <v/>
      </c>
      <c r="AF262" t="str">
        <f>IF(OR('Base Encuesta'!AO236="",IFERROR(VALUE(LEFT('Base Encuesta'!K236,1)),"")&gt;=3),"",VALUE(LEFT('Base Encuesta'!AO236,1)))</f>
        <v/>
      </c>
      <c r="AG262" t="str">
        <f>IF(OR('Base Encuesta'!AQ236="",IFERROR(VALUE(LEFT('Base Encuesta'!K236,1)),"")&gt;=3),"",VALUE(LEFT('Base Encuesta'!AQ236,1)))</f>
        <v/>
      </c>
      <c r="AH262" t="str">
        <f>IF(OR('Base Encuesta'!AR236="",IFERROR(VALUE(LEFT('Base Encuesta'!K236,1)),"")&gt;=3),"",VALUE(LEFT('Base Encuesta'!AR236,1)))</f>
        <v/>
      </c>
    </row>
    <row r="263" spans="1:34">
      <c r="A263" t="str">
        <f>IF('Base Encuesta'!C237="","",'Base Encuesta'!C237)</f>
        <v/>
      </c>
      <c r="B263" t="str">
        <f>IF('Base Encuesta'!D237="","",'Base Encuesta'!D237)</f>
        <v/>
      </c>
      <c r="C263" t="str">
        <f>IF('Base Encuesta'!E237="","",'Base Encuesta'!E237)</f>
        <v/>
      </c>
      <c r="D263" t="str">
        <f>IF('Base Encuesta'!F237="","",'Base Encuesta'!F237)</f>
        <v/>
      </c>
      <c r="E263" t="str">
        <f>IF('Base Encuesta'!G237="","",'Base Encuesta'!G237)</f>
        <v/>
      </c>
      <c r="F263" t="str">
        <f>IF('Base Encuesta'!H237="","",'Base Encuesta'!H237)</f>
        <v/>
      </c>
      <c r="G263" t="str">
        <f>IF('Base Encuesta'!I237="","",'Base Encuesta'!I237)</f>
        <v/>
      </c>
      <c r="H263" t="str">
        <f>IF('Base Encuesta'!J237="","",'Base Encuesta'!J237)</f>
        <v/>
      </c>
      <c r="I263" t="str">
        <f>IF('Base Encuesta'!K237="","",'Base Encuesta'!K237)</f>
        <v/>
      </c>
      <c r="J263" t="str">
        <f>IF(OR('Base Encuesta'!P237="",IFERROR(VALUE(LEFT('Base Encuesta'!K237,1)),"")&gt;=3),"",PROPER(TRIM('Base Encuesta'!P237)))</f>
        <v/>
      </c>
      <c r="K263" t="str">
        <f>IF(OR('Base Encuesta'!Q237="",IFERROR(VALUE(LEFT('Base Encuesta'!K237,1)),"")&gt;=3),"",'Base Encuesta'!Q237)</f>
        <v/>
      </c>
      <c r="L263" t="str">
        <f>IF(OR('Base Encuesta'!R237="",IFERROR(VALUE(LEFT('Base Encuesta'!K237,1)),"")&gt;=3),"",VALUE(LEFT('Base Encuesta'!R237,1)))</f>
        <v/>
      </c>
      <c r="M263" t="str">
        <f>IF(OR('Base Encuesta'!S237="",IFERROR(VALUE(LEFT('Base Encuesta'!K237,1)),"")&gt;=3),"",VALUE(LEFT('Base Encuesta'!S237,1)))</f>
        <v/>
      </c>
      <c r="N263" t="str">
        <f>IF(OR('Base Encuesta'!T237="",IFERROR(VALUE(LEFT('Base Encuesta'!K237,1)),"")&gt;=3),"",VALUE(LEFT('Base Encuesta'!T237,1)))</f>
        <v/>
      </c>
      <c r="O263" t="str">
        <f>IF(OR('Base Encuesta'!V237="",IFERROR(VALUE(LEFT('Base Encuesta'!K237,1)),"")&gt;=3),"",VALUE(LEFT('Base Encuesta'!V237,1)))</f>
        <v/>
      </c>
      <c r="P263" t="str">
        <f>IF(OR('Base Encuesta'!W237="",IFERROR(VALUE(LEFT('Base Encuesta'!K237,1)),"")&gt;=3),"",VALUE(LEFT('Base Encuesta'!W237,1)))</f>
        <v/>
      </c>
      <c r="Q263" t="str">
        <f>IF(OR('Base Encuesta'!X237="",IFERROR(VALUE(LEFT('Base Encuesta'!K237,1)),"")&gt;=3),"",VALUE(LEFT('Base Encuesta'!X237,1)))</f>
        <v/>
      </c>
      <c r="R263" t="str">
        <f>IF(OR('Base Encuesta'!Y237="",IFERROR(VALUE(LEFT('Base Encuesta'!K237,1)),"")&gt;=3),"",VALUE(LEFT('Base Encuesta'!Y237,1)))</f>
        <v/>
      </c>
      <c r="S263" t="str">
        <f>IF(OR('Base Encuesta'!Z237="",IFERROR(VALUE(LEFT('Base Encuesta'!K237,1)),"")&gt;=3),"",VALUE(LEFT('Base Encuesta'!Z237,1)))</f>
        <v/>
      </c>
      <c r="T263" t="str">
        <f>IF(OR('Base Encuesta'!AA237="",IFERROR(VALUE(LEFT('Base Encuesta'!K237,1)),"")&gt;=3),"",VALUE(LEFT('Base Encuesta'!AA237,1)))</f>
        <v/>
      </c>
      <c r="U263" t="str">
        <f>IF(OR('Base Encuesta'!AB237="",IFERROR(VALUE(LEFT('Base Encuesta'!K237,1)),"")&gt;=3),"",VALUE(LEFT('Base Encuesta'!AB237,1)))</f>
        <v/>
      </c>
      <c r="V263" t="str">
        <f>IF(OR('Base Encuesta'!AC237="",IFERROR(VALUE(LEFT('Base Encuesta'!K237,1)),"")&gt;=3),"",VALUE(LEFT('Base Encuesta'!AC237,1)))</f>
        <v/>
      </c>
      <c r="W263" t="str">
        <f>IF(OR('Base Encuesta'!AE237="",IFERROR(VALUE(LEFT('Base Encuesta'!K237,1)),"")&gt;=3),"",VALUE(LEFT('Base Encuesta'!AE237,1)))</f>
        <v/>
      </c>
      <c r="X263" t="str">
        <f>IF(OR('Base Encuesta'!AF237="",IFERROR(VALUE(LEFT('Base Encuesta'!K237,1)),"")&gt;=3),"",IF(W263=1,VALUE(LEFT('Base Encuesta'!AF237,1)),""))</f>
        <v/>
      </c>
      <c r="Y263" t="str">
        <f>IF(OR('Base Encuesta'!AG237="",IFERROR(VALUE(LEFT('Base Encuesta'!K237,1)),"")&gt;=3),"",IF(W263=1,VALUE(LEFT('Base Encuesta'!AG237,1)),""))</f>
        <v/>
      </c>
      <c r="Z263" t="str">
        <f>IF(OR('Base Encuesta'!AH237="",IFERROR(VALUE(LEFT('Base Encuesta'!K237,1)),"")&gt;=3),"",IF(W263=1,VALUE(LEFT('Base Encuesta'!AH237,1)),""))</f>
        <v/>
      </c>
      <c r="AA263" t="str">
        <f>IF(OR('Base Encuesta'!AI237="",IFERROR(VALUE(LEFT('Base Encuesta'!K237,1)),"")&gt;=3),"",IF(W263=1,VALUE(LEFT('Base Encuesta'!AI237,1)),""))</f>
        <v/>
      </c>
      <c r="AB263" t="str">
        <f>IF(OR('Base Encuesta'!AJ237="",IFERROR(VALUE(LEFT('Base Encuesta'!K237,1)),"")&gt;=3),"",IF(W263=1,VALUE(LEFT('Base Encuesta'!AJ237,1)),""))</f>
        <v/>
      </c>
      <c r="AC263" t="str">
        <f>IF(OR('Base Encuesta'!AL237="",IFERROR(VALUE(LEFT('Base Encuesta'!K237,1)),"")&gt;=3),"",VALUE(LEFT('Base Encuesta'!AL237,1)))</f>
        <v/>
      </c>
      <c r="AD263" t="str">
        <f>IF(OR('Base Encuesta'!AM237="",IFERROR(VALUE(LEFT('Base Encuesta'!K237,1)),"")&gt;=3),"",VALUE(LEFT('Base Encuesta'!AM237,1)))</f>
        <v/>
      </c>
      <c r="AE263" t="str">
        <f>IF(OR('Base Encuesta'!AN237="",IFERROR(VALUE(LEFT('Base Encuesta'!K237,1)),"")&gt;=3),"",VALUE(LEFT('Base Encuesta'!AN237,1)))</f>
        <v/>
      </c>
      <c r="AF263" t="str">
        <f>IF(OR('Base Encuesta'!AO237="",IFERROR(VALUE(LEFT('Base Encuesta'!K237,1)),"")&gt;=3),"",VALUE(LEFT('Base Encuesta'!AO237,1)))</f>
        <v/>
      </c>
      <c r="AG263" t="str">
        <f>IF(OR('Base Encuesta'!AQ237="",IFERROR(VALUE(LEFT('Base Encuesta'!K237,1)),"")&gt;=3),"",VALUE(LEFT('Base Encuesta'!AQ237,1)))</f>
        <v/>
      </c>
      <c r="AH263" t="str">
        <f>IF(OR('Base Encuesta'!AR237="",IFERROR(VALUE(LEFT('Base Encuesta'!K237,1)),"")&gt;=3),"",VALUE(LEFT('Base Encuesta'!AR237,1)))</f>
        <v/>
      </c>
    </row>
    <row r="264" spans="1:34">
      <c r="A264" t="str">
        <f>IF('Base Encuesta'!C238="","",'Base Encuesta'!C238)</f>
        <v/>
      </c>
      <c r="B264" t="str">
        <f>IF('Base Encuesta'!D238="","",'Base Encuesta'!D238)</f>
        <v/>
      </c>
      <c r="C264" t="str">
        <f>IF('Base Encuesta'!E238="","",'Base Encuesta'!E238)</f>
        <v/>
      </c>
      <c r="D264" t="str">
        <f>IF('Base Encuesta'!F238="","",'Base Encuesta'!F238)</f>
        <v/>
      </c>
      <c r="E264" t="str">
        <f>IF('Base Encuesta'!G238="","",'Base Encuesta'!G238)</f>
        <v/>
      </c>
      <c r="F264" t="str">
        <f>IF('Base Encuesta'!H238="","",'Base Encuesta'!H238)</f>
        <v/>
      </c>
      <c r="G264" t="str">
        <f>IF('Base Encuesta'!I238="","",'Base Encuesta'!I238)</f>
        <v/>
      </c>
      <c r="H264" t="str">
        <f>IF('Base Encuesta'!J238="","",'Base Encuesta'!J238)</f>
        <v/>
      </c>
      <c r="I264" t="str">
        <f>IF('Base Encuesta'!K238="","",'Base Encuesta'!K238)</f>
        <v/>
      </c>
      <c r="J264" t="str">
        <f>IF(OR('Base Encuesta'!P238="",IFERROR(VALUE(LEFT('Base Encuesta'!K238,1)),"")&gt;=3),"",PROPER(TRIM('Base Encuesta'!P238)))</f>
        <v/>
      </c>
      <c r="K264" t="str">
        <f>IF(OR('Base Encuesta'!Q238="",IFERROR(VALUE(LEFT('Base Encuesta'!K238,1)),"")&gt;=3),"",'Base Encuesta'!Q238)</f>
        <v/>
      </c>
      <c r="L264" t="str">
        <f>IF(OR('Base Encuesta'!R238="",IFERROR(VALUE(LEFT('Base Encuesta'!K238,1)),"")&gt;=3),"",VALUE(LEFT('Base Encuesta'!R238,1)))</f>
        <v/>
      </c>
      <c r="M264" t="str">
        <f>IF(OR('Base Encuesta'!S238="",IFERROR(VALUE(LEFT('Base Encuesta'!K238,1)),"")&gt;=3),"",VALUE(LEFT('Base Encuesta'!S238,1)))</f>
        <v/>
      </c>
      <c r="N264" t="str">
        <f>IF(OR('Base Encuesta'!T238="",IFERROR(VALUE(LEFT('Base Encuesta'!K238,1)),"")&gt;=3),"",VALUE(LEFT('Base Encuesta'!T238,1)))</f>
        <v/>
      </c>
      <c r="O264" t="str">
        <f>IF(OR('Base Encuesta'!V238="",IFERROR(VALUE(LEFT('Base Encuesta'!K238,1)),"")&gt;=3),"",VALUE(LEFT('Base Encuesta'!V238,1)))</f>
        <v/>
      </c>
      <c r="P264" t="str">
        <f>IF(OR('Base Encuesta'!W238="",IFERROR(VALUE(LEFT('Base Encuesta'!K238,1)),"")&gt;=3),"",VALUE(LEFT('Base Encuesta'!W238,1)))</f>
        <v/>
      </c>
      <c r="Q264" t="str">
        <f>IF(OR('Base Encuesta'!X238="",IFERROR(VALUE(LEFT('Base Encuesta'!K238,1)),"")&gt;=3),"",VALUE(LEFT('Base Encuesta'!X238,1)))</f>
        <v/>
      </c>
      <c r="R264" t="str">
        <f>IF(OR('Base Encuesta'!Y238="",IFERROR(VALUE(LEFT('Base Encuesta'!K238,1)),"")&gt;=3),"",VALUE(LEFT('Base Encuesta'!Y238,1)))</f>
        <v/>
      </c>
      <c r="S264" t="str">
        <f>IF(OR('Base Encuesta'!Z238="",IFERROR(VALUE(LEFT('Base Encuesta'!K238,1)),"")&gt;=3),"",VALUE(LEFT('Base Encuesta'!Z238,1)))</f>
        <v/>
      </c>
      <c r="T264" t="str">
        <f>IF(OR('Base Encuesta'!AA238="",IFERROR(VALUE(LEFT('Base Encuesta'!K238,1)),"")&gt;=3),"",VALUE(LEFT('Base Encuesta'!AA238,1)))</f>
        <v/>
      </c>
      <c r="U264" t="str">
        <f>IF(OR('Base Encuesta'!AB238="",IFERROR(VALUE(LEFT('Base Encuesta'!K238,1)),"")&gt;=3),"",VALUE(LEFT('Base Encuesta'!AB238,1)))</f>
        <v/>
      </c>
      <c r="V264" t="str">
        <f>IF(OR('Base Encuesta'!AC238="",IFERROR(VALUE(LEFT('Base Encuesta'!K238,1)),"")&gt;=3),"",VALUE(LEFT('Base Encuesta'!AC238,1)))</f>
        <v/>
      </c>
      <c r="W264" t="str">
        <f>IF(OR('Base Encuesta'!AE238="",IFERROR(VALUE(LEFT('Base Encuesta'!K238,1)),"")&gt;=3),"",VALUE(LEFT('Base Encuesta'!AE238,1)))</f>
        <v/>
      </c>
      <c r="X264" t="str">
        <f>IF(OR('Base Encuesta'!AF238="",IFERROR(VALUE(LEFT('Base Encuesta'!K238,1)),"")&gt;=3),"",IF(W264=1,VALUE(LEFT('Base Encuesta'!AF238,1)),""))</f>
        <v/>
      </c>
      <c r="Y264" t="str">
        <f>IF(OR('Base Encuesta'!AG238="",IFERROR(VALUE(LEFT('Base Encuesta'!K238,1)),"")&gt;=3),"",IF(W264=1,VALUE(LEFT('Base Encuesta'!AG238,1)),""))</f>
        <v/>
      </c>
      <c r="Z264" t="str">
        <f>IF(OR('Base Encuesta'!AH238="",IFERROR(VALUE(LEFT('Base Encuesta'!K238,1)),"")&gt;=3),"",IF(W264=1,VALUE(LEFT('Base Encuesta'!AH238,1)),""))</f>
        <v/>
      </c>
      <c r="AA264" t="str">
        <f>IF(OR('Base Encuesta'!AI238="",IFERROR(VALUE(LEFT('Base Encuesta'!K238,1)),"")&gt;=3),"",IF(W264=1,VALUE(LEFT('Base Encuesta'!AI238,1)),""))</f>
        <v/>
      </c>
      <c r="AB264" t="str">
        <f>IF(OR('Base Encuesta'!AJ238="",IFERROR(VALUE(LEFT('Base Encuesta'!K238,1)),"")&gt;=3),"",IF(W264=1,VALUE(LEFT('Base Encuesta'!AJ238,1)),""))</f>
        <v/>
      </c>
      <c r="AC264" t="str">
        <f>IF(OR('Base Encuesta'!AL238="",IFERROR(VALUE(LEFT('Base Encuesta'!K238,1)),"")&gt;=3),"",VALUE(LEFT('Base Encuesta'!AL238,1)))</f>
        <v/>
      </c>
      <c r="AD264" t="str">
        <f>IF(OR('Base Encuesta'!AM238="",IFERROR(VALUE(LEFT('Base Encuesta'!K238,1)),"")&gt;=3),"",VALUE(LEFT('Base Encuesta'!AM238,1)))</f>
        <v/>
      </c>
      <c r="AE264" t="str">
        <f>IF(OR('Base Encuesta'!AN238="",IFERROR(VALUE(LEFT('Base Encuesta'!K238,1)),"")&gt;=3),"",VALUE(LEFT('Base Encuesta'!AN238,1)))</f>
        <v/>
      </c>
      <c r="AF264" t="str">
        <f>IF(OR('Base Encuesta'!AO238="",IFERROR(VALUE(LEFT('Base Encuesta'!K238,1)),"")&gt;=3),"",VALUE(LEFT('Base Encuesta'!AO238,1)))</f>
        <v/>
      </c>
      <c r="AG264" t="str">
        <f>IF(OR('Base Encuesta'!AQ238="",IFERROR(VALUE(LEFT('Base Encuesta'!K238,1)),"")&gt;=3),"",VALUE(LEFT('Base Encuesta'!AQ238,1)))</f>
        <v/>
      </c>
      <c r="AH264" t="str">
        <f>IF(OR('Base Encuesta'!AR238="",IFERROR(VALUE(LEFT('Base Encuesta'!K238,1)),"")&gt;=3),"",VALUE(LEFT('Base Encuesta'!AR238,1)))</f>
        <v/>
      </c>
    </row>
    <row r="265" spans="1:34">
      <c r="A265" t="str">
        <f>IF('Base Encuesta'!C239="","",'Base Encuesta'!C239)</f>
        <v/>
      </c>
      <c r="B265" t="str">
        <f>IF('Base Encuesta'!D239="","",'Base Encuesta'!D239)</f>
        <v/>
      </c>
      <c r="C265" t="str">
        <f>IF('Base Encuesta'!E239="","",'Base Encuesta'!E239)</f>
        <v/>
      </c>
      <c r="D265" t="str">
        <f>IF('Base Encuesta'!F239="","",'Base Encuesta'!F239)</f>
        <v/>
      </c>
      <c r="E265" t="str">
        <f>IF('Base Encuesta'!G239="","",'Base Encuesta'!G239)</f>
        <v/>
      </c>
      <c r="F265" t="str">
        <f>IF('Base Encuesta'!H239="","",'Base Encuesta'!H239)</f>
        <v/>
      </c>
      <c r="G265" t="str">
        <f>IF('Base Encuesta'!I239="","",'Base Encuesta'!I239)</f>
        <v/>
      </c>
      <c r="H265" t="str">
        <f>IF('Base Encuesta'!J239="","",'Base Encuesta'!J239)</f>
        <v/>
      </c>
      <c r="I265" t="str">
        <f>IF('Base Encuesta'!K239="","",'Base Encuesta'!K239)</f>
        <v/>
      </c>
      <c r="J265" t="str">
        <f>IF(OR('Base Encuesta'!P239="",IFERROR(VALUE(LEFT('Base Encuesta'!K239,1)),"")&gt;=3),"",PROPER(TRIM('Base Encuesta'!P239)))</f>
        <v/>
      </c>
      <c r="K265" t="str">
        <f>IF(OR('Base Encuesta'!Q239="",IFERROR(VALUE(LEFT('Base Encuesta'!K239,1)),"")&gt;=3),"",'Base Encuesta'!Q239)</f>
        <v/>
      </c>
      <c r="L265" t="str">
        <f>IF(OR('Base Encuesta'!R239="",IFERROR(VALUE(LEFT('Base Encuesta'!K239,1)),"")&gt;=3),"",VALUE(LEFT('Base Encuesta'!R239,1)))</f>
        <v/>
      </c>
      <c r="M265" t="str">
        <f>IF(OR('Base Encuesta'!S239="",IFERROR(VALUE(LEFT('Base Encuesta'!K239,1)),"")&gt;=3),"",VALUE(LEFT('Base Encuesta'!S239,1)))</f>
        <v/>
      </c>
      <c r="N265" t="str">
        <f>IF(OR('Base Encuesta'!T239="",IFERROR(VALUE(LEFT('Base Encuesta'!K239,1)),"")&gt;=3),"",VALUE(LEFT('Base Encuesta'!T239,1)))</f>
        <v/>
      </c>
      <c r="O265" t="str">
        <f>IF(OR('Base Encuesta'!V239="",IFERROR(VALUE(LEFT('Base Encuesta'!K239,1)),"")&gt;=3),"",VALUE(LEFT('Base Encuesta'!V239,1)))</f>
        <v/>
      </c>
      <c r="P265" t="str">
        <f>IF(OR('Base Encuesta'!W239="",IFERROR(VALUE(LEFT('Base Encuesta'!K239,1)),"")&gt;=3),"",VALUE(LEFT('Base Encuesta'!W239,1)))</f>
        <v/>
      </c>
      <c r="Q265" t="str">
        <f>IF(OR('Base Encuesta'!X239="",IFERROR(VALUE(LEFT('Base Encuesta'!K239,1)),"")&gt;=3),"",VALUE(LEFT('Base Encuesta'!X239,1)))</f>
        <v/>
      </c>
      <c r="R265" t="str">
        <f>IF(OR('Base Encuesta'!Y239="",IFERROR(VALUE(LEFT('Base Encuesta'!K239,1)),"")&gt;=3),"",VALUE(LEFT('Base Encuesta'!Y239,1)))</f>
        <v/>
      </c>
      <c r="S265" t="str">
        <f>IF(OR('Base Encuesta'!Z239="",IFERROR(VALUE(LEFT('Base Encuesta'!K239,1)),"")&gt;=3),"",VALUE(LEFT('Base Encuesta'!Z239,1)))</f>
        <v/>
      </c>
      <c r="T265" t="str">
        <f>IF(OR('Base Encuesta'!AA239="",IFERROR(VALUE(LEFT('Base Encuesta'!K239,1)),"")&gt;=3),"",VALUE(LEFT('Base Encuesta'!AA239,1)))</f>
        <v/>
      </c>
      <c r="U265" t="str">
        <f>IF(OR('Base Encuesta'!AB239="",IFERROR(VALUE(LEFT('Base Encuesta'!K239,1)),"")&gt;=3),"",VALUE(LEFT('Base Encuesta'!AB239,1)))</f>
        <v/>
      </c>
      <c r="V265" t="str">
        <f>IF(OR('Base Encuesta'!AC239="",IFERROR(VALUE(LEFT('Base Encuesta'!K239,1)),"")&gt;=3),"",VALUE(LEFT('Base Encuesta'!AC239,1)))</f>
        <v/>
      </c>
      <c r="W265" t="str">
        <f>IF(OR('Base Encuesta'!AE239="",IFERROR(VALUE(LEFT('Base Encuesta'!K239,1)),"")&gt;=3),"",VALUE(LEFT('Base Encuesta'!AE239,1)))</f>
        <v/>
      </c>
      <c r="X265" t="str">
        <f>IF(OR('Base Encuesta'!AF239="",IFERROR(VALUE(LEFT('Base Encuesta'!K239,1)),"")&gt;=3),"",IF(W265=1,VALUE(LEFT('Base Encuesta'!AF239,1)),""))</f>
        <v/>
      </c>
      <c r="Y265" t="str">
        <f>IF(OR('Base Encuesta'!AG239="",IFERROR(VALUE(LEFT('Base Encuesta'!K239,1)),"")&gt;=3),"",IF(W265=1,VALUE(LEFT('Base Encuesta'!AG239,1)),""))</f>
        <v/>
      </c>
      <c r="Z265" t="str">
        <f>IF(OR('Base Encuesta'!AH239="",IFERROR(VALUE(LEFT('Base Encuesta'!K239,1)),"")&gt;=3),"",IF(W265=1,VALUE(LEFT('Base Encuesta'!AH239,1)),""))</f>
        <v/>
      </c>
      <c r="AA265" t="str">
        <f>IF(OR('Base Encuesta'!AI239="",IFERROR(VALUE(LEFT('Base Encuesta'!K239,1)),"")&gt;=3),"",IF(W265=1,VALUE(LEFT('Base Encuesta'!AI239,1)),""))</f>
        <v/>
      </c>
      <c r="AB265" t="str">
        <f>IF(OR('Base Encuesta'!AJ239="",IFERROR(VALUE(LEFT('Base Encuesta'!K239,1)),"")&gt;=3),"",IF(W265=1,VALUE(LEFT('Base Encuesta'!AJ239,1)),""))</f>
        <v/>
      </c>
      <c r="AC265" t="str">
        <f>IF(OR('Base Encuesta'!AL239="",IFERROR(VALUE(LEFT('Base Encuesta'!K239,1)),"")&gt;=3),"",VALUE(LEFT('Base Encuesta'!AL239,1)))</f>
        <v/>
      </c>
      <c r="AD265" t="str">
        <f>IF(OR('Base Encuesta'!AM239="",IFERROR(VALUE(LEFT('Base Encuesta'!K239,1)),"")&gt;=3),"",VALUE(LEFT('Base Encuesta'!AM239,1)))</f>
        <v/>
      </c>
      <c r="AE265" t="str">
        <f>IF(OR('Base Encuesta'!AN239="",IFERROR(VALUE(LEFT('Base Encuesta'!K239,1)),"")&gt;=3),"",VALUE(LEFT('Base Encuesta'!AN239,1)))</f>
        <v/>
      </c>
      <c r="AF265" t="str">
        <f>IF(OR('Base Encuesta'!AO239="",IFERROR(VALUE(LEFT('Base Encuesta'!K239,1)),"")&gt;=3),"",VALUE(LEFT('Base Encuesta'!AO239,1)))</f>
        <v/>
      </c>
      <c r="AG265" t="str">
        <f>IF(OR('Base Encuesta'!AQ239="",IFERROR(VALUE(LEFT('Base Encuesta'!K239,1)),"")&gt;=3),"",VALUE(LEFT('Base Encuesta'!AQ239,1)))</f>
        <v/>
      </c>
      <c r="AH265" t="str">
        <f>IF(OR('Base Encuesta'!AR239="",IFERROR(VALUE(LEFT('Base Encuesta'!K239,1)),"")&gt;=3),"",VALUE(LEFT('Base Encuesta'!AR239,1)))</f>
        <v/>
      </c>
    </row>
    <row r="266" spans="1:34">
      <c r="A266" t="str">
        <f>IF('Base Encuesta'!C240="","",'Base Encuesta'!C240)</f>
        <v/>
      </c>
      <c r="B266" t="str">
        <f>IF('Base Encuesta'!D240="","",'Base Encuesta'!D240)</f>
        <v/>
      </c>
      <c r="C266" t="str">
        <f>IF('Base Encuesta'!E240="","",'Base Encuesta'!E240)</f>
        <v/>
      </c>
      <c r="D266" t="str">
        <f>IF('Base Encuesta'!F240="","",'Base Encuesta'!F240)</f>
        <v/>
      </c>
      <c r="E266" t="str">
        <f>IF('Base Encuesta'!G240="","",'Base Encuesta'!G240)</f>
        <v/>
      </c>
      <c r="F266" t="str">
        <f>IF('Base Encuesta'!H240="","",'Base Encuesta'!H240)</f>
        <v/>
      </c>
      <c r="G266" t="str">
        <f>IF('Base Encuesta'!I240="","",'Base Encuesta'!I240)</f>
        <v/>
      </c>
      <c r="H266" t="str">
        <f>IF('Base Encuesta'!J240="","",'Base Encuesta'!J240)</f>
        <v/>
      </c>
      <c r="I266" t="str">
        <f>IF('Base Encuesta'!K240="","",'Base Encuesta'!K240)</f>
        <v/>
      </c>
      <c r="J266" t="str">
        <f>IF(OR('Base Encuesta'!P240="",IFERROR(VALUE(LEFT('Base Encuesta'!K240,1)),"")&gt;=3),"",PROPER(TRIM('Base Encuesta'!P240)))</f>
        <v/>
      </c>
      <c r="K266" t="str">
        <f>IF(OR('Base Encuesta'!Q240="",IFERROR(VALUE(LEFT('Base Encuesta'!K240,1)),"")&gt;=3),"",'Base Encuesta'!Q240)</f>
        <v/>
      </c>
      <c r="L266" t="str">
        <f>IF(OR('Base Encuesta'!R240="",IFERROR(VALUE(LEFT('Base Encuesta'!K240,1)),"")&gt;=3),"",VALUE(LEFT('Base Encuesta'!R240,1)))</f>
        <v/>
      </c>
      <c r="M266" t="str">
        <f>IF(OR('Base Encuesta'!S240="",IFERROR(VALUE(LEFT('Base Encuesta'!K240,1)),"")&gt;=3),"",VALUE(LEFT('Base Encuesta'!S240,1)))</f>
        <v/>
      </c>
      <c r="N266" t="str">
        <f>IF(OR('Base Encuesta'!T240="",IFERROR(VALUE(LEFT('Base Encuesta'!K240,1)),"")&gt;=3),"",VALUE(LEFT('Base Encuesta'!T240,1)))</f>
        <v/>
      </c>
      <c r="O266" t="str">
        <f>IF(OR('Base Encuesta'!V240="",IFERROR(VALUE(LEFT('Base Encuesta'!K240,1)),"")&gt;=3),"",VALUE(LEFT('Base Encuesta'!V240,1)))</f>
        <v/>
      </c>
      <c r="P266" t="str">
        <f>IF(OR('Base Encuesta'!W240="",IFERROR(VALUE(LEFT('Base Encuesta'!K240,1)),"")&gt;=3),"",VALUE(LEFT('Base Encuesta'!W240,1)))</f>
        <v/>
      </c>
      <c r="Q266" t="str">
        <f>IF(OR('Base Encuesta'!X240="",IFERROR(VALUE(LEFT('Base Encuesta'!K240,1)),"")&gt;=3),"",VALUE(LEFT('Base Encuesta'!X240,1)))</f>
        <v/>
      </c>
      <c r="R266" t="str">
        <f>IF(OR('Base Encuesta'!Y240="",IFERROR(VALUE(LEFT('Base Encuesta'!K240,1)),"")&gt;=3),"",VALUE(LEFT('Base Encuesta'!Y240,1)))</f>
        <v/>
      </c>
      <c r="S266" t="str">
        <f>IF(OR('Base Encuesta'!Z240="",IFERROR(VALUE(LEFT('Base Encuesta'!K240,1)),"")&gt;=3),"",VALUE(LEFT('Base Encuesta'!Z240,1)))</f>
        <v/>
      </c>
      <c r="T266" t="str">
        <f>IF(OR('Base Encuesta'!AA240="",IFERROR(VALUE(LEFT('Base Encuesta'!K240,1)),"")&gt;=3),"",VALUE(LEFT('Base Encuesta'!AA240,1)))</f>
        <v/>
      </c>
      <c r="U266" t="str">
        <f>IF(OR('Base Encuesta'!AB240="",IFERROR(VALUE(LEFT('Base Encuesta'!K240,1)),"")&gt;=3),"",VALUE(LEFT('Base Encuesta'!AB240,1)))</f>
        <v/>
      </c>
      <c r="V266" t="str">
        <f>IF(OR('Base Encuesta'!AC240="",IFERROR(VALUE(LEFT('Base Encuesta'!K240,1)),"")&gt;=3),"",VALUE(LEFT('Base Encuesta'!AC240,1)))</f>
        <v/>
      </c>
      <c r="W266" t="str">
        <f>IF(OR('Base Encuesta'!AE240="",IFERROR(VALUE(LEFT('Base Encuesta'!K240,1)),"")&gt;=3),"",VALUE(LEFT('Base Encuesta'!AE240,1)))</f>
        <v/>
      </c>
      <c r="X266" t="str">
        <f>IF(OR('Base Encuesta'!AF240="",IFERROR(VALUE(LEFT('Base Encuesta'!K240,1)),"")&gt;=3),"",IF(W266=1,VALUE(LEFT('Base Encuesta'!AF240,1)),""))</f>
        <v/>
      </c>
      <c r="Y266" t="str">
        <f>IF(OR('Base Encuesta'!AG240="",IFERROR(VALUE(LEFT('Base Encuesta'!K240,1)),"")&gt;=3),"",IF(W266=1,VALUE(LEFT('Base Encuesta'!AG240,1)),""))</f>
        <v/>
      </c>
      <c r="Z266" t="str">
        <f>IF(OR('Base Encuesta'!AH240="",IFERROR(VALUE(LEFT('Base Encuesta'!K240,1)),"")&gt;=3),"",IF(W266=1,VALUE(LEFT('Base Encuesta'!AH240,1)),""))</f>
        <v/>
      </c>
      <c r="AA266" t="str">
        <f>IF(OR('Base Encuesta'!AI240="",IFERROR(VALUE(LEFT('Base Encuesta'!K240,1)),"")&gt;=3),"",IF(W266=1,VALUE(LEFT('Base Encuesta'!AI240,1)),""))</f>
        <v/>
      </c>
      <c r="AB266" t="str">
        <f>IF(OR('Base Encuesta'!AJ240="",IFERROR(VALUE(LEFT('Base Encuesta'!K240,1)),"")&gt;=3),"",IF(W266=1,VALUE(LEFT('Base Encuesta'!AJ240,1)),""))</f>
        <v/>
      </c>
      <c r="AC266" t="str">
        <f>IF(OR('Base Encuesta'!AL240="",IFERROR(VALUE(LEFT('Base Encuesta'!K240,1)),"")&gt;=3),"",VALUE(LEFT('Base Encuesta'!AL240,1)))</f>
        <v/>
      </c>
      <c r="AD266" t="str">
        <f>IF(OR('Base Encuesta'!AM240="",IFERROR(VALUE(LEFT('Base Encuesta'!K240,1)),"")&gt;=3),"",VALUE(LEFT('Base Encuesta'!AM240,1)))</f>
        <v/>
      </c>
      <c r="AE266" t="str">
        <f>IF(OR('Base Encuesta'!AN240="",IFERROR(VALUE(LEFT('Base Encuesta'!K240,1)),"")&gt;=3),"",VALUE(LEFT('Base Encuesta'!AN240,1)))</f>
        <v/>
      </c>
      <c r="AF266" t="str">
        <f>IF(OR('Base Encuesta'!AO240="",IFERROR(VALUE(LEFT('Base Encuesta'!K240,1)),"")&gt;=3),"",VALUE(LEFT('Base Encuesta'!AO240,1)))</f>
        <v/>
      </c>
      <c r="AG266" t="str">
        <f>IF(OR('Base Encuesta'!AQ240="",IFERROR(VALUE(LEFT('Base Encuesta'!K240,1)),"")&gt;=3),"",VALUE(LEFT('Base Encuesta'!AQ240,1)))</f>
        <v/>
      </c>
      <c r="AH266" t="str">
        <f>IF(OR('Base Encuesta'!AR240="",IFERROR(VALUE(LEFT('Base Encuesta'!K240,1)),"")&gt;=3),"",VALUE(LEFT('Base Encuesta'!AR240,1)))</f>
        <v/>
      </c>
    </row>
    <row r="267" spans="1:34">
      <c r="A267" t="str">
        <f>IF('Base Encuesta'!C241="","",'Base Encuesta'!C241)</f>
        <v/>
      </c>
      <c r="B267" t="str">
        <f>IF('Base Encuesta'!D241="","",'Base Encuesta'!D241)</f>
        <v/>
      </c>
      <c r="C267" t="str">
        <f>IF('Base Encuesta'!E241="","",'Base Encuesta'!E241)</f>
        <v/>
      </c>
      <c r="D267" t="str">
        <f>IF('Base Encuesta'!F241="","",'Base Encuesta'!F241)</f>
        <v/>
      </c>
      <c r="E267" t="str">
        <f>IF('Base Encuesta'!G241="","",'Base Encuesta'!G241)</f>
        <v/>
      </c>
      <c r="F267" t="str">
        <f>IF('Base Encuesta'!H241="","",'Base Encuesta'!H241)</f>
        <v/>
      </c>
      <c r="G267" t="str">
        <f>IF('Base Encuesta'!I241="","",'Base Encuesta'!I241)</f>
        <v/>
      </c>
      <c r="H267" t="str">
        <f>IF('Base Encuesta'!J241="","",'Base Encuesta'!J241)</f>
        <v/>
      </c>
      <c r="I267" t="str">
        <f>IF('Base Encuesta'!K241="","",'Base Encuesta'!K241)</f>
        <v/>
      </c>
      <c r="J267" t="str">
        <f>IF(OR('Base Encuesta'!P241="",IFERROR(VALUE(LEFT('Base Encuesta'!K241,1)),"")&gt;=3),"",PROPER(TRIM('Base Encuesta'!P241)))</f>
        <v/>
      </c>
      <c r="K267" t="str">
        <f>IF(OR('Base Encuesta'!Q241="",IFERROR(VALUE(LEFT('Base Encuesta'!K241,1)),"")&gt;=3),"",'Base Encuesta'!Q241)</f>
        <v/>
      </c>
      <c r="L267" t="str">
        <f>IF(OR('Base Encuesta'!R241="",IFERROR(VALUE(LEFT('Base Encuesta'!K241,1)),"")&gt;=3),"",VALUE(LEFT('Base Encuesta'!R241,1)))</f>
        <v/>
      </c>
      <c r="M267" t="str">
        <f>IF(OR('Base Encuesta'!S241="",IFERROR(VALUE(LEFT('Base Encuesta'!K241,1)),"")&gt;=3),"",VALUE(LEFT('Base Encuesta'!S241,1)))</f>
        <v/>
      </c>
      <c r="N267" t="str">
        <f>IF(OR('Base Encuesta'!T241="",IFERROR(VALUE(LEFT('Base Encuesta'!K241,1)),"")&gt;=3),"",VALUE(LEFT('Base Encuesta'!T241,1)))</f>
        <v/>
      </c>
      <c r="O267" t="str">
        <f>IF(OR('Base Encuesta'!V241="",IFERROR(VALUE(LEFT('Base Encuesta'!K241,1)),"")&gt;=3),"",VALUE(LEFT('Base Encuesta'!V241,1)))</f>
        <v/>
      </c>
      <c r="P267" t="str">
        <f>IF(OR('Base Encuesta'!W241="",IFERROR(VALUE(LEFT('Base Encuesta'!K241,1)),"")&gt;=3),"",VALUE(LEFT('Base Encuesta'!W241,1)))</f>
        <v/>
      </c>
      <c r="Q267" t="str">
        <f>IF(OR('Base Encuesta'!X241="",IFERROR(VALUE(LEFT('Base Encuesta'!K241,1)),"")&gt;=3),"",VALUE(LEFT('Base Encuesta'!X241,1)))</f>
        <v/>
      </c>
      <c r="R267" t="str">
        <f>IF(OR('Base Encuesta'!Y241="",IFERROR(VALUE(LEFT('Base Encuesta'!K241,1)),"")&gt;=3),"",VALUE(LEFT('Base Encuesta'!Y241,1)))</f>
        <v/>
      </c>
      <c r="S267" t="str">
        <f>IF(OR('Base Encuesta'!Z241="",IFERROR(VALUE(LEFT('Base Encuesta'!K241,1)),"")&gt;=3),"",VALUE(LEFT('Base Encuesta'!Z241,1)))</f>
        <v/>
      </c>
      <c r="T267" t="str">
        <f>IF(OR('Base Encuesta'!AA241="",IFERROR(VALUE(LEFT('Base Encuesta'!K241,1)),"")&gt;=3),"",VALUE(LEFT('Base Encuesta'!AA241,1)))</f>
        <v/>
      </c>
      <c r="U267" t="str">
        <f>IF(OR('Base Encuesta'!AB241="",IFERROR(VALUE(LEFT('Base Encuesta'!K241,1)),"")&gt;=3),"",VALUE(LEFT('Base Encuesta'!AB241,1)))</f>
        <v/>
      </c>
      <c r="V267" t="str">
        <f>IF(OR('Base Encuesta'!AC241="",IFERROR(VALUE(LEFT('Base Encuesta'!K241,1)),"")&gt;=3),"",VALUE(LEFT('Base Encuesta'!AC241,1)))</f>
        <v/>
      </c>
      <c r="W267" t="str">
        <f>IF(OR('Base Encuesta'!AE241="",IFERROR(VALUE(LEFT('Base Encuesta'!K241,1)),"")&gt;=3),"",VALUE(LEFT('Base Encuesta'!AE241,1)))</f>
        <v/>
      </c>
      <c r="X267" t="str">
        <f>IF(OR('Base Encuesta'!AF241="",IFERROR(VALUE(LEFT('Base Encuesta'!K241,1)),"")&gt;=3),"",IF(W267=1,VALUE(LEFT('Base Encuesta'!AF241,1)),""))</f>
        <v/>
      </c>
      <c r="Y267" t="str">
        <f>IF(OR('Base Encuesta'!AG241="",IFERROR(VALUE(LEFT('Base Encuesta'!K241,1)),"")&gt;=3),"",IF(W267=1,VALUE(LEFT('Base Encuesta'!AG241,1)),""))</f>
        <v/>
      </c>
      <c r="Z267" t="str">
        <f>IF(OR('Base Encuesta'!AH241="",IFERROR(VALUE(LEFT('Base Encuesta'!K241,1)),"")&gt;=3),"",IF(W267=1,VALUE(LEFT('Base Encuesta'!AH241,1)),""))</f>
        <v/>
      </c>
      <c r="AA267" t="str">
        <f>IF(OR('Base Encuesta'!AI241="",IFERROR(VALUE(LEFT('Base Encuesta'!K241,1)),"")&gt;=3),"",IF(W267=1,VALUE(LEFT('Base Encuesta'!AI241,1)),""))</f>
        <v/>
      </c>
      <c r="AB267" t="str">
        <f>IF(OR('Base Encuesta'!AJ241="",IFERROR(VALUE(LEFT('Base Encuesta'!K241,1)),"")&gt;=3),"",IF(W267=1,VALUE(LEFT('Base Encuesta'!AJ241,1)),""))</f>
        <v/>
      </c>
      <c r="AC267" t="str">
        <f>IF(OR('Base Encuesta'!AL241="",IFERROR(VALUE(LEFT('Base Encuesta'!K241,1)),"")&gt;=3),"",VALUE(LEFT('Base Encuesta'!AL241,1)))</f>
        <v/>
      </c>
      <c r="AD267" t="str">
        <f>IF(OR('Base Encuesta'!AM241="",IFERROR(VALUE(LEFT('Base Encuesta'!K241,1)),"")&gt;=3),"",VALUE(LEFT('Base Encuesta'!AM241,1)))</f>
        <v/>
      </c>
      <c r="AE267" t="str">
        <f>IF(OR('Base Encuesta'!AN241="",IFERROR(VALUE(LEFT('Base Encuesta'!K241,1)),"")&gt;=3),"",VALUE(LEFT('Base Encuesta'!AN241,1)))</f>
        <v/>
      </c>
      <c r="AF267" t="str">
        <f>IF(OR('Base Encuesta'!AO241="",IFERROR(VALUE(LEFT('Base Encuesta'!K241,1)),"")&gt;=3),"",VALUE(LEFT('Base Encuesta'!AO241,1)))</f>
        <v/>
      </c>
      <c r="AG267" t="str">
        <f>IF(OR('Base Encuesta'!AQ241="",IFERROR(VALUE(LEFT('Base Encuesta'!K241,1)),"")&gt;=3),"",VALUE(LEFT('Base Encuesta'!AQ241,1)))</f>
        <v/>
      </c>
      <c r="AH267" t="str">
        <f>IF(OR('Base Encuesta'!AR241="",IFERROR(VALUE(LEFT('Base Encuesta'!K241,1)),"")&gt;=3),"",VALUE(LEFT('Base Encuesta'!AR241,1)))</f>
        <v/>
      </c>
    </row>
    <row r="268" spans="1:34">
      <c r="A268" t="str">
        <f>IF('Base Encuesta'!C242="","",'Base Encuesta'!C242)</f>
        <v/>
      </c>
      <c r="B268" t="str">
        <f>IF('Base Encuesta'!D242="","",'Base Encuesta'!D242)</f>
        <v/>
      </c>
      <c r="C268" t="str">
        <f>IF('Base Encuesta'!E242="","",'Base Encuesta'!E242)</f>
        <v/>
      </c>
      <c r="D268" t="str">
        <f>IF('Base Encuesta'!F242="","",'Base Encuesta'!F242)</f>
        <v/>
      </c>
      <c r="E268" t="str">
        <f>IF('Base Encuesta'!G242="","",'Base Encuesta'!G242)</f>
        <v/>
      </c>
      <c r="F268" t="str">
        <f>IF('Base Encuesta'!H242="","",'Base Encuesta'!H242)</f>
        <v/>
      </c>
      <c r="G268" t="str">
        <f>IF('Base Encuesta'!I242="","",'Base Encuesta'!I242)</f>
        <v/>
      </c>
      <c r="H268" t="str">
        <f>IF('Base Encuesta'!J242="","",'Base Encuesta'!J242)</f>
        <v/>
      </c>
      <c r="I268" t="str">
        <f>IF('Base Encuesta'!K242="","",'Base Encuesta'!K242)</f>
        <v/>
      </c>
      <c r="J268" t="str">
        <f>IF(OR('Base Encuesta'!P242="",IFERROR(VALUE(LEFT('Base Encuesta'!K242,1)),"")&gt;=3),"",PROPER(TRIM('Base Encuesta'!P242)))</f>
        <v/>
      </c>
      <c r="K268" t="str">
        <f>IF(OR('Base Encuesta'!Q242="",IFERROR(VALUE(LEFT('Base Encuesta'!K242,1)),"")&gt;=3),"",'Base Encuesta'!Q242)</f>
        <v/>
      </c>
      <c r="L268" t="str">
        <f>IF(OR('Base Encuesta'!R242="",IFERROR(VALUE(LEFT('Base Encuesta'!K242,1)),"")&gt;=3),"",VALUE(LEFT('Base Encuesta'!R242,1)))</f>
        <v/>
      </c>
      <c r="M268" t="str">
        <f>IF(OR('Base Encuesta'!S242="",IFERROR(VALUE(LEFT('Base Encuesta'!K242,1)),"")&gt;=3),"",VALUE(LEFT('Base Encuesta'!S242,1)))</f>
        <v/>
      </c>
      <c r="N268" t="str">
        <f>IF(OR('Base Encuesta'!T242="",IFERROR(VALUE(LEFT('Base Encuesta'!K242,1)),"")&gt;=3),"",VALUE(LEFT('Base Encuesta'!T242,1)))</f>
        <v/>
      </c>
      <c r="O268" t="str">
        <f>IF(OR('Base Encuesta'!V242="",IFERROR(VALUE(LEFT('Base Encuesta'!K242,1)),"")&gt;=3),"",VALUE(LEFT('Base Encuesta'!V242,1)))</f>
        <v/>
      </c>
      <c r="P268" t="str">
        <f>IF(OR('Base Encuesta'!W242="",IFERROR(VALUE(LEFT('Base Encuesta'!K242,1)),"")&gt;=3),"",VALUE(LEFT('Base Encuesta'!W242,1)))</f>
        <v/>
      </c>
      <c r="Q268" t="str">
        <f>IF(OR('Base Encuesta'!X242="",IFERROR(VALUE(LEFT('Base Encuesta'!K242,1)),"")&gt;=3),"",VALUE(LEFT('Base Encuesta'!X242,1)))</f>
        <v/>
      </c>
      <c r="R268" t="str">
        <f>IF(OR('Base Encuesta'!Y242="",IFERROR(VALUE(LEFT('Base Encuesta'!K242,1)),"")&gt;=3),"",VALUE(LEFT('Base Encuesta'!Y242,1)))</f>
        <v/>
      </c>
      <c r="S268" t="str">
        <f>IF(OR('Base Encuesta'!Z242="",IFERROR(VALUE(LEFT('Base Encuesta'!K242,1)),"")&gt;=3),"",VALUE(LEFT('Base Encuesta'!Z242,1)))</f>
        <v/>
      </c>
      <c r="T268" t="str">
        <f>IF(OR('Base Encuesta'!AA242="",IFERROR(VALUE(LEFT('Base Encuesta'!K242,1)),"")&gt;=3),"",VALUE(LEFT('Base Encuesta'!AA242,1)))</f>
        <v/>
      </c>
      <c r="U268" t="str">
        <f>IF(OR('Base Encuesta'!AB242="",IFERROR(VALUE(LEFT('Base Encuesta'!K242,1)),"")&gt;=3),"",VALUE(LEFT('Base Encuesta'!AB242,1)))</f>
        <v/>
      </c>
      <c r="V268" t="str">
        <f>IF(OR('Base Encuesta'!AC242="",IFERROR(VALUE(LEFT('Base Encuesta'!K242,1)),"")&gt;=3),"",VALUE(LEFT('Base Encuesta'!AC242,1)))</f>
        <v/>
      </c>
      <c r="W268" t="str">
        <f>IF(OR('Base Encuesta'!AE242="",IFERROR(VALUE(LEFT('Base Encuesta'!K242,1)),"")&gt;=3),"",VALUE(LEFT('Base Encuesta'!AE242,1)))</f>
        <v/>
      </c>
      <c r="X268" t="str">
        <f>IF(OR('Base Encuesta'!AF242="",IFERROR(VALUE(LEFT('Base Encuesta'!K242,1)),"")&gt;=3),"",IF(W268=1,VALUE(LEFT('Base Encuesta'!AF242,1)),""))</f>
        <v/>
      </c>
      <c r="Y268" t="str">
        <f>IF(OR('Base Encuesta'!AG242="",IFERROR(VALUE(LEFT('Base Encuesta'!K242,1)),"")&gt;=3),"",IF(W268=1,VALUE(LEFT('Base Encuesta'!AG242,1)),""))</f>
        <v/>
      </c>
      <c r="Z268" t="str">
        <f>IF(OR('Base Encuesta'!AH242="",IFERROR(VALUE(LEFT('Base Encuesta'!K242,1)),"")&gt;=3),"",IF(W268=1,VALUE(LEFT('Base Encuesta'!AH242,1)),""))</f>
        <v/>
      </c>
      <c r="AA268" t="str">
        <f>IF(OR('Base Encuesta'!AI242="",IFERROR(VALUE(LEFT('Base Encuesta'!K242,1)),"")&gt;=3),"",IF(W268=1,VALUE(LEFT('Base Encuesta'!AI242,1)),""))</f>
        <v/>
      </c>
      <c r="AB268" t="str">
        <f>IF(OR('Base Encuesta'!AJ242="",IFERROR(VALUE(LEFT('Base Encuesta'!K242,1)),"")&gt;=3),"",IF(W268=1,VALUE(LEFT('Base Encuesta'!AJ242,1)),""))</f>
        <v/>
      </c>
      <c r="AC268" t="str">
        <f>IF(OR('Base Encuesta'!AL242="",IFERROR(VALUE(LEFT('Base Encuesta'!K242,1)),"")&gt;=3),"",VALUE(LEFT('Base Encuesta'!AL242,1)))</f>
        <v/>
      </c>
      <c r="AD268" t="str">
        <f>IF(OR('Base Encuesta'!AM242="",IFERROR(VALUE(LEFT('Base Encuesta'!K242,1)),"")&gt;=3),"",VALUE(LEFT('Base Encuesta'!AM242,1)))</f>
        <v/>
      </c>
      <c r="AE268" t="str">
        <f>IF(OR('Base Encuesta'!AN242="",IFERROR(VALUE(LEFT('Base Encuesta'!K242,1)),"")&gt;=3),"",VALUE(LEFT('Base Encuesta'!AN242,1)))</f>
        <v/>
      </c>
      <c r="AF268" t="str">
        <f>IF(OR('Base Encuesta'!AO242="",IFERROR(VALUE(LEFT('Base Encuesta'!K242,1)),"")&gt;=3),"",VALUE(LEFT('Base Encuesta'!AO242,1)))</f>
        <v/>
      </c>
      <c r="AG268" t="str">
        <f>IF(OR('Base Encuesta'!AQ242="",IFERROR(VALUE(LEFT('Base Encuesta'!K242,1)),"")&gt;=3),"",VALUE(LEFT('Base Encuesta'!AQ242,1)))</f>
        <v/>
      </c>
      <c r="AH268" t="str">
        <f>IF(OR('Base Encuesta'!AR242="",IFERROR(VALUE(LEFT('Base Encuesta'!K242,1)),"")&gt;=3),"",VALUE(LEFT('Base Encuesta'!AR242,1)))</f>
        <v/>
      </c>
    </row>
    <row r="269" spans="1:34">
      <c r="A269" t="str">
        <f>IF('Base Encuesta'!C243="","",'Base Encuesta'!C243)</f>
        <v/>
      </c>
      <c r="B269" t="str">
        <f>IF('Base Encuesta'!D243="","",'Base Encuesta'!D243)</f>
        <v/>
      </c>
      <c r="C269" t="str">
        <f>IF('Base Encuesta'!E243="","",'Base Encuesta'!E243)</f>
        <v/>
      </c>
      <c r="D269" t="str">
        <f>IF('Base Encuesta'!F243="","",'Base Encuesta'!F243)</f>
        <v/>
      </c>
      <c r="E269" t="str">
        <f>IF('Base Encuesta'!G243="","",'Base Encuesta'!G243)</f>
        <v/>
      </c>
      <c r="F269" t="str">
        <f>IF('Base Encuesta'!H243="","",'Base Encuesta'!H243)</f>
        <v/>
      </c>
      <c r="G269" t="str">
        <f>IF('Base Encuesta'!I243="","",'Base Encuesta'!I243)</f>
        <v/>
      </c>
      <c r="H269" t="str">
        <f>IF('Base Encuesta'!J243="","",'Base Encuesta'!J243)</f>
        <v/>
      </c>
      <c r="I269" t="str">
        <f>IF('Base Encuesta'!K243="","",'Base Encuesta'!K243)</f>
        <v/>
      </c>
      <c r="J269" t="str">
        <f>IF(OR('Base Encuesta'!P243="",IFERROR(VALUE(LEFT('Base Encuesta'!K243,1)),"")&gt;=3),"",PROPER(TRIM('Base Encuesta'!P243)))</f>
        <v/>
      </c>
      <c r="K269" t="str">
        <f>IF(OR('Base Encuesta'!Q243="",IFERROR(VALUE(LEFT('Base Encuesta'!K243,1)),"")&gt;=3),"",'Base Encuesta'!Q243)</f>
        <v/>
      </c>
      <c r="L269" t="str">
        <f>IF(OR('Base Encuesta'!R243="",IFERROR(VALUE(LEFT('Base Encuesta'!K243,1)),"")&gt;=3),"",VALUE(LEFT('Base Encuesta'!R243,1)))</f>
        <v/>
      </c>
      <c r="M269" t="str">
        <f>IF(OR('Base Encuesta'!S243="",IFERROR(VALUE(LEFT('Base Encuesta'!K243,1)),"")&gt;=3),"",VALUE(LEFT('Base Encuesta'!S243,1)))</f>
        <v/>
      </c>
      <c r="N269" t="str">
        <f>IF(OR('Base Encuesta'!T243="",IFERROR(VALUE(LEFT('Base Encuesta'!K243,1)),"")&gt;=3),"",VALUE(LEFT('Base Encuesta'!T243,1)))</f>
        <v/>
      </c>
      <c r="O269" t="str">
        <f>IF(OR('Base Encuesta'!V243="",IFERROR(VALUE(LEFT('Base Encuesta'!K243,1)),"")&gt;=3),"",VALUE(LEFT('Base Encuesta'!V243,1)))</f>
        <v/>
      </c>
      <c r="P269" t="str">
        <f>IF(OR('Base Encuesta'!W243="",IFERROR(VALUE(LEFT('Base Encuesta'!K243,1)),"")&gt;=3),"",VALUE(LEFT('Base Encuesta'!W243,1)))</f>
        <v/>
      </c>
      <c r="Q269" t="str">
        <f>IF(OR('Base Encuesta'!X243="",IFERROR(VALUE(LEFT('Base Encuesta'!K243,1)),"")&gt;=3),"",VALUE(LEFT('Base Encuesta'!X243,1)))</f>
        <v/>
      </c>
      <c r="R269" t="str">
        <f>IF(OR('Base Encuesta'!Y243="",IFERROR(VALUE(LEFT('Base Encuesta'!K243,1)),"")&gt;=3),"",VALUE(LEFT('Base Encuesta'!Y243,1)))</f>
        <v/>
      </c>
      <c r="S269" t="str">
        <f>IF(OR('Base Encuesta'!Z243="",IFERROR(VALUE(LEFT('Base Encuesta'!K243,1)),"")&gt;=3),"",VALUE(LEFT('Base Encuesta'!Z243,1)))</f>
        <v/>
      </c>
      <c r="T269" t="str">
        <f>IF(OR('Base Encuesta'!AA243="",IFERROR(VALUE(LEFT('Base Encuesta'!K243,1)),"")&gt;=3),"",VALUE(LEFT('Base Encuesta'!AA243,1)))</f>
        <v/>
      </c>
      <c r="U269" t="str">
        <f>IF(OR('Base Encuesta'!AB243="",IFERROR(VALUE(LEFT('Base Encuesta'!K243,1)),"")&gt;=3),"",VALUE(LEFT('Base Encuesta'!AB243,1)))</f>
        <v/>
      </c>
      <c r="V269" t="str">
        <f>IF(OR('Base Encuesta'!AC243="",IFERROR(VALUE(LEFT('Base Encuesta'!K243,1)),"")&gt;=3),"",VALUE(LEFT('Base Encuesta'!AC243,1)))</f>
        <v/>
      </c>
      <c r="W269" t="str">
        <f>IF(OR('Base Encuesta'!AE243="",IFERROR(VALUE(LEFT('Base Encuesta'!K243,1)),"")&gt;=3),"",VALUE(LEFT('Base Encuesta'!AE243,1)))</f>
        <v/>
      </c>
      <c r="X269" t="str">
        <f>IF(OR('Base Encuesta'!AF243="",IFERROR(VALUE(LEFT('Base Encuesta'!K243,1)),"")&gt;=3),"",IF(W269=1,VALUE(LEFT('Base Encuesta'!AF243,1)),""))</f>
        <v/>
      </c>
      <c r="Y269" t="str">
        <f>IF(OR('Base Encuesta'!AG243="",IFERROR(VALUE(LEFT('Base Encuesta'!K243,1)),"")&gt;=3),"",IF(W269=1,VALUE(LEFT('Base Encuesta'!AG243,1)),""))</f>
        <v/>
      </c>
      <c r="Z269" t="str">
        <f>IF(OR('Base Encuesta'!AH243="",IFERROR(VALUE(LEFT('Base Encuesta'!K243,1)),"")&gt;=3),"",IF(W269=1,VALUE(LEFT('Base Encuesta'!AH243,1)),""))</f>
        <v/>
      </c>
      <c r="AA269" t="str">
        <f>IF(OR('Base Encuesta'!AI243="",IFERROR(VALUE(LEFT('Base Encuesta'!K243,1)),"")&gt;=3),"",IF(W269=1,VALUE(LEFT('Base Encuesta'!AI243,1)),""))</f>
        <v/>
      </c>
      <c r="AB269" t="str">
        <f>IF(OR('Base Encuesta'!AJ243="",IFERROR(VALUE(LEFT('Base Encuesta'!K243,1)),"")&gt;=3),"",IF(W269=1,VALUE(LEFT('Base Encuesta'!AJ243,1)),""))</f>
        <v/>
      </c>
      <c r="AC269" t="str">
        <f>IF(OR('Base Encuesta'!AL243="",IFERROR(VALUE(LEFT('Base Encuesta'!K243,1)),"")&gt;=3),"",VALUE(LEFT('Base Encuesta'!AL243,1)))</f>
        <v/>
      </c>
      <c r="AD269" t="str">
        <f>IF(OR('Base Encuesta'!AM243="",IFERROR(VALUE(LEFT('Base Encuesta'!K243,1)),"")&gt;=3),"",VALUE(LEFT('Base Encuesta'!AM243,1)))</f>
        <v/>
      </c>
      <c r="AE269" t="str">
        <f>IF(OR('Base Encuesta'!AN243="",IFERROR(VALUE(LEFT('Base Encuesta'!K243,1)),"")&gt;=3),"",VALUE(LEFT('Base Encuesta'!AN243,1)))</f>
        <v/>
      </c>
      <c r="AF269" t="str">
        <f>IF(OR('Base Encuesta'!AO243="",IFERROR(VALUE(LEFT('Base Encuesta'!K243,1)),"")&gt;=3),"",VALUE(LEFT('Base Encuesta'!AO243,1)))</f>
        <v/>
      </c>
      <c r="AG269" t="str">
        <f>IF(OR('Base Encuesta'!AQ243="",IFERROR(VALUE(LEFT('Base Encuesta'!K243,1)),"")&gt;=3),"",VALUE(LEFT('Base Encuesta'!AQ243,1)))</f>
        <v/>
      </c>
      <c r="AH269" t="str">
        <f>IF(OR('Base Encuesta'!AR243="",IFERROR(VALUE(LEFT('Base Encuesta'!K243,1)),"")&gt;=3),"",VALUE(LEFT('Base Encuesta'!AR243,1)))</f>
        <v/>
      </c>
    </row>
    <row r="270" spans="1:34">
      <c r="A270" t="str">
        <f>IF('Base Encuesta'!C244="","",'Base Encuesta'!C244)</f>
        <v/>
      </c>
      <c r="B270" t="str">
        <f>IF('Base Encuesta'!D244="","",'Base Encuesta'!D244)</f>
        <v/>
      </c>
      <c r="C270" t="str">
        <f>IF('Base Encuesta'!E244="","",'Base Encuesta'!E244)</f>
        <v/>
      </c>
      <c r="D270" t="str">
        <f>IF('Base Encuesta'!F244="","",'Base Encuesta'!F244)</f>
        <v/>
      </c>
      <c r="E270" t="str">
        <f>IF('Base Encuesta'!G244="","",'Base Encuesta'!G244)</f>
        <v/>
      </c>
      <c r="F270" t="str">
        <f>IF('Base Encuesta'!H244="","",'Base Encuesta'!H244)</f>
        <v/>
      </c>
      <c r="G270" t="str">
        <f>IF('Base Encuesta'!I244="","",'Base Encuesta'!I244)</f>
        <v/>
      </c>
      <c r="H270" t="str">
        <f>IF('Base Encuesta'!J244="","",'Base Encuesta'!J244)</f>
        <v/>
      </c>
      <c r="I270" t="str">
        <f>IF('Base Encuesta'!K244="","",'Base Encuesta'!K244)</f>
        <v/>
      </c>
      <c r="J270" t="str">
        <f>IF(OR('Base Encuesta'!P244="",IFERROR(VALUE(LEFT('Base Encuesta'!K244,1)),"")&gt;=3),"",PROPER(TRIM('Base Encuesta'!P244)))</f>
        <v/>
      </c>
      <c r="K270" t="str">
        <f>IF(OR('Base Encuesta'!Q244="",IFERROR(VALUE(LEFT('Base Encuesta'!K244,1)),"")&gt;=3),"",'Base Encuesta'!Q244)</f>
        <v/>
      </c>
      <c r="L270" t="str">
        <f>IF(OR('Base Encuesta'!R244="",IFERROR(VALUE(LEFT('Base Encuesta'!K244,1)),"")&gt;=3),"",VALUE(LEFT('Base Encuesta'!R244,1)))</f>
        <v/>
      </c>
      <c r="M270" t="str">
        <f>IF(OR('Base Encuesta'!S244="",IFERROR(VALUE(LEFT('Base Encuesta'!K244,1)),"")&gt;=3),"",VALUE(LEFT('Base Encuesta'!S244,1)))</f>
        <v/>
      </c>
      <c r="N270" t="str">
        <f>IF(OR('Base Encuesta'!T244="",IFERROR(VALUE(LEFT('Base Encuesta'!K244,1)),"")&gt;=3),"",VALUE(LEFT('Base Encuesta'!T244,1)))</f>
        <v/>
      </c>
      <c r="O270" t="str">
        <f>IF(OR('Base Encuesta'!V244="",IFERROR(VALUE(LEFT('Base Encuesta'!K244,1)),"")&gt;=3),"",VALUE(LEFT('Base Encuesta'!V244,1)))</f>
        <v/>
      </c>
      <c r="P270" t="str">
        <f>IF(OR('Base Encuesta'!W244="",IFERROR(VALUE(LEFT('Base Encuesta'!K244,1)),"")&gt;=3),"",VALUE(LEFT('Base Encuesta'!W244,1)))</f>
        <v/>
      </c>
      <c r="Q270" t="str">
        <f>IF(OR('Base Encuesta'!X244="",IFERROR(VALUE(LEFT('Base Encuesta'!K244,1)),"")&gt;=3),"",VALUE(LEFT('Base Encuesta'!X244,1)))</f>
        <v/>
      </c>
      <c r="R270" t="str">
        <f>IF(OR('Base Encuesta'!Y244="",IFERROR(VALUE(LEFT('Base Encuesta'!K244,1)),"")&gt;=3),"",VALUE(LEFT('Base Encuesta'!Y244,1)))</f>
        <v/>
      </c>
      <c r="S270" t="str">
        <f>IF(OR('Base Encuesta'!Z244="",IFERROR(VALUE(LEFT('Base Encuesta'!K244,1)),"")&gt;=3),"",VALUE(LEFT('Base Encuesta'!Z244,1)))</f>
        <v/>
      </c>
      <c r="T270" t="str">
        <f>IF(OR('Base Encuesta'!AA244="",IFERROR(VALUE(LEFT('Base Encuesta'!K244,1)),"")&gt;=3),"",VALUE(LEFT('Base Encuesta'!AA244,1)))</f>
        <v/>
      </c>
      <c r="U270" t="str">
        <f>IF(OR('Base Encuesta'!AB244="",IFERROR(VALUE(LEFT('Base Encuesta'!K244,1)),"")&gt;=3),"",VALUE(LEFT('Base Encuesta'!AB244,1)))</f>
        <v/>
      </c>
      <c r="V270" t="str">
        <f>IF(OR('Base Encuesta'!AC244="",IFERROR(VALUE(LEFT('Base Encuesta'!K244,1)),"")&gt;=3),"",VALUE(LEFT('Base Encuesta'!AC244,1)))</f>
        <v/>
      </c>
      <c r="W270" t="str">
        <f>IF(OR('Base Encuesta'!AE244="",IFERROR(VALUE(LEFT('Base Encuesta'!K244,1)),"")&gt;=3),"",VALUE(LEFT('Base Encuesta'!AE244,1)))</f>
        <v/>
      </c>
      <c r="X270" t="str">
        <f>IF(OR('Base Encuesta'!AF244="",IFERROR(VALUE(LEFT('Base Encuesta'!K244,1)),"")&gt;=3),"",IF(W270=1,VALUE(LEFT('Base Encuesta'!AF244,1)),""))</f>
        <v/>
      </c>
      <c r="Y270" t="str">
        <f>IF(OR('Base Encuesta'!AG244="",IFERROR(VALUE(LEFT('Base Encuesta'!K244,1)),"")&gt;=3),"",IF(W270=1,VALUE(LEFT('Base Encuesta'!AG244,1)),""))</f>
        <v/>
      </c>
      <c r="Z270" t="str">
        <f>IF(OR('Base Encuesta'!AH244="",IFERROR(VALUE(LEFT('Base Encuesta'!K244,1)),"")&gt;=3),"",IF(W270=1,VALUE(LEFT('Base Encuesta'!AH244,1)),""))</f>
        <v/>
      </c>
      <c r="AA270" t="str">
        <f>IF(OR('Base Encuesta'!AI244="",IFERROR(VALUE(LEFT('Base Encuesta'!K244,1)),"")&gt;=3),"",IF(W270=1,VALUE(LEFT('Base Encuesta'!AI244,1)),""))</f>
        <v/>
      </c>
      <c r="AB270" t="str">
        <f>IF(OR('Base Encuesta'!AJ244="",IFERROR(VALUE(LEFT('Base Encuesta'!K244,1)),"")&gt;=3),"",IF(W270=1,VALUE(LEFT('Base Encuesta'!AJ244,1)),""))</f>
        <v/>
      </c>
      <c r="AC270" t="str">
        <f>IF(OR('Base Encuesta'!AL244="",IFERROR(VALUE(LEFT('Base Encuesta'!K244,1)),"")&gt;=3),"",VALUE(LEFT('Base Encuesta'!AL244,1)))</f>
        <v/>
      </c>
      <c r="AD270" t="str">
        <f>IF(OR('Base Encuesta'!AM244="",IFERROR(VALUE(LEFT('Base Encuesta'!K244,1)),"")&gt;=3),"",VALUE(LEFT('Base Encuesta'!AM244,1)))</f>
        <v/>
      </c>
      <c r="AE270" t="str">
        <f>IF(OR('Base Encuesta'!AN244="",IFERROR(VALUE(LEFT('Base Encuesta'!K244,1)),"")&gt;=3),"",VALUE(LEFT('Base Encuesta'!AN244,1)))</f>
        <v/>
      </c>
      <c r="AF270" t="str">
        <f>IF(OR('Base Encuesta'!AO244="",IFERROR(VALUE(LEFT('Base Encuesta'!K244,1)),"")&gt;=3),"",VALUE(LEFT('Base Encuesta'!AO244,1)))</f>
        <v/>
      </c>
      <c r="AG270" t="str">
        <f>IF(OR('Base Encuesta'!AQ244="",IFERROR(VALUE(LEFT('Base Encuesta'!K244,1)),"")&gt;=3),"",VALUE(LEFT('Base Encuesta'!AQ244,1)))</f>
        <v/>
      </c>
      <c r="AH270" t="str">
        <f>IF(OR('Base Encuesta'!AR244="",IFERROR(VALUE(LEFT('Base Encuesta'!K244,1)),"")&gt;=3),"",VALUE(LEFT('Base Encuesta'!AR244,1)))</f>
        <v/>
      </c>
    </row>
    <row r="271" spans="1:34">
      <c r="A271" t="str">
        <f>IF('Base Encuesta'!C245="","",'Base Encuesta'!C245)</f>
        <v/>
      </c>
      <c r="B271" t="str">
        <f>IF('Base Encuesta'!D245="","",'Base Encuesta'!D245)</f>
        <v/>
      </c>
      <c r="C271" t="str">
        <f>IF('Base Encuesta'!E245="","",'Base Encuesta'!E245)</f>
        <v/>
      </c>
      <c r="D271" t="str">
        <f>IF('Base Encuesta'!F245="","",'Base Encuesta'!F245)</f>
        <v/>
      </c>
      <c r="E271" t="str">
        <f>IF('Base Encuesta'!G245="","",'Base Encuesta'!G245)</f>
        <v/>
      </c>
      <c r="F271" t="str">
        <f>IF('Base Encuesta'!H245="","",'Base Encuesta'!H245)</f>
        <v/>
      </c>
      <c r="G271" t="str">
        <f>IF('Base Encuesta'!I245="","",'Base Encuesta'!I245)</f>
        <v/>
      </c>
      <c r="H271" t="str">
        <f>IF('Base Encuesta'!J245="","",'Base Encuesta'!J245)</f>
        <v/>
      </c>
      <c r="I271" t="str">
        <f>IF('Base Encuesta'!K245="","",'Base Encuesta'!K245)</f>
        <v/>
      </c>
      <c r="J271" t="str">
        <f>IF(OR('Base Encuesta'!P245="",IFERROR(VALUE(LEFT('Base Encuesta'!K245,1)),"")&gt;=3),"",PROPER(TRIM('Base Encuesta'!P245)))</f>
        <v/>
      </c>
      <c r="K271" t="str">
        <f>IF(OR('Base Encuesta'!Q245="",IFERROR(VALUE(LEFT('Base Encuesta'!K245,1)),"")&gt;=3),"",'Base Encuesta'!Q245)</f>
        <v/>
      </c>
      <c r="L271" t="str">
        <f>IF(OR('Base Encuesta'!R245="",IFERROR(VALUE(LEFT('Base Encuesta'!K245,1)),"")&gt;=3),"",VALUE(LEFT('Base Encuesta'!R245,1)))</f>
        <v/>
      </c>
      <c r="M271" t="str">
        <f>IF(OR('Base Encuesta'!S245="",IFERROR(VALUE(LEFT('Base Encuesta'!K245,1)),"")&gt;=3),"",VALUE(LEFT('Base Encuesta'!S245,1)))</f>
        <v/>
      </c>
      <c r="N271" t="str">
        <f>IF(OR('Base Encuesta'!T245="",IFERROR(VALUE(LEFT('Base Encuesta'!K245,1)),"")&gt;=3),"",VALUE(LEFT('Base Encuesta'!T245,1)))</f>
        <v/>
      </c>
      <c r="O271" t="str">
        <f>IF(OR('Base Encuesta'!V245="",IFERROR(VALUE(LEFT('Base Encuesta'!K245,1)),"")&gt;=3),"",VALUE(LEFT('Base Encuesta'!V245,1)))</f>
        <v/>
      </c>
      <c r="P271" t="str">
        <f>IF(OR('Base Encuesta'!W245="",IFERROR(VALUE(LEFT('Base Encuesta'!K245,1)),"")&gt;=3),"",VALUE(LEFT('Base Encuesta'!W245,1)))</f>
        <v/>
      </c>
      <c r="Q271" t="str">
        <f>IF(OR('Base Encuesta'!X245="",IFERROR(VALUE(LEFT('Base Encuesta'!K245,1)),"")&gt;=3),"",VALUE(LEFT('Base Encuesta'!X245,1)))</f>
        <v/>
      </c>
      <c r="R271" t="str">
        <f>IF(OR('Base Encuesta'!Y245="",IFERROR(VALUE(LEFT('Base Encuesta'!K245,1)),"")&gt;=3),"",VALUE(LEFT('Base Encuesta'!Y245,1)))</f>
        <v/>
      </c>
      <c r="S271" t="str">
        <f>IF(OR('Base Encuesta'!Z245="",IFERROR(VALUE(LEFT('Base Encuesta'!K245,1)),"")&gt;=3),"",VALUE(LEFT('Base Encuesta'!Z245,1)))</f>
        <v/>
      </c>
      <c r="T271" t="str">
        <f>IF(OR('Base Encuesta'!AA245="",IFERROR(VALUE(LEFT('Base Encuesta'!K245,1)),"")&gt;=3),"",VALUE(LEFT('Base Encuesta'!AA245,1)))</f>
        <v/>
      </c>
      <c r="U271" t="str">
        <f>IF(OR('Base Encuesta'!AB245="",IFERROR(VALUE(LEFT('Base Encuesta'!K245,1)),"")&gt;=3),"",VALUE(LEFT('Base Encuesta'!AB245,1)))</f>
        <v/>
      </c>
      <c r="V271" t="str">
        <f>IF(OR('Base Encuesta'!AC245="",IFERROR(VALUE(LEFT('Base Encuesta'!K245,1)),"")&gt;=3),"",VALUE(LEFT('Base Encuesta'!AC245,1)))</f>
        <v/>
      </c>
      <c r="W271" t="str">
        <f>IF(OR('Base Encuesta'!AE245="",IFERROR(VALUE(LEFT('Base Encuesta'!K245,1)),"")&gt;=3),"",VALUE(LEFT('Base Encuesta'!AE245,1)))</f>
        <v/>
      </c>
      <c r="X271" t="str">
        <f>IF(OR('Base Encuesta'!AF245="",IFERROR(VALUE(LEFT('Base Encuesta'!K245,1)),"")&gt;=3),"",IF(W271=1,VALUE(LEFT('Base Encuesta'!AF245,1)),""))</f>
        <v/>
      </c>
      <c r="Y271" t="str">
        <f>IF(OR('Base Encuesta'!AG245="",IFERROR(VALUE(LEFT('Base Encuesta'!K245,1)),"")&gt;=3),"",IF(W271=1,VALUE(LEFT('Base Encuesta'!AG245,1)),""))</f>
        <v/>
      </c>
      <c r="Z271" t="str">
        <f>IF(OR('Base Encuesta'!AH245="",IFERROR(VALUE(LEFT('Base Encuesta'!K245,1)),"")&gt;=3),"",IF(W271=1,VALUE(LEFT('Base Encuesta'!AH245,1)),""))</f>
        <v/>
      </c>
      <c r="AA271" t="str">
        <f>IF(OR('Base Encuesta'!AI245="",IFERROR(VALUE(LEFT('Base Encuesta'!K245,1)),"")&gt;=3),"",IF(W271=1,VALUE(LEFT('Base Encuesta'!AI245,1)),""))</f>
        <v/>
      </c>
      <c r="AB271" t="str">
        <f>IF(OR('Base Encuesta'!AJ245="",IFERROR(VALUE(LEFT('Base Encuesta'!K245,1)),"")&gt;=3),"",IF(W271=1,VALUE(LEFT('Base Encuesta'!AJ245,1)),""))</f>
        <v/>
      </c>
      <c r="AC271" t="str">
        <f>IF(OR('Base Encuesta'!AL245="",IFERROR(VALUE(LEFT('Base Encuesta'!K245,1)),"")&gt;=3),"",VALUE(LEFT('Base Encuesta'!AL245,1)))</f>
        <v/>
      </c>
      <c r="AD271" t="str">
        <f>IF(OR('Base Encuesta'!AM245="",IFERROR(VALUE(LEFT('Base Encuesta'!K245,1)),"")&gt;=3),"",VALUE(LEFT('Base Encuesta'!AM245,1)))</f>
        <v/>
      </c>
      <c r="AE271" t="str">
        <f>IF(OR('Base Encuesta'!AN245="",IFERROR(VALUE(LEFT('Base Encuesta'!K245,1)),"")&gt;=3),"",VALUE(LEFT('Base Encuesta'!AN245,1)))</f>
        <v/>
      </c>
      <c r="AF271" t="str">
        <f>IF(OR('Base Encuesta'!AO245="",IFERROR(VALUE(LEFT('Base Encuesta'!K245,1)),"")&gt;=3),"",VALUE(LEFT('Base Encuesta'!AO245,1)))</f>
        <v/>
      </c>
      <c r="AG271" t="str">
        <f>IF(OR('Base Encuesta'!AQ245="",IFERROR(VALUE(LEFT('Base Encuesta'!K245,1)),"")&gt;=3),"",VALUE(LEFT('Base Encuesta'!AQ245,1)))</f>
        <v/>
      </c>
      <c r="AH271" t="str">
        <f>IF(OR('Base Encuesta'!AR245="",IFERROR(VALUE(LEFT('Base Encuesta'!K245,1)),"")&gt;=3),"",VALUE(LEFT('Base Encuesta'!AR245,1)))</f>
        <v/>
      </c>
    </row>
    <row r="272" spans="1:34">
      <c r="A272" t="str">
        <f>IF('Base Encuesta'!C246="","",'Base Encuesta'!C246)</f>
        <v/>
      </c>
      <c r="B272" t="str">
        <f>IF('Base Encuesta'!D246="","",'Base Encuesta'!D246)</f>
        <v/>
      </c>
      <c r="C272" t="str">
        <f>IF('Base Encuesta'!E246="","",'Base Encuesta'!E246)</f>
        <v/>
      </c>
      <c r="D272" t="str">
        <f>IF('Base Encuesta'!F246="","",'Base Encuesta'!F246)</f>
        <v/>
      </c>
      <c r="E272" t="str">
        <f>IF('Base Encuesta'!G246="","",'Base Encuesta'!G246)</f>
        <v/>
      </c>
      <c r="F272" t="str">
        <f>IF('Base Encuesta'!H246="","",'Base Encuesta'!H246)</f>
        <v/>
      </c>
      <c r="G272" t="str">
        <f>IF('Base Encuesta'!I246="","",'Base Encuesta'!I246)</f>
        <v/>
      </c>
      <c r="H272" t="str">
        <f>IF('Base Encuesta'!J246="","",'Base Encuesta'!J246)</f>
        <v/>
      </c>
      <c r="I272" t="str">
        <f>IF('Base Encuesta'!K246="","",'Base Encuesta'!K246)</f>
        <v/>
      </c>
      <c r="J272" t="str">
        <f>IF(OR('Base Encuesta'!P246="",IFERROR(VALUE(LEFT('Base Encuesta'!K246,1)),"")&gt;=3),"",PROPER(TRIM('Base Encuesta'!P246)))</f>
        <v/>
      </c>
      <c r="K272" t="str">
        <f>IF(OR('Base Encuesta'!Q246="",IFERROR(VALUE(LEFT('Base Encuesta'!K246,1)),"")&gt;=3),"",'Base Encuesta'!Q246)</f>
        <v/>
      </c>
      <c r="L272" t="str">
        <f>IF(OR('Base Encuesta'!R246="",IFERROR(VALUE(LEFT('Base Encuesta'!K246,1)),"")&gt;=3),"",VALUE(LEFT('Base Encuesta'!R246,1)))</f>
        <v/>
      </c>
      <c r="M272" t="str">
        <f>IF(OR('Base Encuesta'!S246="",IFERROR(VALUE(LEFT('Base Encuesta'!K246,1)),"")&gt;=3),"",VALUE(LEFT('Base Encuesta'!S246,1)))</f>
        <v/>
      </c>
      <c r="N272" t="str">
        <f>IF(OR('Base Encuesta'!T246="",IFERROR(VALUE(LEFT('Base Encuesta'!K246,1)),"")&gt;=3),"",VALUE(LEFT('Base Encuesta'!T246,1)))</f>
        <v/>
      </c>
      <c r="O272" t="str">
        <f>IF(OR('Base Encuesta'!V246="",IFERROR(VALUE(LEFT('Base Encuesta'!K246,1)),"")&gt;=3),"",VALUE(LEFT('Base Encuesta'!V246,1)))</f>
        <v/>
      </c>
      <c r="P272" t="str">
        <f>IF(OR('Base Encuesta'!W246="",IFERROR(VALUE(LEFT('Base Encuesta'!K246,1)),"")&gt;=3),"",VALUE(LEFT('Base Encuesta'!W246,1)))</f>
        <v/>
      </c>
      <c r="Q272" t="str">
        <f>IF(OR('Base Encuesta'!X246="",IFERROR(VALUE(LEFT('Base Encuesta'!K246,1)),"")&gt;=3),"",VALUE(LEFT('Base Encuesta'!X246,1)))</f>
        <v/>
      </c>
      <c r="R272" t="str">
        <f>IF(OR('Base Encuesta'!Y246="",IFERROR(VALUE(LEFT('Base Encuesta'!K246,1)),"")&gt;=3),"",VALUE(LEFT('Base Encuesta'!Y246,1)))</f>
        <v/>
      </c>
      <c r="S272" t="str">
        <f>IF(OR('Base Encuesta'!Z246="",IFERROR(VALUE(LEFT('Base Encuesta'!K246,1)),"")&gt;=3),"",VALUE(LEFT('Base Encuesta'!Z246,1)))</f>
        <v/>
      </c>
      <c r="T272" t="str">
        <f>IF(OR('Base Encuesta'!AA246="",IFERROR(VALUE(LEFT('Base Encuesta'!K246,1)),"")&gt;=3),"",VALUE(LEFT('Base Encuesta'!AA246,1)))</f>
        <v/>
      </c>
      <c r="U272" t="str">
        <f>IF(OR('Base Encuesta'!AB246="",IFERROR(VALUE(LEFT('Base Encuesta'!K246,1)),"")&gt;=3),"",VALUE(LEFT('Base Encuesta'!AB246,1)))</f>
        <v/>
      </c>
      <c r="V272" t="str">
        <f>IF(OR('Base Encuesta'!AC246="",IFERROR(VALUE(LEFT('Base Encuesta'!K246,1)),"")&gt;=3),"",VALUE(LEFT('Base Encuesta'!AC246,1)))</f>
        <v/>
      </c>
      <c r="W272" t="str">
        <f>IF(OR('Base Encuesta'!AE246="",IFERROR(VALUE(LEFT('Base Encuesta'!K246,1)),"")&gt;=3),"",VALUE(LEFT('Base Encuesta'!AE246,1)))</f>
        <v/>
      </c>
      <c r="X272" t="str">
        <f>IF(OR('Base Encuesta'!AF246="",IFERROR(VALUE(LEFT('Base Encuesta'!K246,1)),"")&gt;=3),"",IF(W272=1,VALUE(LEFT('Base Encuesta'!AF246,1)),""))</f>
        <v/>
      </c>
      <c r="Y272" t="str">
        <f>IF(OR('Base Encuesta'!AG246="",IFERROR(VALUE(LEFT('Base Encuesta'!K246,1)),"")&gt;=3),"",IF(W272=1,VALUE(LEFT('Base Encuesta'!AG246,1)),""))</f>
        <v/>
      </c>
      <c r="Z272" t="str">
        <f>IF(OR('Base Encuesta'!AH246="",IFERROR(VALUE(LEFT('Base Encuesta'!K246,1)),"")&gt;=3),"",IF(W272=1,VALUE(LEFT('Base Encuesta'!AH246,1)),""))</f>
        <v/>
      </c>
      <c r="AA272" t="str">
        <f>IF(OR('Base Encuesta'!AI246="",IFERROR(VALUE(LEFT('Base Encuesta'!K246,1)),"")&gt;=3),"",IF(W272=1,VALUE(LEFT('Base Encuesta'!AI246,1)),""))</f>
        <v/>
      </c>
      <c r="AB272" t="str">
        <f>IF(OR('Base Encuesta'!AJ246="",IFERROR(VALUE(LEFT('Base Encuesta'!K246,1)),"")&gt;=3),"",IF(W272=1,VALUE(LEFT('Base Encuesta'!AJ246,1)),""))</f>
        <v/>
      </c>
      <c r="AC272" t="str">
        <f>IF(OR('Base Encuesta'!AL246="",IFERROR(VALUE(LEFT('Base Encuesta'!K246,1)),"")&gt;=3),"",VALUE(LEFT('Base Encuesta'!AL246,1)))</f>
        <v/>
      </c>
      <c r="AD272" t="str">
        <f>IF(OR('Base Encuesta'!AM246="",IFERROR(VALUE(LEFT('Base Encuesta'!K246,1)),"")&gt;=3),"",VALUE(LEFT('Base Encuesta'!AM246,1)))</f>
        <v/>
      </c>
      <c r="AE272" t="str">
        <f>IF(OR('Base Encuesta'!AN246="",IFERROR(VALUE(LEFT('Base Encuesta'!K246,1)),"")&gt;=3),"",VALUE(LEFT('Base Encuesta'!AN246,1)))</f>
        <v/>
      </c>
      <c r="AF272" t="str">
        <f>IF(OR('Base Encuesta'!AO246="",IFERROR(VALUE(LEFT('Base Encuesta'!K246,1)),"")&gt;=3),"",VALUE(LEFT('Base Encuesta'!AO246,1)))</f>
        <v/>
      </c>
      <c r="AG272" t="str">
        <f>IF(OR('Base Encuesta'!AQ246="",IFERROR(VALUE(LEFT('Base Encuesta'!K246,1)),"")&gt;=3),"",VALUE(LEFT('Base Encuesta'!AQ246,1)))</f>
        <v/>
      </c>
      <c r="AH272" t="str">
        <f>IF(OR('Base Encuesta'!AR246="",IFERROR(VALUE(LEFT('Base Encuesta'!K246,1)),"")&gt;=3),"",VALUE(LEFT('Base Encuesta'!AR246,1)))</f>
        <v/>
      </c>
    </row>
    <row r="273" spans="1:34">
      <c r="A273" t="str">
        <f>IF('Base Encuesta'!C247="","",'Base Encuesta'!C247)</f>
        <v/>
      </c>
      <c r="B273" t="str">
        <f>IF('Base Encuesta'!D247="","",'Base Encuesta'!D247)</f>
        <v/>
      </c>
      <c r="C273" t="str">
        <f>IF('Base Encuesta'!E247="","",'Base Encuesta'!E247)</f>
        <v/>
      </c>
      <c r="D273" t="str">
        <f>IF('Base Encuesta'!F247="","",'Base Encuesta'!F247)</f>
        <v/>
      </c>
      <c r="E273" t="str">
        <f>IF('Base Encuesta'!G247="","",'Base Encuesta'!G247)</f>
        <v/>
      </c>
      <c r="F273" t="str">
        <f>IF('Base Encuesta'!H247="","",'Base Encuesta'!H247)</f>
        <v/>
      </c>
      <c r="G273" t="str">
        <f>IF('Base Encuesta'!I247="","",'Base Encuesta'!I247)</f>
        <v/>
      </c>
      <c r="H273" t="str">
        <f>IF('Base Encuesta'!J247="","",'Base Encuesta'!J247)</f>
        <v/>
      </c>
      <c r="I273" t="str">
        <f>IF('Base Encuesta'!K247="","",'Base Encuesta'!K247)</f>
        <v/>
      </c>
      <c r="J273" t="str">
        <f>IF(OR('Base Encuesta'!P247="",IFERROR(VALUE(LEFT('Base Encuesta'!K247,1)),"")&gt;=3),"",PROPER(TRIM('Base Encuesta'!P247)))</f>
        <v/>
      </c>
      <c r="K273" t="str">
        <f>IF(OR('Base Encuesta'!Q247="",IFERROR(VALUE(LEFT('Base Encuesta'!K247,1)),"")&gt;=3),"",'Base Encuesta'!Q247)</f>
        <v/>
      </c>
      <c r="L273" t="str">
        <f>IF(OR('Base Encuesta'!R247="",IFERROR(VALUE(LEFT('Base Encuesta'!K247,1)),"")&gt;=3),"",VALUE(LEFT('Base Encuesta'!R247,1)))</f>
        <v/>
      </c>
      <c r="M273" t="str">
        <f>IF(OR('Base Encuesta'!S247="",IFERROR(VALUE(LEFT('Base Encuesta'!K247,1)),"")&gt;=3),"",VALUE(LEFT('Base Encuesta'!S247,1)))</f>
        <v/>
      </c>
      <c r="N273" t="str">
        <f>IF(OR('Base Encuesta'!T247="",IFERROR(VALUE(LEFT('Base Encuesta'!K247,1)),"")&gt;=3),"",VALUE(LEFT('Base Encuesta'!T247,1)))</f>
        <v/>
      </c>
      <c r="O273" t="str">
        <f>IF(OR('Base Encuesta'!V247="",IFERROR(VALUE(LEFT('Base Encuesta'!K247,1)),"")&gt;=3),"",VALUE(LEFT('Base Encuesta'!V247,1)))</f>
        <v/>
      </c>
      <c r="P273" t="str">
        <f>IF(OR('Base Encuesta'!W247="",IFERROR(VALUE(LEFT('Base Encuesta'!K247,1)),"")&gt;=3),"",VALUE(LEFT('Base Encuesta'!W247,1)))</f>
        <v/>
      </c>
      <c r="Q273" t="str">
        <f>IF(OR('Base Encuesta'!X247="",IFERROR(VALUE(LEFT('Base Encuesta'!K247,1)),"")&gt;=3),"",VALUE(LEFT('Base Encuesta'!X247,1)))</f>
        <v/>
      </c>
      <c r="R273" t="str">
        <f>IF(OR('Base Encuesta'!Y247="",IFERROR(VALUE(LEFT('Base Encuesta'!K247,1)),"")&gt;=3),"",VALUE(LEFT('Base Encuesta'!Y247,1)))</f>
        <v/>
      </c>
      <c r="S273" t="str">
        <f>IF(OR('Base Encuesta'!Z247="",IFERROR(VALUE(LEFT('Base Encuesta'!K247,1)),"")&gt;=3),"",VALUE(LEFT('Base Encuesta'!Z247,1)))</f>
        <v/>
      </c>
      <c r="T273" t="str">
        <f>IF(OR('Base Encuesta'!AA247="",IFERROR(VALUE(LEFT('Base Encuesta'!K247,1)),"")&gt;=3),"",VALUE(LEFT('Base Encuesta'!AA247,1)))</f>
        <v/>
      </c>
      <c r="U273" t="str">
        <f>IF(OR('Base Encuesta'!AB247="",IFERROR(VALUE(LEFT('Base Encuesta'!K247,1)),"")&gt;=3),"",VALUE(LEFT('Base Encuesta'!AB247,1)))</f>
        <v/>
      </c>
      <c r="V273" t="str">
        <f>IF(OR('Base Encuesta'!AC247="",IFERROR(VALUE(LEFT('Base Encuesta'!K247,1)),"")&gt;=3),"",VALUE(LEFT('Base Encuesta'!AC247,1)))</f>
        <v/>
      </c>
      <c r="W273" t="str">
        <f>IF(OR('Base Encuesta'!AE247="",IFERROR(VALUE(LEFT('Base Encuesta'!K247,1)),"")&gt;=3),"",VALUE(LEFT('Base Encuesta'!AE247,1)))</f>
        <v/>
      </c>
      <c r="X273" t="str">
        <f>IF(OR('Base Encuesta'!AF247="",IFERROR(VALUE(LEFT('Base Encuesta'!K247,1)),"")&gt;=3),"",IF(W273=1,VALUE(LEFT('Base Encuesta'!AF247,1)),""))</f>
        <v/>
      </c>
      <c r="Y273" t="str">
        <f>IF(OR('Base Encuesta'!AG247="",IFERROR(VALUE(LEFT('Base Encuesta'!K247,1)),"")&gt;=3),"",IF(W273=1,VALUE(LEFT('Base Encuesta'!AG247,1)),""))</f>
        <v/>
      </c>
      <c r="Z273" t="str">
        <f>IF(OR('Base Encuesta'!AH247="",IFERROR(VALUE(LEFT('Base Encuesta'!K247,1)),"")&gt;=3),"",IF(W273=1,VALUE(LEFT('Base Encuesta'!AH247,1)),""))</f>
        <v/>
      </c>
      <c r="AA273" t="str">
        <f>IF(OR('Base Encuesta'!AI247="",IFERROR(VALUE(LEFT('Base Encuesta'!K247,1)),"")&gt;=3),"",IF(W273=1,VALUE(LEFT('Base Encuesta'!AI247,1)),""))</f>
        <v/>
      </c>
      <c r="AB273" t="str">
        <f>IF(OR('Base Encuesta'!AJ247="",IFERROR(VALUE(LEFT('Base Encuesta'!K247,1)),"")&gt;=3),"",IF(W273=1,VALUE(LEFT('Base Encuesta'!AJ247,1)),""))</f>
        <v/>
      </c>
      <c r="AC273" t="str">
        <f>IF(OR('Base Encuesta'!AL247="",IFERROR(VALUE(LEFT('Base Encuesta'!K247,1)),"")&gt;=3),"",VALUE(LEFT('Base Encuesta'!AL247,1)))</f>
        <v/>
      </c>
      <c r="AD273" t="str">
        <f>IF(OR('Base Encuesta'!AM247="",IFERROR(VALUE(LEFT('Base Encuesta'!K247,1)),"")&gt;=3),"",VALUE(LEFT('Base Encuesta'!AM247,1)))</f>
        <v/>
      </c>
      <c r="AE273" t="str">
        <f>IF(OR('Base Encuesta'!AN247="",IFERROR(VALUE(LEFT('Base Encuesta'!K247,1)),"")&gt;=3),"",VALUE(LEFT('Base Encuesta'!AN247,1)))</f>
        <v/>
      </c>
      <c r="AF273" t="str">
        <f>IF(OR('Base Encuesta'!AO247="",IFERROR(VALUE(LEFT('Base Encuesta'!K247,1)),"")&gt;=3),"",VALUE(LEFT('Base Encuesta'!AO247,1)))</f>
        <v/>
      </c>
      <c r="AG273" t="str">
        <f>IF(OR('Base Encuesta'!AQ247="",IFERROR(VALUE(LEFT('Base Encuesta'!K247,1)),"")&gt;=3),"",VALUE(LEFT('Base Encuesta'!AQ247,1)))</f>
        <v/>
      </c>
      <c r="AH273" t="str">
        <f>IF(OR('Base Encuesta'!AR247="",IFERROR(VALUE(LEFT('Base Encuesta'!K247,1)),"")&gt;=3),"",VALUE(LEFT('Base Encuesta'!AR247,1)))</f>
        <v/>
      </c>
    </row>
    <row r="274" spans="1:34">
      <c r="A274" t="str">
        <f>IF('Base Encuesta'!C248="","",'Base Encuesta'!C248)</f>
        <v/>
      </c>
      <c r="B274" t="str">
        <f>IF('Base Encuesta'!D248="","",'Base Encuesta'!D248)</f>
        <v/>
      </c>
      <c r="C274" t="str">
        <f>IF('Base Encuesta'!E248="","",'Base Encuesta'!E248)</f>
        <v/>
      </c>
      <c r="D274" t="str">
        <f>IF('Base Encuesta'!F248="","",'Base Encuesta'!F248)</f>
        <v/>
      </c>
      <c r="E274" t="str">
        <f>IF('Base Encuesta'!G248="","",'Base Encuesta'!G248)</f>
        <v/>
      </c>
      <c r="F274" t="str">
        <f>IF('Base Encuesta'!H248="","",'Base Encuesta'!H248)</f>
        <v/>
      </c>
      <c r="G274" t="str">
        <f>IF('Base Encuesta'!I248="","",'Base Encuesta'!I248)</f>
        <v/>
      </c>
      <c r="H274" t="str">
        <f>IF('Base Encuesta'!J248="","",'Base Encuesta'!J248)</f>
        <v/>
      </c>
      <c r="I274" t="str">
        <f>IF('Base Encuesta'!K248="","",'Base Encuesta'!K248)</f>
        <v/>
      </c>
      <c r="J274" t="str">
        <f>IF(OR('Base Encuesta'!P248="",IFERROR(VALUE(LEFT('Base Encuesta'!K248,1)),"")&gt;=3),"",PROPER(TRIM('Base Encuesta'!P248)))</f>
        <v/>
      </c>
      <c r="K274" t="str">
        <f>IF(OR('Base Encuesta'!Q248="",IFERROR(VALUE(LEFT('Base Encuesta'!K248,1)),"")&gt;=3),"",'Base Encuesta'!Q248)</f>
        <v/>
      </c>
      <c r="L274" t="str">
        <f>IF(OR('Base Encuesta'!R248="",IFERROR(VALUE(LEFT('Base Encuesta'!K248,1)),"")&gt;=3),"",VALUE(LEFT('Base Encuesta'!R248,1)))</f>
        <v/>
      </c>
      <c r="M274" t="str">
        <f>IF(OR('Base Encuesta'!S248="",IFERROR(VALUE(LEFT('Base Encuesta'!K248,1)),"")&gt;=3),"",VALUE(LEFT('Base Encuesta'!S248,1)))</f>
        <v/>
      </c>
      <c r="N274" t="str">
        <f>IF(OR('Base Encuesta'!T248="",IFERROR(VALUE(LEFT('Base Encuesta'!K248,1)),"")&gt;=3),"",VALUE(LEFT('Base Encuesta'!T248,1)))</f>
        <v/>
      </c>
      <c r="O274" t="str">
        <f>IF(OR('Base Encuesta'!V248="",IFERROR(VALUE(LEFT('Base Encuesta'!K248,1)),"")&gt;=3),"",VALUE(LEFT('Base Encuesta'!V248,1)))</f>
        <v/>
      </c>
      <c r="P274" t="str">
        <f>IF(OR('Base Encuesta'!W248="",IFERROR(VALUE(LEFT('Base Encuesta'!K248,1)),"")&gt;=3),"",VALUE(LEFT('Base Encuesta'!W248,1)))</f>
        <v/>
      </c>
      <c r="Q274" t="str">
        <f>IF(OR('Base Encuesta'!X248="",IFERROR(VALUE(LEFT('Base Encuesta'!K248,1)),"")&gt;=3),"",VALUE(LEFT('Base Encuesta'!X248,1)))</f>
        <v/>
      </c>
      <c r="R274" t="str">
        <f>IF(OR('Base Encuesta'!Y248="",IFERROR(VALUE(LEFT('Base Encuesta'!K248,1)),"")&gt;=3),"",VALUE(LEFT('Base Encuesta'!Y248,1)))</f>
        <v/>
      </c>
      <c r="S274" t="str">
        <f>IF(OR('Base Encuesta'!Z248="",IFERROR(VALUE(LEFT('Base Encuesta'!K248,1)),"")&gt;=3),"",VALUE(LEFT('Base Encuesta'!Z248,1)))</f>
        <v/>
      </c>
      <c r="T274" t="str">
        <f>IF(OR('Base Encuesta'!AA248="",IFERROR(VALUE(LEFT('Base Encuesta'!K248,1)),"")&gt;=3),"",VALUE(LEFT('Base Encuesta'!AA248,1)))</f>
        <v/>
      </c>
      <c r="U274" t="str">
        <f>IF(OR('Base Encuesta'!AB248="",IFERROR(VALUE(LEFT('Base Encuesta'!K248,1)),"")&gt;=3),"",VALUE(LEFT('Base Encuesta'!AB248,1)))</f>
        <v/>
      </c>
      <c r="V274" t="str">
        <f>IF(OR('Base Encuesta'!AC248="",IFERROR(VALUE(LEFT('Base Encuesta'!K248,1)),"")&gt;=3),"",VALUE(LEFT('Base Encuesta'!AC248,1)))</f>
        <v/>
      </c>
      <c r="W274" t="str">
        <f>IF(OR('Base Encuesta'!AE248="",IFERROR(VALUE(LEFT('Base Encuesta'!K248,1)),"")&gt;=3),"",VALUE(LEFT('Base Encuesta'!AE248,1)))</f>
        <v/>
      </c>
      <c r="X274" t="str">
        <f>IF(OR('Base Encuesta'!AF248="",IFERROR(VALUE(LEFT('Base Encuesta'!K248,1)),"")&gt;=3),"",IF(W274=1,VALUE(LEFT('Base Encuesta'!AF248,1)),""))</f>
        <v/>
      </c>
      <c r="Y274" t="str">
        <f>IF(OR('Base Encuesta'!AG248="",IFERROR(VALUE(LEFT('Base Encuesta'!K248,1)),"")&gt;=3),"",IF(W274=1,VALUE(LEFT('Base Encuesta'!AG248,1)),""))</f>
        <v/>
      </c>
      <c r="Z274" t="str">
        <f>IF(OR('Base Encuesta'!AH248="",IFERROR(VALUE(LEFT('Base Encuesta'!K248,1)),"")&gt;=3),"",IF(W274=1,VALUE(LEFT('Base Encuesta'!AH248,1)),""))</f>
        <v/>
      </c>
      <c r="AA274" t="str">
        <f>IF(OR('Base Encuesta'!AI248="",IFERROR(VALUE(LEFT('Base Encuesta'!K248,1)),"")&gt;=3),"",IF(W274=1,VALUE(LEFT('Base Encuesta'!AI248,1)),""))</f>
        <v/>
      </c>
      <c r="AB274" t="str">
        <f>IF(OR('Base Encuesta'!AJ248="",IFERROR(VALUE(LEFT('Base Encuesta'!K248,1)),"")&gt;=3),"",IF(W274=1,VALUE(LEFT('Base Encuesta'!AJ248,1)),""))</f>
        <v/>
      </c>
      <c r="AC274" t="str">
        <f>IF(OR('Base Encuesta'!AL248="",IFERROR(VALUE(LEFT('Base Encuesta'!K248,1)),"")&gt;=3),"",VALUE(LEFT('Base Encuesta'!AL248,1)))</f>
        <v/>
      </c>
      <c r="AD274" t="str">
        <f>IF(OR('Base Encuesta'!AM248="",IFERROR(VALUE(LEFT('Base Encuesta'!K248,1)),"")&gt;=3),"",VALUE(LEFT('Base Encuesta'!AM248,1)))</f>
        <v/>
      </c>
      <c r="AE274" t="str">
        <f>IF(OR('Base Encuesta'!AN248="",IFERROR(VALUE(LEFT('Base Encuesta'!K248,1)),"")&gt;=3),"",VALUE(LEFT('Base Encuesta'!AN248,1)))</f>
        <v/>
      </c>
      <c r="AF274" t="str">
        <f>IF(OR('Base Encuesta'!AO248="",IFERROR(VALUE(LEFT('Base Encuesta'!K248,1)),"")&gt;=3),"",VALUE(LEFT('Base Encuesta'!AO248,1)))</f>
        <v/>
      </c>
      <c r="AG274" t="str">
        <f>IF(OR('Base Encuesta'!AQ248="",IFERROR(VALUE(LEFT('Base Encuesta'!K248,1)),"")&gt;=3),"",VALUE(LEFT('Base Encuesta'!AQ248,1)))</f>
        <v/>
      </c>
      <c r="AH274" t="str">
        <f>IF(OR('Base Encuesta'!AR248="",IFERROR(VALUE(LEFT('Base Encuesta'!K248,1)),"")&gt;=3),"",VALUE(LEFT('Base Encuesta'!AR248,1)))</f>
        <v/>
      </c>
    </row>
    <row r="275" spans="1:34">
      <c r="A275" t="str">
        <f>IF('Base Encuesta'!C249="","",'Base Encuesta'!C249)</f>
        <v/>
      </c>
      <c r="B275" t="str">
        <f>IF('Base Encuesta'!D249="","",'Base Encuesta'!D249)</f>
        <v/>
      </c>
      <c r="C275" t="str">
        <f>IF('Base Encuesta'!E249="","",'Base Encuesta'!E249)</f>
        <v/>
      </c>
      <c r="D275" t="str">
        <f>IF('Base Encuesta'!F249="","",'Base Encuesta'!F249)</f>
        <v/>
      </c>
      <c r="E275" t="str">
        <f>IF('Base Encuesta'!G249="","",'Base Encuesta'!G249)</f>
        <v/>
      </c>
      <c r="F275" t="str">
        <f>IF('Base Encuesta'!H249="","",'Base Encuesta'!H249)</f>
        <v/>
      </c>
      <c r="G275" t="str">
        <f>IF('Base Encuesta'!I249="","",'Base Encuesta'!I249)</f>
        <v/>
      </c>
      <c r="H275" t="str">
        <f>IF('Base Encuesta'!J249="","",'Base Encuesta'!J249)</f>
        <v/>
      </c>
      <c r="I275" t="str">
        <f>IF('Base Encuesta'!K249="","",'Base Encuesta'!K249)</f>
        <v/>
      </c>
      <c r="J275" t="str">
        <f>IF(OR('Base Encuesta'!P249="",IFERROR(VALUE(LEFT('Base Encuesta'!K249,1)),"")&gt;=3),"",PROPER(TRIM('Base Encuesta'!P249)))</f>
        <v/>
      </c>
      <c r="K275" t="str">
        <f>IF(OR('Base Encuesta'!Q249="",IFERROR(VALUE(LEFT('Base Encuesta'!K249,1)),"")&gt;=3),"",'Base Encuesta'!Q249)</f>
        <v/>
      </c>
      <c r="L275" t="str">
        <f>IF(OR('Base Encuesta'!R249="",IFERROR(VALUE(LEFT('Base Encuesta'!K249,1)),"")&gt;=3),"",VALUE(LEFT('Base Encuesta'!R249,1)))</f>
        <v/>
      </c>
      <c r="M275" t="str">
        <f>IF(OR('Base Encuesta'!S249="",IFERROR(VALUE(LEFT('Base Encuesta'!K249,1)),"")&gt;=3),"",VALUE(LEFT('Base Encuesta'!S249,1)))</f>
        <v/>
      </c>
      <c r="N275" t="str">
        <f>IF(OR('Base Encuesta'!T249="",IFERROR(VALUE(LEFT('Base Encuesta'!K249,1)),"")&gt;=3),"",VALUE(LEFT('Base Encuesta'!T249,1)))</f>
        <v/>
      </c>
      <c r="O275" t="str">
        <f>IF(OR('Base Encuesta'!V249="",IFERROR(VALUE(LEFT('Base Encuesta'!K249,1)),"")&gt;=3),"",VALUE(LEFT('Base Encuesta'!V249,1)))</f>
        <v/>
      </c>
      <c r="P275" t="str">
        <f>IF(OR('Base Encuesta'!W249="",IFERROR(VALUE(LEFT('Base Encuesta'!K249,1)),"")&gt;=3),"",VALUE(LEFT('Base Encuesta'!W249,1)))</f>
        <v/>
      </c>
      <c r="Q275" t="str">
        <f>IF(OR('Base Encuesta'!X249="",IFERROR(VALUE(LEFT('Base Encuesta'!K249,1)),"")&gt;=3),"",VALUE(LEFT('Base Encuesta'!X249,1)))</f>
        <v/>
      </c>
      <c r="R275" t="str">
        <f>IF(OR('Base Encuesta'!Y249="",IFERROR(VALUE(LEFT('Base Encuesta'!K249,1)),"")&gt;=3),"",VALUE(LEFT('Base Encuesta'!Y249,1)))</f>
        <v/>
      </c>
      <c r="S275" t="str">
        <f>IF(OR('Base Encuesta'!Z249="",IFERROR(VALUE(LEFT('Base Encuesta'!K249,1)),"")&gt;=3),"",VALUE(LEFT('Base Encuesta'!Z249,1)))</f>
        <v/>
      </c>
      <c r="T275" t="str">
        <f>IF(OR('Base Encuesta'!AA249="",IFERROR(VALUE(LEFT('Base Encuesta'!K249,1)),"")&gt;=3),"",VALUE(LEFT('Base Encuesta'!AA249,1)))</f>
        <v/>
      </c>
      <c r="U275" t="str">
        <f>IF(OR('Base Encuesta'!AB249="",IFERROR(VALUE(LEFT('Base Encuesta'!K249,1)),"")&gt;=3),"",VALUE(LEFT('Base Encuesta'!AB249,1)))</f>
        <v/>
      </c>
      <c r="V275" t="str">
        <f>IF(OR('Base Encuesta'!AC249="",IFERROR(VALUE(LEFT('Base Encuesta'!K249,1)),"")&gt;=3),"",VALUE(LEFT('Base Encuesta'!AC249,1)))</f>
        <v/>
      </c>
      <c r="W275" t="str">
        <f>IF(OR('Base Encuesta'!AE249="",IFERROR(VALUE(LEFT('Base Encuesta'!K249,1)),"")&gt;=3),"",VALUE(LEFT('Base Encuesta'!AE249,1)))</f>
        <v/>
      </c>
      <c r="X275" t="str">
        <f>IF(OR('Base Encuesta'!AF249="",IFERROR(VALUE(LEFT('Base Encuesta'!K249,1)),"")&gt;=3),"",IF(W275=1,VALUE(LEFT('Base Encuesta'!AF249,1)),""))</f>
        <v/>
      </c>
      <c r="Y275" t="str">
        <f>IF(OR('Base Encuesta'!AG249="",IFERROR(VALUE(LEFT('Base Encuesta'!K249,1)),"")&gt;=3),"",IF(W275=1,VALUE(LEFT('Base Encuesta'!AG249,1)),""))</f>
        <v/>
      </c>
      <c r="Z275" t="str">
        <f>IF(OR('Base Encuesta'!AH249="",IFERROR(VALUE(LEFT('Base Encuesta'!K249,1)),"")&gt;=3),"",IF(W275=1,VALUE(LEFT('Base Encuesta'!AH249,1)),""))</f>
        <v/>
      </c>
      <c r="AA275" t="str">
        <f>IF(OR('Base Encuesta'!AI249="",IFERROR(VALUE(LEFT('Base Encuesta'!K249,1)),"")&gt;=3),"",IF(W275=1,VALUE(LEFT('Base Encuesta'!AI249,1)),""))</f>
        <v/>
      </c>
      <c r="AB275" t="str">
        <f>IF(OR('Base Encuesta'!AJ249="",IFERROR(VALUE(LEFT('Base Encuesta'!K249,1)),"")&gt;=3),"",IF(W275=1,VALUE(LEFT('Base Encuesta'!AJ249,1)),""))</f>
        <v/>
      </c>
      <c r="AC275" t="str">
        <f>IF(OR('Base Encuesta'!AL249="",IFERROR(VALUE(LEFT('Base Encuesta'!K249,1)),"")&gt;=3),"",VALUE(LEFT('Base Encuesta'!AL249,1)))</f>
        <v/>
      </c>
      <c r="AD275" t="str">
        <f>IF(OR('Base Encuesta'!AM249="",IFERROR(VALUE(LEFT('Base Encuesta'!K249,1)),"")&gt;=3),"",VALUE(LEFT('Base Encuesta'!AM249,1)))</f>
        <v/>
      </c>
      <c r="AE275" t="str">
        <f>IF(OR('Base Encuesta'!AN249="",IFERROR(VALUE(LEFT('Base Encuesta'!K249,1)),"")&gt;=3),"",VALUE(LEFT('Base Encuesta'!AN249,1)))</f>
        <v/>
      </c>
      <c r="AF275" t="str">
        <f>IF(OR('Base Encuesta'!AO249="",IFERROR(VALUE(LEFT('Base Encuesta'!K249,1)),"")&gt;=3),"",VALUE(LEFT('Base Encuesta'!AO249,1)))</f>
        <v/>
      </c>
      <c r="AG275" t="str">
        <f>IF(OR('Base Encuesta'!AQ249="",IFERROR(VALUE(LEFT('Base Encuesta'!K249,1)),"")&gt;=3),"",VALUE(LEFT('Base Encuesta'!AQ249,1)))</f>
        <v/>
      </c>
      <c r="AH275" t="str">
        <f>IF(OR('Base Encuesta'!AR249="",IFERROR(VALUE(LEFT('Base Encuesta'!K249,1)),"")&gt;=3),"",VALUE(LEFT('Base Encuesta'!AR249,1)))</f>
        <v/>
      </c>
    </row>
    <row r="276" spans="1:34">
      <c r="A276" t="str">
        <f>IF('Base Encuesta'!C250="","",'Base Encuesta'!C250)</f>
        <v/>
      </c>
      <c r="B276" t="str">
        <f>IF('Base Encuesta'!D250="","",'Base Encuesta'!D250)</f>
        <v/>
      </c>
      <c r="C276" t="str">
        <f>IF('Base Encuesta'!E250="","",'Base Encuesta'!E250)</f>
        <v/>
      </c>
      <c r="D276" t="str">
        <f>IF('Base Encuesta'!F250="","",'Base Encuesta'!F250)</f>
        <v/>
      </c>
      <c r="E276" t="str">
        <f>IF('Base Encuesta'!G250="","",'Base Encuesta'!G250)</f>
        <v/>
      </c>
      <c r="F276" t="str">
        <f>IF('Base Encuesta'!H250="","",'Base Encuesta'!H250)</f>
        <v/>
      </c>
      <c r="G276" t="str">
        <f>IF('Base Encuesta'!I250="","",'Base Encuesta'!I250)</f>
        <v/>
      </c>
      <c r="H276" t="str">
        <f>IF('Base Encuesta'!J250="","",'Base Encuesta'!J250)</f>
        <v/>
      </c>
      <c r="I276" t="str">
        <f>IF('Base Encuesta'!K250="","",'Base Encuesta'!K250)</f>
        <v/>
      </c>
      <c r="J276" t="str">
        <f>IF(OR('Base Encuesta'!P250="",IFERROR(VALUE(LEFT('Base Encuesta'!K250,1)),"")&gt;=3),"",PROPER(TRIM('Base Encuesta'!P250)))</f>
        <v/>
      </c>
      <c r="K276" t="str">
        <f>IF(OR('Base Encuesta'!Q250="",IFERROR(VALUE(LEFT('Base Encuesta'!K250,1)),"")&gt;=3),"",'Base Encuesta'!Q250)</f>
        <v/>
      </c>
      <c r="L276" t="str">
        <f>IF(OR('Base Encuesta'!R250="",IFERROR(VALUE(LEFT('Base Encuesta'!K250,1)),"")&gt;=3),"",VALUE(LEFT('Base Encuesta'!R250,1)))</f>
        <v/>
      </c>
      <c r="M276" t="str">
        <f>IF(OR('Base Encuesta'!S250="",IFERROR(VALUE(LEFT('Base Encuesta'!K250,1)),"")&gt;=3),"",VALUE(LEFT('Base Encuesta'!S250,1)))</f>
        <v/>
      </c>
      <c r="N276" t="str">
        <f>IF(OR('Base Encuesta'!T250="",IFERROR(VALUE(LEFT('Base Encuesta'!K250,1)),"")&gt;=3),"",VALUE(LEFT('Base Encuesta'!T250,1)))</f>
        <v/>
      </c>
      <c r="O276" t="str">
        <f>IF(OR('Base Encuesta'!V250="",IFERROR(VALUE(LEFT('Base Encuesta'!K250,1)),"")&gt;=3),"",VALUE(LEFT('Base Encuesta'!V250,1)))</f>
        <v/>
      </c>
      <c r="P276" t="str">
        <f>IF(OR('Base Encuesta'!W250="",IFERROR(VALUE(LEFT('Base Encuesta'!K250,1)),"")&gt;=3),"",VALUE(LEFT('Base Encuesta'!W250,1)))</f>
        <v/>
      </c>
      <c r="Q276" t="str">
        <f>IF(OR('Base Encuesta'!X250="",IFERROR(VALUE(LEFT('Base Encuesta'!K250,1)),"")&gt;=3),"",VALUE(LEFT('Base Encuesta'!X250,1)))</f>
        <v/>
      </c>
      <c r="R276" t="str">
        <f>IF(OR('Base Encuesta'!Y250="",IFERROR(VALUE(LEFT('Base Encuesta'!K250,1)),"")&gt;=3),"",VALUE(LEFT('Base Encuesta'!Y250,1)))</f>
        <v/>
      </c>
      <c r="S276" t="str">
        <f>IF(OR('Base Encuesta'!Z250="",IFERROR(VALUE(LEFT('Base Encuesta'!K250,1)),"")&gt;=3),"",VALUE(LEFT('Base Encuesta'!Z250,1)))</f>
        <v/>
      </c>
      <c r="T276" t="str">
        <f>IF(OR('Base Encuesta'!AA250="",IFERROR(VALUE(LEFT('Base Encuesta'!K250,1)),"")&gt;=3),"",VALUE(LEFT('Base Encuesta'!AA250,1)))</f>
        <v/>
      </c>
      <c r="U276" t="str">
        <f>IF(OR('Base Encuesta'!AB250="",IFERROR(VALUE(LEFT('Base Encuesta'!K250,1)),"")&gt;=3),"",VALUE(LEFT('Base Encuesta'!AB250,1)))</f>
        <v/>
      </c>
      <c r="V276" t="str">
        <f>IF(OR('Base Encuesta'!AC250="",IFERROR(VALUE(LEFT('Base Encuesta'!K250,1)),"")&gt;=3),"",VALUE(LEFT('Base Encuesta'!AC250,1)))</f>
        <v/>
      </c>
      <c r="W276" t="str">
        <f>IF(OR('Base Encuesta'!AE250="",IFERROR(VALUE(LEFT('Base Encuesta'!K250,1)),"")&gt;=3),"",VALUE(LEFT('Base Encuesta'!AE250,1)))</f>
        <v/>
      </c>
      <c r="X276" t="str">
        <f>IF(OR('Base Encuesta'!AF250="",IFERROR(VALUE(LEFT('Base Encuesta'!K250,1)),"")&gt;=3),"",IF(W276=1,VALUE(LEFT('Base Encuesta'!AF250,1)),""))</f>
        <v/>
      </c>
      <c r="Y276" t="str">
        <f>IF(OR('Base Encuesta'!AG250="",IFERROR(VALUE(LEFT('Base Encuesta'!K250,1)),"")&gt;=3),"",IF(W276=1,VALUE(LEFT('Base Encuesta'!AG250,1)),""))</f>
        <v/>
      </c>
      <c r="Z276" t="str">
        <f>IF(OR('Base Encuesta'!AH250="",IFERROR(VALUE(LEFT('Base Encuesta'!K250,1)),"")&gt;=3),"",IF(W276=1,VALUE(LEFT('Base Encuesta'!AH250,1)),""))</f>
        <v/>
      </c>
      <c r="AA276" t="str">
        <f>IF(OR('Base Encuesta'!AI250="",IFERROR(VALUE(LEFT('Base Encuesta'!K250,1)),"")&gt;=3),"",IF(W276=1,VALUE(LEFT('Base Encuesta'!AI250,1)),""))</f>
        <v/>
      </c>
      <c r="AB276" t="str">
        <f>IF(OR('Base Encuesta'!AJ250="",IFERROR(VALUE(LEFT('Base Encuesta'!K250,1)),"")&gt;=3),"",IF(W276=1,VALUE(LEFT('Base Encuesta'!AJ250,1)),""))</f>
        <v/>
      </c>
      <c r="AC276" t="str">
        <f>IF(OR('Base Encuesta'!AL250="",IFERROR(VALUE(LEFT('Base Encuesta'!K250,1)),"")&gt;=3),"",VALUE(LEFT('Base Encuesta'!AL250,1)))</f>
        <v/>
      </c>
      <c r="AD276" t="str">
        <f>IF(OR('Base Encuesta'!AM250="",IFERROR(VALUE(LEFT('Base Encuesta'!K250,1)),"")&gt;=3),"",VALUE(LEFT('Base Encuesta'!AM250,1)))</f>
        <v/>
      </c>
      <c r="AE276" t="str">
        <f>IF(OR('Base Encuesta'!AN250="",IFERROR(VALUE(LEFT('Base Encuesta'!K250,1)),"")&gt;=3),"",VALUE(LEFT('Base Encuesta'!AN250,1)))</f>
        <v/>
      </c>
      <c r="AF276" t="str">
        <f>IF(OR('Base Encuesta'!AO250="",IFERROR(VALUE(LEFT('Base Encuesta'!K250,1)),"")&gt;=3),"",VALUE(LEFT('Base Encuesta'!AO250,1)))</f>
        <v/>
      </c>
      <c r="AG276" t="str">
        <f>IF(OR('Base Encuesta'!AQ250="",IFERROR(VALUE(LEFT('Base Encuesta'!K250,1)),"")&gt;=3),"",VALUE(LEFT('Base Encuesta'!AQ250,1)))</f>
        <v/>
      </c>
      <c r="AH276" t="str">
        <f>IF(OR('Base Encuesta'!AR250="",IFERROR(VALUE(LEFT('Base Encuesta'!K250,1)),"")&gt;=3),"",VALUE(LEFT('Base Encuesta'!AR250,1)))</f>
        <v/>
      </c>
    </row>
    <row r="277" spans="1:34">
      <c r="A277" t="str">
        <f>IF('Base Encuesta'!C251="","",'Base Encuesta'!C251)</f>
        <v/>
      </c>
      <c r="B277" t="str">
        <f>IF('Base Encuesta'!D251="","",'Base Encuesta'!D251)</f>
        <v/>
      </c>
      <c r="C277" t="str">
        <f>IF('Base Encuesta'!E251="","",'Base Encuesta'!E251)</f>
        <v/>
      </c>
      <c r="D277" t="str">
        <f>IF('Base Encuesta'!F251="","",'Base Encuesta'!F251)</f>
        <v/>
      </c>
      <c r="E277" t="str">
        <f>IF('Base Encuesta'!G251="","",'Base Encuesta'!G251)</f>
        <v/>
      </c>
      <c r="F277" t="str">
        <f>IF('Base Encuesta'!H251="","",'Base Encuesta'!H251)</f>
        <v/>
      </c>
      <c r="G277" t="str">
        <f>IF('Base Encuesta'!I251="","",'Base Encuesta'!I251)</f>
        <v/>
      </c>
      <c r="H277" t="str">
        <f>IF('Base Encuesta'!J251="","",'Base Encuesta'!J251)</f>
        <v/>
      </c>
      <c r="I277" t="str">
        <f>IF('Base Encuesta'!K251="","",'Base Encuesta'!K251)</f>
        <v/>
      </c>
      <c r="J277" t="str">
        <f>IF(OR('Base Encuesta'!P251="",IFERROR(VALUE(LEFT('Base Encuesta'!K251,1)),"")&gt;=3),"",PROPER(TRIM('Base Encuesta'!P251)))</f>
        <v/>
      </c>
      <c r="K277" t="str">
        <f>IF(OR('Base Encuesta'!Q251="",IFERROR(VALUE(LEFT('Base Encuesta'!K251,1)),"")&gt;=3),"",'Base Encuesta'!Q251)</f>
        <v/>
      </c>
      <c r="L277" t="str">
        <f>IF(OR('Base Encuesta'!R251="",IFERROR(VALUE(LEFT('Base Encuesta'!K251,1)),"")&gt;=3),"",VALUE(LEFT('Base Encuesta'!R251,1)))</f>
        <v/>
      </c>
      <c r="M277" t="str">
        <f>IF(OR('Base Encuesta'!S251="",IFERROR(VALUE(LEFT('Base Encuesta'!K251,1)),"")&gt;=3),"",VALUE(LEFT('Base Encuesta'!S251,1)))</f>
        <v/>
      </c>
      <c r="N277" t="str">
        <f>IF(OR('Base Encuesta'!T251="",IFERROR(VALUE(LEFT('Base Encuesta'!K251,1)),"")&gt;=3),"",VALUE(LEFT('Base Encuesta'!T251,1)))</f>
        <v/>
      </c>
      <c r="O277" t="str">
        <f>IF(OR('Base Encuesta'!V251="",IFERROR(VALUE(LEFT('Base Encuesta'!K251,1)),"")&gt;=3),"",VALUE(LEFT('Base Encuesta'!V251,1)))</f>
        <v/>
      </c>
      <c r="P277" t="str">
        <f>IF(OR('Base Encuesta'!W251="",IFERROR(VALUE(LEFT('Base Encuesta'!K251,1)),"")&gt;=3),"",VALUE(LEFT('Base Encuesta'!W251,1)))</f>
        <v/>
      </c>
      <c r="Q277" t="str">
        <f>IF(OR('Base Encuesta'!X251="",IFERROR(VALUE(LEFT('Base Encuesta'!K251,1)),"")&gt;=3),"",VALUE(LEFT('Base Encuesta'!X251,1)))</f>
        <v/>
      </c>
      <c r="R277" t="str">
        <f>IF(OR('Base Encuesta'!Y251="",IFERROR(VALUE(LEFT('Base Encuesta'!K251,1)),"")&gt;=3),"",VALUE(LEFT('Base Encuesta'!Y251,1)))</f>
        <v/>
      </c>
      <c r="S277" t="str">
        <f>IF(OR('Base Encuesta'!Z251="",IFERROR(VALUE(LEFT('Base Encuesta'!K251,1)),"")&gt;=3),"",VALUE(LEFT('Base Encuesta'!Z251,1)))</f>
        <v/>
      </c>
      <c r="T277" t="str">
        <f>IF(OR('Base Encuesta'!AA251="",IFERROR(VALUE(LEFT('Base Encuesta'!K251,1)),"")&gt;=3),"",VALUE(LEFT('Base Encuesta'!AA251,1)))</f>
        <v/>
      </c>
      <c r="U277" t="str">
        <f>IF(OR('Base Encuesta'!AB251="",IFERROR(VALUE(LEFT('Base Encuesta'!K251,1)),"")&gt;=3),"",VALUE(LEFT('Base Encuesta'!AB251,1)))</f>
        <v/>
      </c>
      <c r="V277" t="str">
        <f>IF(OR('Base Encuesta'!AC251="",IFERROR(VALUE(LEFT('Base Encuesta'!K251,1)),"")&gt;=3),"",VALUE(LEFT('Base Encuesta'!AC251,1)))</f>
        <v/>
      </c>
      <c r="W277" t="str">
        <f>IF(OR('Base Encuesta'!AE251="",IFERROR(VALUE(LEFT('Base Encuesta'!K251,1)),"")&gt;=3),"",VALUE(LEFT('Base Encuesta'!AE251,1)))</f>
        <v/>
      </c>
      <c r="X277" t="str">
        <f>IF(OR('Base Encuesta'!AF251="",IFERROR(VALUE(LEFT('Base Encuesta'!K251,1)),"")&gt;=3),"",IF(W277=1,VALUE(LEFT('Base Encuesta'!AF251,1)),""))</f>
        <v/>
      </c>
      <c r="Y277" t="str">
        <f>IF(OR('Base Encuesta'!AG251="",IFERROR(VALUE(LEFT('Base Encuesta'!K251,1)),"")&gt;=3),"",IF(W277=1,VALUE(LEFT('Base Encuesta'!AG251,1)),""))</f>
        <v/>
      </c>
      <c r="Z277" t="str">
        <f>IF(OR('Base Encuesta'!AH251="",IFERROR(VALUE(LEFT('Base Encuesta'!K251,1)),"")&gt;=3),"",IF(W277=1,VALUE(LEFT('Base Encuesta'!AH251,1)),""))</f>
        <v/>
      </c>
      <c r="AA277" t="str">
        <f>IF(OR('Base Encuesta'!AI251="",IFERROR(VALUE(LEFT('Base Encuesta'!K251,1)),"")&gt;=3),"",IF(W277=1,VALUE(LEFT('Base Encuesta'!AI251,1)),""))</f>
        <v/>
      </c>
      <c r="AB277" t="str">
        <f>IF(OR('Base Encuesta'!AJ251="",IFERROR(VALUE(LEFT('Base Encuesta'!K251,1)),"")&gt;=3),"",IF(W277=1,VALUE(LEFT('Base Encuesta'!AJ251,1)),""))</f>
        <v/>
      </c>
      <c r="AC277" t="str">
        <f>IF(OR('Base Encuesta'!AL251="",IFERROR(VALUE(LEFT('Base Encuesta'!K251,1)),"")&gt;=3),"",VALUE(LEFT('Base Encuesta'!AL251,1)))</f>
        <v/>
      </c>
      <c r="AD277" t="str">
        <f>IF(OR('Base Encuesta'!AM251="",IFERROR(VALUE(LEFT('Base Encuesta'!K251,1)),"")&gt;=3),"",VALUE(LEFT('Base Encuesta'!AM251,1)))</f>
        <v/>
      </c>
      <c r="AE277" t="str">
        <f>IF(OR('Base Encuesta'!AN251="",IFERROR(VALUE(LEFT('Base Encuesta'!K251,1)),"")&gt;=3),"",VALUE(LEFT('Base Encuesta'!AN251,1)))</f>
        <v/>
      </c>
      <c r="AF277" t="str">
        <f>IF(OR('Base Encuesta'!AO251="",IFERROR(VALUE(LEFT('Base Encuesta'!K251,1)),"")&gt;=3),"",VALUE(LEFT('Base Encuesta'!AO251,1)))</f>
        <v/>
      </c>
      <c r="AG277" t="str">
        <f>IF(OR('Base Encuesta'!AQ251="",IFERROR(VALUE(LEFT('Base Encuesta'!K251,1)),"")&gt;=3),"",VALUE(LEFT('Base Encuesta'!AQ251,1)))</f>
        <v/>
      </c>
      <c r="AH277" t="str">
        <f>IF(OR('Base Encuesta'!AR251="",IFERROR(VALUE(LEFT('Base Encuesta'!K251,1)),"")&gt;=3),"",VALUE(LEFT('Base Encuesta'!AR251,1)))</f>
        <v/>
      </c>
    </row>
    <row r="278" spans="1:34">
      <c r="A278" t="str">
        <f>IF('Base Encuesta'!C252="","",'Base Encuesta'!C252)</f>
        <v/>
      </c>
      <c r="B278" t="str">
        <f>IF('Base Encuesta'!D252="","",'Base Encuesta'!D252)</f>
        <v/>
      </c>
      <c r="C278" t="str">
        <f>IF('Base Encuesta'!E252="","",'Base Encuesta'!E252)</f>
        <v/>
      </c>
      <c r="D278" t="str">
        <f>IF('Base Encuesta'!F252="","",'Base Encuesta'!F252)</f>
        <v/>
      </c>
      <c r="E278" t="str">
        <f>IF('Base Encuesta'!G252="","",'Base Encuesta'!G252)</f>
        <v/>
      </c>
      <c r="F278" t="str">
        <f>IF('Base Encuesta'!H252="","",'Base Encuesta'!H252)</f>
        <v/>
      </c>
      <c r="G278" t="str">
        <f>IF('Base Encuesta'!I252="","",'Base Encuesta'!I252)</f>
        <v/>
      </c>
      <c r="H278" t="str">
        <f>IF('Base Encuesta'!J252="","",'Base Encuesta'!J252)</f>
        <v/>
      </c>
      <c r="I278" t="str">
        <f>IF('Base Encuesta'!K252="","",'Base Encuesta'!K252)</f>
        <v/>
      </c>
      <c r="J278" t="str">
        <f>IF(OR('Base Encuesta'!P252="",IFERROR(VALUE(LEFT('Base Encuesta'!K252,1)),"")&gt;=3),"",PROPER(TRIM('Base Encuesta'!P252)))</f>
        <v/>
      </c>
      <c r="K278" t="str">
        <f>IF(OR('Base Encuesta'!Q252="",IFERROR(VALUE(LEFT('Base Encuesta'!K252,1)),"")&gt;=3),"",'Base Encuesta'!Q252)</f>
        <v/>
      </c>
      <c r="L278" t="str">
        <f>IF(OR('Base Encuesta'!R252="",IFERROR(VALUE(LEFT('Base Encuesta'!K252,1)),"")&gt;=3),"",VALUE(LEFT('Base Encuesta'!R252,1)))</f>
        <v/>
      </c>
      <c r="M278" t="str">
        <f>IF(OR('Base Encuesta'!S252="",IFERROR(VALUE(LEFT('Base Encuesta'!K252,1)),"")&gt;=3),"",VALUE(LEFT('Base Encuesta'!S252,1)))</f>
        <v/>
      </c>
      <c r="N278" t="str">
        <f>IF(OR('Base Encuesta'!T252="",IFERROR(VALUE(LEFT('Base Encuesta'!K252,1)),"")&gt;=3),"",VALUE(LEFT('Base Encuesta'!T252,1)))</f>
        <v/>
      </c>
      <c r="O278" t="str">
        <f>IF(OR('Base Encuesta'!V252="",IFERROR(VALUE(LEFT('Base Encuesta'!K252,1)),"")&gt;=3),"",VALUE(LEFT('Base Encuesta'!V252,1)))</f>
        <v/>
      </c>
      <c r="P278" t="str">
        <f>IF(OR('Base Encuesta'!W252="",IFERROR(VALUE(LEFT('Base Encuesta'!K252,1)),"")&gt;=3),"",VALUE(LEFT('Base Encuesta'!W252,1)))</f>
        <v/>
      </c>
      <c r="Q278" t="str">
        <f>IF(OR('Base Encuesta'!X252="",IFERROR(VALUE(LEFT('Base Encuesta'!K252,1)),"")&gt;=3),"",VALUE(LEFT('Base Encuesta'!X252,1)))</f>
        <v/>
      </c>
      <c r="R278" t="str">
        <f>IF(OR('Base Encuesta'!Y252="",IFERROR(VALUE(LEFT('Base Encuesta'!K252,1)),"")&gt;=3),"",VALUE(LEFT('Base Encuesta'!Y252,1)))</f>
        <v/>
      </c>
      <c r="S278" t="str">
        <f>IF(OR('Base Encuesta'!Z252="",IFERROR(VALUE(LEFT('Base Encuesta'!K252,1)),"")&gt;=3),"",VALUE(LEFT('Base Encuesta'!Z252,1)))</f>
        <v/>
      </c>
      <c r="T278" t="str">
        <f>IF(OR('Base Encuesta'!AA252="",IFERROR(VALUE(LEFT('Base Encuesta'!K252,1)),"")&gt;=3),"",VALUE(LEFT('Base Encuesta'!AA252,1)))</f>
        <v/>
      </c>
      <c r="U278" t="str">
        <f>IF(OR('Base Encuesta'!AB252="",IFERROR(VALUE(LEFT('Base Encuesta'!K252,1)),"")&gt;=3),"",VALUE(LEFT('Base Encuesta'!AB252,1)))</f>
        <v/>
      </c>
      <c r="V278" t="str">
        <f>IF(OR('Base Encuesta'!AC252="",IFERROR(VALUE(LEFT('Base Encuesta'!K252,1)),"")&gt;=3),"",VALUE(LEFT('Base Encuesta'!AC252,1)))</f>
        <v/>
      </c>
      <c r="W278" t="str">
        <f>IF(OR('Base Encuesta'!AE252="",IFERROR(VALUE(LEFT('Base Encuesta'!K252,1)),"")&gt;=3),"",VALUE(LEFT('Base Encuesta'!AE252,1)))</f>
        <v/>
      </c>
      <c r="X278" t="str">
        <f>IF(OR('Base Encuesta'!AF252="",IFERROR(VALUE(LEFT('Base Encuesta'!K252,1)),"")&gt;=3),"",IF(W278=1,VALUE(LEFT('Base Encuesta'!AF252,1)),""))</f>
        <v/>
      </c>
      <c r="Y278" t="str">
        <f>IF(OR('Base Encuesta'!AG252="",IFERROR(VALUE(LEFT('Base Encuesta'!K252,1)),"")&gt;=3),"",IF(W278=1,VALUE(LEFT('Base Encuesta'!AG252,1)),""))</f>
        <v/>
      </c>
      <c r="Z278" t="str">
        <f>IF(OR('Base Encuesta'!AH252="",IFERROR(VALUE(LEFT('Base Encuesta'!K252,1)),"")&gt;=3),"",IF(W278=1,VALUE(LEFT('Base Encuesta'!AH252,1)),""))</f>
        <v/>
      </c>
      <c r="AA278" t="str">
        <f>IF(OR('Base Encuesta'!AI252="",IFERROR(VALUE(LEFT('Base Encuesta'!K252,1)),"")&gt;=3),"",IF(W278=1,VALUE(LEFT('Base Encuesta'!AI252,1)),""))</f>
        <v/>
      </c>
      <c r="AB278" t="str">
        <f>IF(OR('Base Encuesta'!AJ252="",IFERROR(VALUE(LEFT('Base Encuesta'!K252,1)),"")&gt;=3),"",IF(W278=1,VALUE(LEFT('Base Encuesta'!AJ252,1)),""))</f>
        <v/>
      </c>
      <c r="AC278" t="str">
        <f>IF(OR('Base Encuesta'!AL252="",IFERROR(VALUE(LEFT('Base Encuesta'!K252,1)),"")&gt;=3),"",VALUE(LEFT('Base Encuesta'!AL252,1)))</f>
        <v/>
      </c>
      <c r="AD278" t="str">
        <f>IF(OR('Base Encuesta'!AM252="",IFERROR(VALUE(LEFT('Base Encuesta'!K252,1)),"")&gt;=3),"",VALUE(LEFT('Base Encuesta'!AM252,1)))</f>
        <v/>
      </c>
      <c r="AE278" t="str">
        <f>IF(OR('Base Encuesta'!AN252="",IFERROR(VALUE(LEFT('Base Encuesta'!K252,1)),"")&gt;=3),"",VALUE(LEFT('Base Encuesta'!AN252,1)))</f>
        <v/>
      </c>
      <c r="AF278" t="str">
        <f>IF(OR('Base Encuesta'!AO252="",IFERROR(VALUE(LEFT('Base Encuesta'!K252,1)),"")&gt;=3),"",VALUE(LEFT('Base Encuesta'!AO252,1)))</f>
        <v/>
      </c>
      <c r="AG278" t="str">
        <f>IF(OR('Base Encuesta'!AQ252="",IFERROR(VALUE(LEFT('Base Encuesta'!K252,1)),"")&gt;=3),"",VALUE(LEFT('Base Encuesta'!AQ252,1)))</f>
        <v/>
      </c>
      <c r="AH278" t="str">
        <f>IF(OR('Base Encuesta'!AR252="",IFERROR(VALUE(LEFT('Base Encuesta'!K252,1)),"")&gt;=3),"",VALUE(LEFT('Base Encuesta'!AR252,1)))</f>
        <v/>
      </c>
    </row>
    <row r="279" spans="1:34">
      <c r="A279" t="str">
        <f>IF('Base Encuesta'!C253="","",'Base Encuesta'!C253)</f>
        <v/>
      </c>
      <c r="B279" t="str">
        <f>IF('Base Encuesta'!D253="","",'Base Encuesta'!D253)</f>
        <v/>
      </c>
      <c r="C279" t="str">
        <f>IF('Base Encuesta'!E253="","",'Base Encuesta'!E253)</f>
        <v/>
      </c>
      <c r="D279" t="str">
        <f>IF('Base Encuesta'!F253="","",'Base Encuesta'!F253)</f>
        <v/>
      </c>
      <c r="E279" t="str">
        <f>IF('Base Encuesta'!G253="","",'Base Encuesta'!G253)</f>
        <v/>
      </c>
      <c r="F279" t="str">
        <f>IF('Base Encuesta'!H253="","",'Base Encuesta'!H253)</f>
        <v/>
      </c>
      <c r="G279" t="str">
        <f>IF('Base Encuesta'!I253="","",'Base Encuesta'!I253)</f>
        <v/>
      </c>
      <c r="H279" t="str">
        <f>IF('Base Encuesta'!J253="","",'Base Encuesta'!J253)</f>
        <v/>
      </c>
      <c r="I279" t="str">
        <f>IF('Base Encuesta'!K253="","",'Base Encuesta'!K253)</f>
        <v/>
      </c>
      <c r="J279" t="str">
        <f>IF(OR('Base Encuesta'!P253="",IFERROR(VALUE(LEFT('Base Encuesta'!K253,1)),"")&gt;=3),"",PROPER(TRIM('Base Encuesta'!P253)))</f>
        <v/>
      </c>
      <c r="K279" t="str">
        <f>IF(OR('Base Encuesta'!Q253="",IFERROR(VALUE(LEFT('Base Encuesta'!K253,1)),"")&gt;=3),"",'Base Encuesta'!Q253)</f>
        <v/>
      </c>
      <c r="L279" t="str">
        <f>IF(OR('Base Encuesta'!R253="",IFERROR(VALUE(LEFT('Base Encuesta'!K253,1)),"")&gt;=3),"",VALUE(LEFT('Base Encuesta'!R253,1)))</f>
        <v/>
      </c>
      <c r="M279" t="str">
        <f>IF(OR('Base Encuesta'!S253="",IFERROR(VALUE(LEFT('Base Encuesta'!K253,1)),"")&gt;=3),"",VALUE(LEFT('Base Encuesta'!S253,1)))</f>
        <v/>
      </c>
      <c r="N279" t="str">
        <f>IF(OR('Base Encuesta'!T253="",IFERROR(VALUE(LEFT('Base Encuesta'!K253,1)),"")&gt;=3),"",VALUE(LEFT('Base Encuesta'!T253,1)))</f>
        <v/>
      </c>
      <c r="O279" t="str">
        <f>IF(OR('Base Encuesta'!V253="",IFERROR(VALUE(LEFT('Base Encuesta'!K253,1)),"")&gt;=3),"",VALUE(LEFT('Base Encuesta'!V253,1)))</f>
        <v/>
      </c>
      <c r="P279" t="str">
        <f>IF(OR('Base Encuesta'!W253="",IFERROR(VALUE(LEFT('Base Encuesta'!K253,1)),"")&gt;=3),"",VALUE(LEFT('Base Encuesta'!W253,1)))</f>
        <v/>
      </c>
      <c r="Q279" t="str">
        <f>IF(OR('Base Encuesta'!X253="",IFERROR(VALUE(LEFT('Base Encuesta'!K253,1)),"")&gt;=3),"",VALUE(LEFT('Base Encuesta'!X253,1)))</f>
        <v/>
      </c>
      <c r="R279" t="str">
        <f>IF(OR('Base Encuesta'!Y253="",IFERROR(VALUE(LEFT('Base Encuesta'!K253,1)),"")&gt;=3),"",VALUE(LEFT('Base Encuesta'!Y253,1)))</f>
        <v/>
      </c>
      <c r="S279" t="str">
        <f>IF(OR('Base Encuesta'!Z253="",IFERROR(VALUE(LEFT('Base Encuesta'!K253,1)),"")&gt;=3),"",VALUE(LEFT('Base Encuesta'!Z253,1)))</f>
        <v/>
      </c>
      <c r="T279" t="str">
        <f>IF(OR('Base Encuesta'!AA253="",IFERROR(VALUE(LEFT('Base Encuesta'!K253,1)),"")&gt;=3),"",VALUE(LEFT('Base Encuesta'!AA253,1)))</f>
        <v/>
      </c>
      <c r="U279" t="str">
        <f>IF(OR('Base Encuesta'!AB253="",IFERROR(VALUE(LEFT('Base Encuesta'!K253,1)),"")&gt;=3),"",VALUE(LEFT('Base Encuesta'!AB253,1)))</f>
        <v/>
      </c>
      <c r="V279" t="str">
        <f>IF(OR('Base Encuesta'!AC253="",IFERROR(VALUE(LEFT('Base Encuesta'!K253,1)),"")&gt;=3),"",VALUE(LEFT('Base Encuesta'!AC253,1)))</f>
        <v/>
      </c>
      <c r="W279" t="str">
        <f>IF(OR('Base Encuesta'!AE253="",IFERROR(VALUE(LEFT('Base Encuesta'!K253,1)),"")&gt;=3),"",VALUE(LEFT('Base Encuesta'!AE253,1)))</f>
        <v/>
      </c>
      <c r="X279" t="str">
        <f>IF(OR('Base Encuesta'!AF253="",IFERROR(VALUE(LEFT('Base Encuesta'!K253,1)),"")&gt;=3),"",IF(W279=1,VALUE(LEFT('Base Encuesta'!AF253,1)),""))</f>
        <v/>
      </c>
      <c r="Y279" t="str">
        <f>IF(OR('Base Encuesta'!AG253="",IFERROR(VALUE(LEFT('Base Encuesta'!K253,1)),"")&gt;=3),"",IF(W279=1,VALUE(LEFT('Base Encuesta'!AG253,1)),""))</f>
        <v/>
      </c>
      <c r="Z279" t="str">
        <f>IF(OR('Base Encuesta'!AH253="",IFERROR(VALUE(LEFT('Base Encuesta'!K253,1)),"")&gt;=3),"",IF(W279=1,VALUE(LEFT('Base Encuesta'!AH253,1)),""))</f>
        <v/>
      </c>
      <c r="AA279" t="str">
        <f>IF(OR('Base Encuesta'!AI253="",IFERROR(VALUE(LEFT('Base Encuesta'!K253,1)),"")&gt;=3),"",IF(W279=1,VALUE(LEFT('Base Encuesta'!AI253,1)),""))</f>
        <v/>
      </c>
      <c r="AB279" t="str">
        <f>IF(OR('Base Encuesta'!AJ253="",IFERROR(VALUE(LEFT('Base Encuesta'!K253,1)),"")&gt;=3),"",IF(W279=1,VALUE(LEFT('Base Encuesta'!AJ253,1)),""))</f>
        <v/>
      </c>
      <c r="AC279" t="str">
        <f>IF(OR('Base Encuesta'!AL253="",IFERROR(VALUE(LEFT('Base Encuesta'!K253,1)),"")&gt;=3),"",VALUE(LEFT('Base Encuesta'!AL253,1)))</f>
        <v/>
      </c>
      <c r="AD279" t="str">
        <f>IF(OR('Base Encuesta'!AM253="",IFERROR(VALUE(LEFT('Base Encuesta'!K253,1)),"")&gt;=3),"",VALUE(LEFT('Base Encuesta'!AM253,1)))</f>
        <v/>
      </c>
      <c r="AE279" t="str">
        <f>IF(OR('Base Encuesta'!AN253="",IFERROR(VALUE(LEFT('Base Encuesta'!K253,1)),"")&gt;=3),"",VALUE(LEFT('Base Encuesta'!AN253,1)))</f>
        <v/>
      </c>
      <c r="AF279" t="str">
        <f>IF(OR('Base Encuesta'!AO253="",IFERROR(VALUE(LEFT('Base Encuesta'!K253,1)),"")&gt;=3),"",VALUE(LEFT('Base Encuesta'!AO253,1)))</f>
        <v/>
      </c>
      <c r="AG279" t="str">
        <f>IF(OR('Base Encuesta'!AQ253="",IFERROR(VALUE(LEFT('Base Encuesta'!K253,1)),"")&gt;=3),"",VALUE(LEFT('Base Encuesta'!AQ253,1)))</f>
        <v/>
      </c>
      <c r="AH279" t="str">
        <f>IF(OR('Base Encuesta'!AR253="",IFERROR(VALUE(LEFT('Base Encuesta'!K253,1)),"")&gt;=3),"",VALUE(LEFT('Base Encuesta'!AR253,1)))</f>
        <v/>
      </c>
    </row>
    <row r="280" spans="1:34">
      <c r="A280" t="str">
        <f>IF('Base Encuesta'!C254="","",'Base Encuesta'!C254)</f>
        <v/>
      </c>
      <c r="B280" t="str">
        <f>IF('Base Encuesta'!D254="","",'Base Encuesta'!D254)</f>
        <v/>
      </c>
      <c r="C280" t="str">
        <f>IF('Base Encuesta'!E254="","",'Base Encuesta'!E254)</f>
        <v/>
      </c>
      <c r="D280" t="str">
        <f>IF('Base Encuesta'!F254="","",'Base Encuesta'!F254)</f>
        <v/>
      </c>
      <c r="E280" t="str">
        <f>IF('Base Encuesta'!G254="","",'Base Encuesta'!G254)</f>
        <v/>
      </c>
      <c r="F280" t="str">
        <f>IF('Base Encuesta'!H254="","",'Base Encuesta'!H254)</f>
        <v/>
      </c>
      <c r="G280" t="str">
        <f>IF('Base Encuesta'!I254="","",'Base Encuesta'!I254)</f>
        <v/>
      </c>
      <c r="H280" t="str">
        <f>IF('Base Encuesta'!J254="","",'Base Encuesta'!J254)</f>
        <v/>
      </c>
      <c r="I280" t="str">
        <f>IF('Base Encuesta'!K254="","",'Base Encuesta'!K254)</f>
        <v/>
      </c>
      <c r="J280" t="str">
        <f>IF(OR('Base Encuesta'!P254="",IFERROR(VALUE(LEFT('Base Encuesta'!K254,1)),"")&gt;=3),"",PROPER(TRIM('Base Encuesta'!P254)))</f>
        <v/>
      </c>
      <c r="K280" t="str">
        <f>IF(OR('Base Encuesta'!Q254="",IFERROR(VALUE(LEFT('Base Encuesta'!K254,1)),"")&gt;=3),"",'Base Encuesta'!Q254)</f>
        <v/>
      </c>
      <c r="L280" t="str">
        <f>IF(OR('Base Encuesta'!R254="",IFERROR(VALUE(LEFT('Base Encuesta'!K254,1)),"")&gt;=3),"",VALUE(LEFT('Base Encuesta'!R254,1)))</f>
        <v/>
      </c>
      <c r="M280" t="str">
        <f>IF(OR('Base Encuesta'!S254="",IFERROR(VALUE(LEFT('Base Encuesta'!K254,1)),"")&gt;=3),"",VALUE(LEFT('Base Encuesta'!S254,1)))</f>
        <v/>
      </c>
      <c r="N280" t="str">
        <f>IF(OR('Base Encuesta'!T254="",IFERROR(VALUE(LEFT('Base Encuesta'!K254,1)),"")&gt;=3),"",VALUE(LEFT('Base Encuesta'!T254,1)))</f>
        <v/>
      </c>
      <c r="O280" t="str">
        <f>IF(OR('Base Encuesta'!V254="",IFERROR(VALUE(LEFT('Base Encuesta'!K254,1)),"")&gt;=3),"",VALUE(LEFT('Base Encuesta'!V254,1)))</f>
        <v/>
      </c>
      <c r="P280" t="str">
        <f>IF(OR('Base Encuesta'!W254="",IFERROR(VALUE(LEFT('Base Encuesta'!K254,1)),"")&gt;=3),"",VALUE(LEFT('Base Encuesta'!W254,1)))</f>
        <v/>
      </c>
      <c r="Q280" t="str">
        <f>IF(OR('Base Encuesta'!X254="",IFERROR(VALUE(LEFT('Base Encuesta'!K254,1)),"")&gt;=3),"",VALUE(LEFT('Base Encuesta'!X254,1)))</f>
        <v/>
      </c>
      <c r="R280" t="str">
        <f>IF(OR('Base Encuesta'!Y254="",IFERROR(VALUE(LEFT('Base Encuesta'!K254,1)),"")&gt;=3),"",VALUE(LEFT('Base Encuesta'!Y254,1)))</f>
        <v/>
      </c>
      <c r="S280" t="str">
        <f>IF(OR('Base Encuesta'!Z254="",IFERROR(VALUE(LEFT('Base Encuesta'!K254,1)),"")&gt;=3),"",VALUE(LEFT('Base Encuesta'!Z254,1)))</f>
        <v/>
      </c>
      <c r="T280" t="str">
        <f>IF(OR('Base Encuesta'!AA254="",IFERROR(VALUE(LEFT('Base Encuesta'!K254,1)),"")&gt;=3),"",VALUE(LEFT('Base Encuesta'!AA254,1)))</f>
        <v/>
      </c>
      <c r="U280" t="str">
        <f>IF(OR('Base Encuesta'!AB254="",IFERROR(VALUE(LEFT('Base Encuesta'!K254,1)),"")&gt;=3),"",VALUE(LEFT('Base Encuesta'!AB254,1)))</f>
        <v/>
      </c>
      <c r="V280" t="str">
        <f>IF(OR('Base Encuesta'!AC254="",IFERROR(VALUE(LEFT('Base Encuesta'!K254,1)),"")&gt;=3),"",VALUE(LEFT('Base Encuesta'!AC254,1)))</f>
        <v/>
      </c>
      <c r="W280" t="str">
        <f>IF(OR('Base Encuesta'!AE254="",IFERROR(VALUE(LEFT('Base Encuesta'!K254,1)),"")&gt;=3),"",VALUE(LEFT('Base Encuesta'!AE254,1)))</f>
        <v/>
      </c>
      <c r="X280" t="str">
        <f>IF(OR('Base Encuesta'!AF254="",IFERROR(VALUE(LEFT('Base Encuesta'!K254,1)),"")&gt;=3),"",IF(W280=1,VALUE(LEFT('Base Encuesta'!AF254,1)),""))</f>
        <v/>
      </c>
      <c r="Y280" t="str">
        <f>IF(OR('Base Encuesta'!AG254="",IFERROR(VALUE(LEFT('Base Encuesta'!K254,1)),"")&gt;=3),"",IF(W280=1,VALUE(LEFT('Base Encuesta'!AG254,1)),""))</f>
        <v/>
      </c>
      <c r="Z280" t="str">
        <f>IF(OR('Base Encuesta'!AH254="",IFERROR(VALUE(LEFT('Base Encuesta'!K254,1)),"")&gt;=3),"",IF(W280=1,VALUE(LEFT('Base Encuesta'!AH254,1)),""))</f>
        <v/>
      </c>
      <c r="AA280" t="str">
        <f>IF(OR('Base Encuesta'!AI254="",IFERROR(VALUE(LEFT('Base Encuesta'!K254,1)),"")&gt;=3),"",IF(W280=1,VALUE(LEFT('Base Encuesta'!AI254,1)),""))</f>
        <v/>
      </c>
      <c r="AB280" t="str">
        <f>IF(OR('Base Encuesta'!AJ254="",IFERROR(VALUE(LEFT('Base Encuesta'!K254,1)),"")&gt;=3),"",IF(W280=1,VALUE(LEFT('Base Encuesta'!AJ254,1)),""))</f>
        <v/>
      </c>
      <c r="AC280" t="str">
        <f>IF(OR('Base Encuesta'!AL254="",IFERROR(VALUE(LEFT('Base Encuesta'!K254,1)),"")&gt;=3),"",VALUE(LEFT('Base Encuesta'!AL254,1)))</f>
        <v/>
      </c>
      <c r="AD280" t="str">
        <f>IF(OR('Base Encuesta'!AM254="",IFERROR(VALUE(LEFT('Base Encuesta'!K254,1)),"")&gt;=3),"",VALUE(LEFT('Base Encuesta'!AM254,1)))</f>
        <v/>
      </c>
      <c r="AE280" t="str">
        <f>IF(OR('Base Encuesta'!AN254="",IFERROR(VALUE(LEFT('Base Encuesta'!K254,1)),"")&gt;=3),"",VALUE(LEFT('Base Encuesta'!AN254,1)))</f>
        <v/>
      </c>
      <c r="AF280" t="str">
        <f>IF(OR('Base Encuesta'!AO254="",IFERROR(VALUE(LEFT('Base Encuesta'!K254,1)),"")&gt;=3),"",VALUE(LEFT('Base Encuesta'!AO254,1)))</f>
        <v/>
      </c>
      <c r="AG280" t="str">
        <f>IF(OR('Base Encuesta'!AQ254="",IFERROR(VALUE(LEFT('Base Encuesta'!K254,1)),"")&gt;=3),"",VALUE(LEFT('Base Encuesta'!AQ254,1)))</f>
        <v/>
      </c>
      <c r="AH280" t="str">
        <f>IF(OR('Base Encuesta'!AR254="",IFERROR(VALUE(LEFT('Base Encuesta'!K254,1)),"")&gt;=3),"",VALUE(LEFT('Base Encuesta'!AR254,1)))</f>
        <v/>
      </c>
    </row>
    <row r="281" spans="1:34">
      <c r="A281" t="str">
        <f>IF('Base Encuesta'!C255="","",'Base Encuesta'!C255)</f>
        <v/>
      </c>
      <c r="B281" t="str">
        <f>IF('Base Encuesta'!D255="","",'Base Encuesta'!D255)</f>
        <v/>
      </c>
      <c r="C281" t="str">
        <f>IF('Base Encuesta'!E255="","",'Base Encuesta'!E255)</f>
        <v/>
      </c>
      <c r="D281" t="str">
        <f>IF('Base Encuesta'!F255="","",'Base Encuesta'!F255)</f>
        <v/>
      </c>
      <c r="E281" t="str">
        <f>IF('Base Encuesta'!G255="","",'Base Encuesta'!G255)</f>
        <v/>
      </c>
      <c r="F281" t="str">
        <f>IF('Base Encuesta'!H255="","",'Base Encuesta'!H255)</f>
        <v/>
      </c>
      <c r="G281" t="str">
        <f>IF('Base Encuesta'!I255="","",'Base Encuesta'!I255)</f>
        <v/>
      </c>
      <c r="H281" t="str">
        <f>IF('Base Encuesta'!J255="","",'Base Encuesta'!J255)</f>
        <v/>
      </c>
      <c r="I281" t="str">
        <f>IF('Base Encuesta'!K255="","",'Base Encuesta'!K255)</f>
        <v/>
      </c>
      <c r="J281" t="str">
        <f>IF(OR('Base Encuesta'!P255="",IFERROR(VALUE(LEFT('Base Encuesta'!K255,1)),"")&gt;=3),"",PROPER(TRIM('Base Encuesta'!P255)))</f>
        <v/>
      </c>
      <c r="K281" t="str">
        <f>IF(OR('Base Encuesta'!Q255="",IFERROR(VALUE(LEFT('Base Encuesta'!K255,1)),"")&gt;=3),"",'Base Encuesta'!Q255)</f>
        <v/>
      </c>
      <c r="L281" t="str">
        <f>IF(OR('Base Encuesta'!R255="",IFERROR(VALUE(LEFT('Base Encuesta'!K255,1)),"")&gt;=3),"",VALUE(LEFT('Base Encuesta'!R255,1)))</f>
        <v/>
      </c>
      <c r="M281" t="str">
        <f>IF(OR('Base Encuesta'!S255="",IFERROR(VALUE(LEFT('Base Encuesta'!K255,1)),"")&gt;=3),"",VALUE(LEFT('Base Encuesta'!S255,1)))</f>
        <v/>
      </c>
      <c r="N281" t="str">
        <f>IF(OR('Base Encuesta'!T255="",IFERROR(VALUE(LEFT('Base Encuesta'!K255,1)),"")&gt;=3),"",VALUE(LEFT('Base Encuesta'!T255,1)))</f>
        <v/>
      </c>
      <c r="O281" t="str">
        <f>IF(OR('Base Encuesta'!V255="",IFERROR(VALUE(LEFT('Base Encuesta'!K255,1)),"")&gt;=3),"",VALUE(LEFT('Base Encuesta'!V255,1)))</f>
        <v/>
      </c>
      <c r="P281" t="str">
        <f>IF(OR('Base Encuesta'!W255="",IFERROR(VALUE(LEFT('Base Encuesta'!K255,1)),"")&gt;=3),"",VALUE(LEFT('Base Encuesta'!W255,1)))</f>
        <v/>
      </c>
      <c r="Q281" t="str">
        <f>IF(OR('Base Encuesta'!X255="",IFERROR(VALUE(LEFT('Base Encuesta'!K255,1)),"")&gt;=3),"",VALUE(LEFT('Base Encuesta'!X255,1)))</f>
        <v/>
      </c>
      <c r="R281" t="str">
        <f>IF(OR('Base Encuesta'!Y255="",IFERROR(VALUE(LEFT('Base Encuesta'!K255,1)),"")&gt;=3),"",VALUE(LEFT('Base Encuesta'!Y255,1)))</f>
        <v/>
      </c>
      <c r="S281" t="str">
        <f>IF(OR('Base Encuesta'!Z255="",IFERROR(VALUE(LEFT('Base Encuesta'!K255,1)),"")&gt;=3),"",VALUE(LEFT('Base Encuesta'!Z255,1)))</f>
        <v/>
      </c>
      <c r="T281" t="str">
        <f>IF(OR('Base Encuesta'!AA255="",IFERROR(VALUE(LEFT('Base Encuesta'!K255,1)),"")&gt;=3),"",VALUE(LEFT('Base Encuesta'!AA255,1)))</f>
        <v/>
      </c>
      <c r="U281" t="str">
        <f>IF(OR('Base Encuesta'!AB255="",IFERROR(VALUE(LEFT('Base Encuesta'!K255,1)),"")&gt;=3),"",VALUE(LEFT('Base Encuesta'!AB255,1)))</f>
        <v/>
      </c>
      <c r="V281" t="str">
        <f>IF(OR('Base Encuesta'!AC255="",IFERROR(VALUE(LEFT('Base Encuesta'!K255,1)),"")&gt;=3),"",VALUE(LEFT('Base Encuesta'!AC255,1)))</f>
        <v/>
      </c>
      <c r="W281" t="str">
        <f>IF(OR('Base Encuesta'!AE255="",IFERROR(VALUE(LEFT('Base Encuesta'!K255,1)),"")&gt;=3),"",VALUE(LEFT('Base Encuesta'!AE255,1)))</f>
        <v/>
      </c>
      <c r="X281" t="str">
        <f>IF(OR('Base Encuesta'!AF255="",IFERROR(VALUE(LEFT('Base Encuesta'!K255,1)),"")&gt;=3),"",IF(W281=1,VALUE(LEFT('Base Encuesta'!AF255,1)),""))</f>
        <v/>
      </c>
      <c r="Y281" t="str">
        <f>IF(OR('Base Encuesta'!AG255="",IFERROR(VALUE(LEFT('Base Encuesta'!K255,1)),"")&gt;=3),"",IF(W281=1,VALUE(LEFT('Base Encuesta'!AG255,1)),""))</f>
        <v/>
      </c>
      <c r="Z281" t="str">
        <f>IF(OR('Base Encuesta'!AH255="",IFERROR(VALUE(LEFT('Base Encuesta'!K255,1)),"")&gt;=3),"",IF(W281=1,VALUE(LEFT('Base Encuesta'!AH255,1)),""))</f>
        <v/>
      </c>
      <c r="AA281" t="str">
        <f>IF(OR('Base Encuesta'!AI255="",IFERROR(VALUE(LEFT('Base Encuesta'!K255,1)),"")&gt;=3),"",IF(W281=1,VALUE(LEFT('Base Encuesta'!AI255,1)),""))</f>
        <v/>
      </c>
      <c r="AB281" t="str">
        <f>IF(OR('Base Encuesta'!AJ255="",IFERROR(VALUE(LEFT('Base Encuesta'!K255,1)),"")&gt;=3),"",IF(W281=1,VALUE(LEFT('Base Encuesta'!AJ255,1)),""))</f>
        <v/>
      </c>
      <c r="AC281" t="str">
        <f>IF(OR('Base Encuesta'!AL255="",IFERROR(VALUE(LEFT('Base Encuesta'!K255,1)),"")&gt;=3),"",VALUE(LEFT('Base Encuesta'!AL255,1)))</f>
        <v/>
      </c>
      <c r="AD281" t="str">
        <f>IF(OR('Base Encuesta'!AM255="",IFERROR(VALUE(LEFT('Base Encuesta'!K255,1)),"")&gt;=3),"",VALUE(LEFT('Base Encuesta'!AM255,1)))</f>
        <v/>
      </c>
      <c r="AE281" t="str">
        <f>IF(OR('Base Encuesta'!AN255="",IFERROR(VALUE(LEFT('Base Encuesta'!K255,1)),"")&gt;=3),"",VALUE(LEFT('Base Encuesta'!AN255,1)))</f>
        <v/>
      </c>
      <c r="AF281" t="str">
        <f>IF(OR('Base Encuesta'!AO255="",IFERROR(VALUE(LEFT('Base Encuesta'!K255,1)),"")&gt;=3),"",VALUE(LEFT('Base Encuesta'!AO255,1)))</f>
        <v/>
      </c>
      <c r="AG281" t="str">
        <f>IF(OR('Base Encuesta'!AQ255="",IFERROR(VALUE(LEFT('Base Encuesta'!K255,1)),"")&gt;=3),"",VALUE(LEFT('Base Encuesta'!AQ255,1)))</f>
        <v/>
      </c>
      <c r="AH281" t="str">
        <f>IF(OR('Base Encuesta'!AR255="",IFERROR(VALUE(LEFT('Base Encuesta'!K255,1)),"")&gt;=3),"",VALUE(LEFT('Base Encuesta'!AR255,1)))</f>
        <v/>
      </c>
    </row>
    <row r="282" spans="1:34">
      <c r="A282" t="str">
        <f>IF('Base Encuesta'!C256="","",'Base Encuesta'!C256)</f>
        <v/>
      </c>
      <c r="B282" t="str">
        <f>IF('Base Encuesta'!D256="","",'Base Encuesta'!D256)</f>
        <v/>
      </c>
      <c r="C282" t="str">
        <f>IF('Base Encuesta'!E256="","",'Base Encuesta'!E256)</f>
        <v/>
      </c>
      <c r="D282" t="str">
        <f>IF('Base Encuesta'!F256="","",'Base Encuesta'!F256)</f>
        <v/>
      </c>
      <c r="E282" t="str">
        <f>IF('Base Encuesta'!G256="","",'Base Encuesta'!G256)</f>
        <v/>
      </c>
      <c r="F282" t="str">
        <f>IF('Base Encuesta'!H256="","",'Base Encuesta'!H256)</f>
        <v/>
      </c>
      <c r="G282" t="str">
        <f>IF('Base Encuesta'!I256="","",'Base Encuesta'!I256)</f>
        <v/>
      </c>
      <c r="H282" t="str">
        <f>IF('Base Encuesta'!J256="","",'Base Encuesta'!J256)</f>
        <v/>
      </c>
      <c r="I282" t="str">
        <f>IF('Base Encuesta'!K256="","",'Base Encuesta'!K256)</f>
        <v/>
      </c>
      <c r="J282" t="str">
        <f>IF(OR('Base Encuesta'!P256="",IFERROR(VALUE(LEFT('Base Encuesta'!K256,1)),"")&gt;=3),"",PROPER(TRIM('Base Encuesta'!P256)))</f>
        <v/>
      </c>
      <c r="K282" t="str">
        <f>IF(OR('Base Encuesta'!Q256="",IFERROR(VALUE(LEFT('Base Encuesta'!K256,1)),"")&gt;=3),"",'Base Encuesta'!Q256)</f>
        <v/>
      </c>
      <c r="L282" t="str">
        <f>IF(OR('Base Encuesta'!R256="",IFERROR(VALUE(LEFT('Base Encuesta'!K256,1)),"")&gt;=3),"",VALUE(LEFT('Base Encuesta'!R256,1)))</f>
        <v/>
      </c>
      <c r="M282" t="str">
        <f>IF(OR('Base Encuesta'!S256="",IFERROR(VALUE(LEFT('Base Encuesta'!K256,1)),"")&gt;=3),"",VALUE(LEFT('Base Encuesta'!S256,1)))</f>
        <v/>
      </c>
      <c r="N282" t="str">
        <f>IF(OR('Base Encuesta'!T256="",IFERROR(VALUE(LEFT('Base Encuesta'!K256,1)),"")&gt;=3),"",VALUE(LEFT('Base Encuesta'!T256,1)))</f>
        <v/>
      </c>
      <c r="O282" t="str">
        <f>IF(OR('Base Encuesta'!V256="",IFERROR(VALUE(LEFT('Base Encuesta'!K256,1)),"")&gt;=3),"",VALUE(LEFT('Base Encuesta'!V256,1)))</f>
        <v/>
      </c>
      <c r="P282" t="str">
        <f>IF(OR('Base Encuesta'!W256="",IFERROR(VALUE(LEFT('Base Encuesta'!K256,1)),"")&gt;=3),"",VALUE(LEFT('Base Encuesta'!W256,1)))</f>
        <v/>
      </c>
      <c r="Q282" t="str">
        <f>IF(OR('Base Encuesta'!X256="",IFERROR(VALUE(LEFT('Base Encuesta'!K256,1)),"")&gt;=3),"",VALUE(LEFT('Base Encuesta'!X256,1)))</f>
        <v/>
      </c>
      <c r="R282" t="str">
        <f>IF(OR('Base Encuesta'!Y256="",IFERROR(VALUE(LEFT('Base Encuesta'!K256,1)),"")&gt;=3),"",VALUE(LEFT('Base Encuesta'!Y256,1)))</f>
        <v/>
      </c>
      <c r="S282" t="str">
        <f>IF(OR('Base Encuesta'!Z256="",IFERROR(VALUE(LEFT('Base Encuesta'!K256,1)),"")&gt;=3),"",VALUE(LEFT('Base Encuesta'!Z256,1)))</f>
        <v/>
      </c>
      <c r="T282" t="str">
        <f>IF(OR('Base Encuesta'!AA256="",IFERROR(VALUE(LEFT('Base Encuesta'!K256,1)),"")&gt;=3),"",VALUE(LEFT('Base Encuesta'!AA256,1)))</f>
        <v/>
      </c>
      <c r="U282" t="str">
        <f>IF(OR('Base Encuesta'!AB256="",IFERROR(VALUE(LEFT('Base Encuesta'!K256,1)),"")&gt;=3),"",VALUE(LEFT('Base Encuesta'!AB256,1)))</f>
        <v/>
      </c>
      <c r="V282" t="str">
        <f>IF(OR('Base Encuesta'!AC256="",IFERROR(VALUE(LEFT('Base Encuesta'!K256,1)),"")&gt;=3),"",VALUE(LEFT('Base Encuesta'!AC256,1)))</f>
        <v/>
      </c>
      <c r="W282" t="str">
        <f>IF(OR('Base Encuesta'!AE256="",IFERROR(VALUE(LEFT('Base Encuesta'!K256,1)),"")&gt;=3),"",VALUE(LEFT('Base Encuesta'!AE256,1)))</f>
        <v/>
      </c>
      <c r="X282" t="str">
        <f>IF(OR('Base Encuesta'!AF256="",IFERROR(VALUE(LEFT('Base Encuesta'!K256,1)),"")&gt;=3),"",IF(W282=1,VALUE(LEFT('Base Encuesta'!AF256,1)),""))</f>
        <v/>
      </c>
      <c r="Y282" t="str">
        <f>IF(OR('Base Encuesta'!AG256="",IFERROR(VALUE(LEFT('Base Encuesta'!K256,1)),"")&gt;=3),"",IF(W282=1,VALUE(LEFT('Base Encuesta'!AG256,1)),""))</f>
        <v/>
      </c>
      <c r="Z282" t="str">
        <f>IF(OR('Base Encuesta'!AH256="",IFERROR(VALUE(LEFT('Base Encuesta'!K256,1)),"")&gt;=3),"",IF(W282=1,VALUE(LEFT('Base Encuesta'!AH256,1)),""))</f>
        <v/>
      </c>
      <c r="AA282" t="str">
        <f>IF(OR('Base Encuesta'!AI256="",IFERROR(VALUE(LEFT('Base Encuesta'!K256,1)),"")&gt;=3),"",IF(W282=1,VALUE(LEFT('Base Encuesta'!AI256,1)),""))</f>
        <v/>
      </c>
      <c r="AB282" t="str">
        <f>IF(OR('Base Encuesta'!AJ256="",IFERROR(VALUE(LEFT('Base Encuesta'!K256,1)),"")&gt;=3),"",IF(W282=1,VALUE(LEFT('Base Encuesta'!AJ256,1)),""))</f>
        <v/>
      </c>
      <c r="AC282" t="str">
        <f>IF(OR('Base Encuesta'!AL256="",IFERROR(VALUE(LEFT('Base Encuesta'!K256,1)),"")&gt;=3),"",VALUE(LEFT('Base Encuesta'!AL256,1)))</f>
        <v/>
      </c>
      <c r="AD282" t="str">
        <f>IF(OR('Base Encuesta'!AM256="",IFERROR(VALUE(LEFT('Base Encuesta'!K256,1)),"")&gt;=3),"",VALUE(LEFT('Base Encuesta'!AM256,1)))</f>
        <v/>
      </c>
      <c r="AE282" t="str">
        <f>IF(OR('Base Encuesta'!AN256="",IFERROR(VALUE(LEFT('Base Encuesta'!K256,1)),"")&gt;=3),"",VALUE(LEFT('Base Encuesta'!AN256,1)))</f>
        <v/>
      </c>
      <c r="AF282" t="str">
        <f>IF(OR('Base Encuesta'!AO256="",IFERROR(VALUE(LEFT('Base Encuesta'!K256,1)),"")&gt;=3),"",VALUE(LEFT('Base Encuesta'!AO256,1)))</f>
        <v/>
      </c>
      <c r="AG282" t="str">
        <f>IF(OR('Base Encuesta'!AQ256="",IFERROR(VALUE(LEFT('Base Encuesta'!K256,1)),"")&gt;=3),"",VALUE(LEFT('Base Encuesta'!AQ256,1)))</f>
        <v/>
      </c>
      <c r="AH282" t="str">
        <f>IF(OR('Base Encuesta'!AR256="",IFERROR(VALUE(LEFT('Base Encuesta'!K256,1)),"")&gt;=3),"",VALUE(LEFT('Base Encuesta'!AR256,1)))</f>
        <v/>
      </c>
    </row>
    <row r="283" spans="1:34">
      <c r="A283" t="str">
        <f>IF('Base Encuesta'!C257="","",'Base Encuesta'!C257)</f>
        <v/>
      </c>
      <c r="B283" t="str">
        <f>IF('Base Encuesta'!D257="","",'Base Encuesta'!D257)</f>
        <v/>
      </c>
      <c r="C283" t="str">
        <f>IF('Base Encuesta'!E257="","",'Base Encuesta'!E257)</f>
        <v/>
      </c>
      <c r="D283" t="str">
        <f>IF('Base Encuesta'!F257="","",'Base Encuesta'!F257)</f>
        <v/>
      </c>
      <c r="E283" t="str">
        <f>IF('Base Encuesta'!G257="","",'Base Encuesta'!G257)</f>
        <v/>
      </c>
      <c r="F283" t="str">
        <f>IF('Base Encuesta'!H257="","",'Base Encuesta'!H257)</f>
        <v/>
      </c>
      <c r="G283" t="str">
        <f>IF('Base Encuesta'!I257="","",'Base Encuesta'!I257)</f>
        <v/>
      </c>
      <c r="H283" t="str">
        <f>IF('Base Encuesta'!J257="","",'Base Encuesta'!J257)</f>
        <v/>
      </c>
      <c r="I283" t="str">
        <f>IF('Base Encuesta'!K257="","",'Base Encuesta'!K257)</f>
        <v/>
      </c>
      <c r="J283" t="str">
        <f>IF(OR('Base Encuesta'!P257="",IFERROR(VALUE(LEFT('Base Encuesta'!K257,1)),"")&gt;=3),"",PROPER(TRIM('Base Encuesta'!P257)))</f>
        <v/>
      </c>
      <c r="K283" t="str">
        <f>IF(OR('Base Encuesta'!Q257="",IFERROR(VALUE(LEFT('Base Encuesta'!K257,1)),"")&gt;=3),"",'Base Encuesta'!Q257)</f>
        <v/>
      </c>
      <c r="L283" t="str">
        <f>IF(OR('Base Encuesta'!R257="",IFERROR(VALUE(LEFT('Base Encuesta'!K257,1)),"")&gt;=3),"",VALUE(LEFT('Base Encuesta'!R257,1)))</f>
        <v/>
      </c>
      <c r="M283" t="str">
        <f>IF(OR('Base Encuesta'!S257="",IFERROR(VALUE(LEFT('Base Encuesta'!K257,1)),"")&gt;=3),"",VALUE(LEFT('Base Encuesta'!S257,1)))</f>
        <v/>
      </c>
      <c r="N283" t="str">
        <f>IF(OR('Base Encuesta'!T257="",IFERROR(VALUE(LEFT('Base Encuesta'!K257,1)),"")&gt;=3),"",VALUE(LEFT('Base Encuesta'!T257,1)))</f>
        <v/>
      </c>
      <c r="O283" t="str">
        <f>IF(OR('Base Encuesta'!V257="",IFERROR(VALUE(LEFT('Base Encuesta'!K257,1)),"")&gt;=3),"",VALUE(LEFT('Base Encuesta'!V257,1)))</f>
        <v/>
      </c>
      <c r="P283" t="str">
        <f>IF(OR('Base Encuesta'!W257="",IFERROR(VALUE(LEFT('Base Encuesta'!K257,1)),"")&gt;=3),"",VALUE(LEFT('Base Encuesta'!W257,1)))</f>
        <v/>
      </c>
      <c r="Q283" t="str">
        <f>IF(OR('Base Encuesta'!X257="",IFERROR(VALUE(LEFT('Base Encuesta'!K257,1)),"")&gt;=3),"",VALUE(LEFT('Base Encuesta'!X257,1)))</f>
        <v/>
      </c>
      <c r="R283" t="str">
        <f>IF(OR('Base Encuesta'!Y257="",IFERROR(VALUE(LEFT('Base Encuesta'!K257,1)),"")&gt;=3),"",VALUE(LEFT('Base Encuesta'!Y257,1)))</f>
        <v/>
      </c>
      <c r="S283" t="str">
        <f>IF(OR('Base Encuesta'!Z257="",IFERROR(VALUE(LEFT('Base Encuesta'!K257,1)),"")&gt;=3),"",VALUE(LEFT('Base Encuesta'!Z257,1)))</f>
        <v/>
      </c>
      <c r="T283" t="str">
        <f>IF(OR('Base Encuesta'!AA257="",IFERROR(VALUE(LEFT('Base Encuesta'!K257,1)),"")&gt;=3),"",VALUE(LEFT('Base Encuesta'!AA257,1)))</f>
        <v/>
      </c>
      <c r="U283" t="str">
        <f>IF(OR('Base Encuesta'!AB257="",IFERROR(VALUE(LEFT('Base Encuesta'!K257,1)),"")&gt;=3),"",VALUE(LEFT('Base Encuesta'!AB257,1)))</f>
        <v/>
      </c>
      <c r="V283" t="str">
        <f>IF(OR('Base Encuesta'!AC257="",IFERROR(VALUE(LEFT('Base Encuesta'!K257,1)),"")&gt;=3),"",VALUE(LEFT('Base Encuesta'!AC257,1)))</f>
        <v/>
      </c>
      <c r="W283" t="str">
        <f>IF(OR('Base Encuesta'!AE257="",IFERROR(VALUE(LEFT('Base Encuesta'!K257,1)),"")&gt;=3),"",VALUE(LEFT('Base Encuesta'!AE257,1)))</f>
        <v/>
      </c>
      <c r="X283" t="str">
        <f>IF(OR('Base Encuesta'!AF257="",IFERROR(VALUE(LEFT('Base Encuesta'!K257,1)),"")&gt;=3),"",IF(W283=1,VALUE(LEFT('Base Encuesta'!AF257,1)),""))</f>
        <v/>
      </c>
      <c r="Y283" t="str">
        <f>IF(OR('Base Encuesta'!AG257="",IFERROR(VALUE(LEFT('Base Encuesta'!K257,1)),"")&gt;=3),"",IF(W283=1,VALUE(LEFT('Base Encuesta'!AG257,1)),""))</f>
        <v/>
      </c>
      <c r="Z283" t="str">
        <f>IF(OR('Base Encuesta'!AH257="",IFERROR(VALUE(LEFT('Base Encuesta'!K257,1)),"")&gt;=3),"",IF(W283=1,VALUE(LEFT('Base Encuesta'!AH257,1)),""))</f>
        <v/>
      </c>
      <c r="AA283" t="str">
        <f>IF(OR('Base Encuesta'!AI257="",IFERROR(VALUE(LEFT('Base Encuesta'!K257,1)),"")&gt;=3),"",IF(W283=1,VALUE(LEFT('Base Encuesta'!AI257,1)),""))</f>
        <v/>
      </c>
      <c r="AB283" t="str">
        <f>IF(OR('Base Encuesta'!AJ257="",IFERROR(VALUE(LEFT('Base Encuesta'!K257,1)),"")&gt;=3),"",IF(W283=1,VALUE(LEFT('Base Encuesta'!AJ257,1)),""))</f>
        <v/>
      </c>
      <c r="AC283" t="str">
        <f>IF(OR('Base Encuesta'!AL257="",IFERROR(VALUE(LEFT('Base Encuesta'!K257,1)),"")&gt;=3),"",VALUE(LEFT('Base Encuesta'!AL257,1)))</f>
        <v/>
      </c>
      <c r="AD283" t="str">
        <f>IF(OR('Base Encuesta'!AM257="",IFERROR(VALUE(LEFT('Base Encuesta'!K257,1)),"")&gt;=3),"",VALUE(LEFT('Base Encuesta'!AM257,1)))</f>
        <v/>
      </c>
      <c r="AE283" t="str">
        <f>IF(OR('Base Encuesta'!AN257="",IFERROR(VALUE(LEFT('Base Encuesta'!K257,1)),"")&gt;=3),"",VALUE(LEFT('Base Encuesta'!AN257,1)))</f>
        <v/>
      </c>
      <c r="AF283" t="str">
        <f>IF(OR('Base Encuesta'!AO257="",IFERROR(VALUE(LEFT('Base Encuesta'!K257,1)),"")&gt;=3),"",VALUE(LEFT('Base Encuesta'!AO257,1)))</f>
        <v/>
      </c>
      <c r="AG283" t="str">
        <f>IF(OR('Base Encuesta'!AQ257="",IFERROR(VALUE(LEFT('Base Encuesta'!K257,1)),"")&gt;=3),"",VALUE(LEFT('Base Encuesta'!AQ257,1)))</f>
        <v/>
      </c>
      <c r="AH283" t="str">
        <f>IF(OR('Base Encuesta'!AR257="",IFERROR(VALUE(LEFT('Base Encuesta'!K257,1)),"")&gt;=3),"",VALUE(LEFT('Base Encuesta'!AR257,1)))</f>
        <v/>
      </c>
    </row>
    <row r="284" spans="1:34">
      <c r="A284" t="str">
        <f>IF('Base Encuesta'!C258="","",'Base Encuesta'!C258)</f>
        <v/>
      </c>
      <c r="B284" t="str">
        <f>IF('Base Encuesta'!D258="","",'Base Encuesta'!D258)</f>
        <v/>
      </c>
      <c r="C284" t="str">
        <f>IF('Base Encuesta'!E258="","",'Base Encuesta'!E258)</f>
        <v/>
      </c>
      <c r="D284" t="str">
        <f>IF('Base Encuesta'!F258="","",'Base Encuesta'!F258)</f>
        <v/>
      </c>
      <c r="E284" t="str">
        <f>IF('Base Encuesta'!G258="","",'Base Encuesta'!G258)</f>
        <v/>
      </c>
      <c r="F284" t="str">
        <f>IF('Base Encuesta'!H258="","",'Base Encuesta'!H258)</f>
        <v/>
      </c>
      <c r="G284" t="str">
        <f>IF('Base Encuesta'!I258="","",'Base Encuesta'!I258)</f>
        <v/>
      </c>
      <c r="H284" t="str">
        <f>IF('Base Encuesta'!J258="","",'Base Encuesta'!J258)</f>
        <v/>
      </c>
      <c r="I284" t="str">
        <f>IF('Base Encuesta'!K258="","",'Base Encuesta'!K258)</f>
        <v/>
      </c>
      <c r="J284" t="str">
        <f>IF(OR('Base Encuesta'!P258="",IFERROR(VALUE(LEFT('Base Encuesta'!K258,1)),"")&gt;=3),"",PROPER(TRIM('Base Encuesta'!P258)))</f>
        <v/>
      </c>
      <c r="K284" t="str">
        <f>IF(OR('Base Encuesta'!Q258="",IFERROR(VALUE(LEFT('Base Encuesta'!K258,1)),"")&gt;=3),"",'Base Encuesta'!Q258)</f>
        <v/>
      </c>
      <c r="L284" t="str">
        <f>IF(OR('Base Encuesta'!R258="",IFERROR(VALUE(LEFT('Base Encuesta'!K258,1)),"")&gt;=3),"",VALUE(LEFT('Base Encuesta'!R258,1)))</f>
        <v/>
      </c>
      <c r="M284" t="str">
        <f>IF(OR('Base Encuesta'!S258="",IFERROR(VALUE(LEFT('Base Encuesta'!K258,1)),"")&gt;=3),"",VALUE(LEFT('Base Encuesta'!S258,1)))</f>
        <v/>
      </c>
      <c r="N284" t="str">
        <f>IF(OR('Base Encuesta'!T258="",IFERROR(VALUE(LEFT('Base Encuesta'!K258,1)),"")&gt;=3),"",VALUE(LEFT('Base Encuesta'!T258,1)))</f>
        <v/>
      </c>
      <c r="O284" t="str">
        <f>IF(OR('Base Encuesta'!V258="",IFERROR(VALUE(LEFT('Base Encuesta'!K258,1)),"")&gt;=3),"",VALUE(LEFT('Base Encuesta'!V258,1)))</f>
        <v/>
      </c>
      <c r="P284" t="str">
        <f>IF(OR('Base Encuesta'!W258="",IFERROR(VALUE(LEFT('Base Encuesta'!K258,1)),"")&gt;=3),"",VALUE(LEFT('Base Encuesta'!W258,1)))</f>
        <v/>
      </c>
      <c r="Q284" t="str">
        <f>IF(OR('Base Encuesta'!X258="",IFERROR(VALUE(LEFT('Base Encuesta'!K258,1)),"")&gt;=3),"",VALUE(LEFT('Base Encuesta'!X258,1)))</f>
        <v/>
      </c>
      <c r="R284" t="str">
        <f>IF(OR('Base Encuesta'!Y258="",IFERROR(VALUE(LEFT('Base Encuesta'!K258,1)),"")&gt;=3),"",VALUE(LEFT('Base Encuesta'!Y258,1)))</f>
        <v/>
      </c>
      <c r="S284" t="str">
        <f>IF(OR('Base Encuesta'!Z258="",IFERROR(VALUE(LEFT('Base Encuesta'!K258,1)),"")&gt;=3),"",VALUE(LEFT('Base Encuesta'!Z258,1)))</f>
        <v/>
      </c>
      <c r="T284" t="str">
        <f>IF(OR('Base Encuesta'!AA258="",IFERROR(VALUE(LEFT('Base Encuesta'!K258,1)),"")&gt;=3),"",VALUE(LEFT('Base Encuesta'!AA258,1)))</f>
        <v/>
      </c>
      <c r="U284" t="str">
        <f>IF(OR('Base Encuesta'!AB258="",IFERROR(VALUE(LEFT('Base Encuesta'!K258,1)),"")&gt;=3),"",VALUE(LEFT('Base Encuesta'!AB258,1)))</f>
        <v/>
      </c>
      <c r="V284" t="str">
        <f>IF(OR('Base Encuesta'!AC258="",IFERROR(VALUE(LEFT('Base Encuesta'!K258,1)),"")&gt;=3),"",VALUE(LEFT('Base Encuesta'!AC258,1)))</f>
        <v/>
      </c>
      <c r="W284" t="str">
        <f>IF(OR('Base Encuesta'!AE258="",IFERROR(VALUE(LEFT('Base Encuesta'!K258,1)),"")&gt;=3),"",VALUE(LEFT('Base Encuesta'!AE258,1)))</f>
        <v/>
      </c>
      <c r="X284" t="str">
        <f>IF(OR('Base Encuesta'!AF258="",IFERROR(VALUE(LEFT('Base Encuesta'!K258,1)),"")&gt;=3),"",IF(W284=1,VALUE(LEFT('Base Encuesta'!AF258,1)),""))</f>
        <v/>
      </c>
      <c r="Y284" t="str">
        <f>IF(OR('Base Encuesta'!AG258="",IFERROR(VALUE(LEFT('Base Encuesta'!K258,1)),"")&gt;=3),"",IF(W284=1,VALUE(LEFT('Base Encuesta'!AG258,1)),""))</f>
        <v/>
      </c>
      <c r="Z284" t="str">
        <f>IF(OR('Base Encuesta'!AH258="",IFERROR(VALUE(LEFT('Base Encuesta'!K258,1)),"")&gt;=3),"",IF(W284=1,VALUE(LEFT('Base Encuesta'!AH258,1)),""))</f>
        <v/>
      </c>
      <c r="AA284" t="str">
        <f>IF(OR('Base Encuesta'!AI258="",IFERROR(VALUE(LEFT('Base Encuesta'!K258,1)),"")&gt;=3),"",IF(W284=1,VALUE(LEFT('Base Encuesta'!AI258,1)),""))</f>
        <v/>
      </c>
      <c r="AB284" t="str">
        <f>IF(OR('Base Encuesta'!AJ258="",IFERROR(VALUE(LEFT('Base Encuesta'!K258,1)),"")&gt;=3),"",IF(W284=1,VALUE(LEFT('Base Encuesta'!AJ258,1)),""))</f>
        <v/>
      </c>
      <c r="AC284" t="str">
        <f>IF(OR('Base Encuesta'!AL258="",IFERROR(VALUE(LEFT('Base Encuesta'!K258,1)),"")&gt;=3),"",VALUE(LEFT('Base Encuesta'!AL258,1)))</f>
        <v/>
      </c>
      <c r="AD284" t="str">
        <f>IF(OR('Base Encuesta'!AM258="",IFERROR(VALUE(LEFT('Base Encuesta'!K258,1)),"")&gt;=3),"",VALUE(LEFT('Base Encuesta'!AM258,1)))</f>
        <v/>
      </c>
      <c r="AE284" t="str">
        <f>IF(OR('Base Encuesta'!AN258="",IFERROR(VALUE(LEFT('Base Encuesta'!K258,1)),"")&gt;=3),"",VALUE(LEFT('Base Encuesta'!AN258,1)))</f>
        <v/>
      </c>
      <c r="AF284" t="str">
        <f>IF(OR('Base Encuesta'!AO258="",IFERROR(VALUE(LEFT('Base Encuesta'!K258,1)),"")&gt;=3),"",VALUE(LEFT('Base Encuesta'!AO258,1)))</f>
        <v/>
      </c>
      <c r="AG284" t="str">
        <f>IF(OR('Base Encuesta'!AQ258="",IFERROR(VALUE(LEFT('Base Encuesta'!K258,1)),"")&gt;=3),"",VALUE(LEFT('Base Encuesta'!AQ258,1)))</f>
        <v/>
      </c>
      <c r="AH284" t="str">
        <f>IF(OR('Base Encuesta'!AR258="",IFERROR(VALUE(LEFT('Base Encuesta'!K258,1)),"")&gt;=3),"",VALUE(LEFT('Base Encuesta'!AR258,1)))</f>
        <v/>
      </c>
    </row>
    <row r="285" spans="1:34">
      <c r="A285" t="str">
        <f>IF('Base Encuesta'!C259="","",'Base Encuesta'!C259)</f>
        <v/>
      </c>
      <c r="B285" t="str">
        <f>IF('Base Encuesta'!D259="","",'Base Encuesta'!D259)</f>
        <v/>
      </c>
      <c r="C285" t="str">
        <f>IF('Base Encuesta'!E259="","",'Base Encuesta'!E259)</f>
        <v/>
      </c>
      <c r="D285" t="str">
        <f>IF('Base Encuesta'!F259="","",'Base Encuesta'!F259)</f>
        <v/>
      </c>
      <c r="E285" t="str">
        <f>IF('Base Encuesta'!G259="","",'Base Encuesta'!G259)</f>
        <v/>
      </c>
      <c r="F285" t="str">
        <f>IF('Base Encuesta'!H259="","",'Base Encuesta'!H259)</f>
        <v/>
      </c>
      <c r="G285" t="str">
        <f>IF('Base Encuesta'!I259="","",'Base Encuesta'!I259)</f>
        <v/>
      </c>
      <c r="H285" t="str">
        <f>IF('Base Encuesta'!J259="","",'Base Encuesta'!J259)</f>
        <v/>
      </c>
      <c r="I285" t="str">
        <f>IF('Base Encuesta'!K259="","",'Base Encuesta'!K259)</f>
        <v/>
      </c>
      <c r="J285" t="str">
        <f>IF(OR('Base Encuesta'!P259="",IFERROR(VALUE(LEFT('Base Encuesta'!K259,1)),"")&gt;=3),"",PROPER(TRIM('Base Encuesta'!P259)))</f>
        <v/>
      </c>
      <c r="K285" t="str">
        <f>IF(OR('Base Encuesta'!Q259="",IFERROR(VALUE(LEFT('Base Encuesta'!K259,1)),"")&gt;=3),"",'Base Encuesta'!Q259)</f>
        <v/>
      </c>
      <c r="L285" t="str">
        <f>IF(OR('Base Encuesta'!R259="",IFERROR(VALUE(LEFT('Base Encuesta'!K259,1)),"")&gt;=3),"",VALUE(LEFT('Base Encuesta'!R259,1)))</f>
        <v/>
      </c>
      <c r="M285" t="str">
        <f>IF(OR('Base Encuesta'!S259="",IFERROR(VALUE(LEFT('Base Encuesta'!K259,1)),"")&gt;=3),"",VALUE(LEFT('Base Encuesta'!S259,1)))</f>
        <v/>
      </c>
      <c r="N285" t="str">
        <f>IF(OR('Base Encuesta'!T259="",IFERROR(VALUE(LEFT('Base Encuesta'!K259,1)),"")&gt;=3),"",VALUE(LEFT('Base Encuesta'!T259,1)))</f>
        <v/>
      </c>
      <c r="O285" t="str">
        <f>IF(OR('Base Encuesta'!V259="",IFERROR(VALUE(LEFT('Base Encuesta'!K259,1)),"")&gt;=3),"",VALUE(LEFT('Base Encuesta'!V259,1)))</f>
        <v/>
      </c>
      <c r="P285" t="str">
        <f>IF(OR('Base Encuesta'!W259="",IFERROR(VALUE(LEFT('Base Encuesta'!K259,1)),"")&gt;=3),"",VALUE(LEFT('Base Encuesta'!W259,1)))</f>
        <v/>
      </c>
      <c r="Q285" t="str">
        <f>IF(OR('Base Encuesta'!X259="",IFERROR(VALUE(LEFT('Base Encuesta'!K259,1)),"")&gt;=3),"",VALUE(LEFT('Base Encuesta'!X259,1)))</f>
        <v/>
      </c>
      <c r="R285" t="str">
        <f>IF(OR('Base Encuesta'!Y259="",IFERROR(VALUE(LEFT('Base Encuesta'!K259,1)),"")&gt;=3),"",VALUE(LEFT('Base Encuesta'!Y259,1)))</f>
        <v/>
      </c>
      <c r="S285" t="str">
        <f>IF(OR('Base Encuesta'!Z259="",IFERROR(VALUE(LEFT('Base Encuesta'!K259,1)),"")&gt;=3),"",VALUE(LEFT('Base Encuesta'!Z259,1)))</f>
        <v/>
      </c>
      <c r="T285" t="str">
        <f>IF(OR('Base Encuesta'!AA259="",IFERROR(VALUE(LEFT('Base Encuesta'!K259,1)),"")&gt;=3),"",VALUE(LEFT('Base Encuesta'!AA259,1)))</f>
        <v/>
      </c>
      <c r="U285" t="str">
        <f>IF(OR('Base Encuesta'!AB259="",IFERROR(VALUE(LEFT('Base Encuesta'!K259,1)),"")&gt;=3),"",VALUE(LEFT('Base Encuesta'!AB259,1)))</f>
        <v/>
      </c>
      <c r="V285" t="str">
        <f>IF(OR('Base Encuesta'!AC259="",IFERROR(VALUE(LEFT('Base Encuesta'!K259,1)),"")&gt;=3),"",VALUE(LEFT('Base Encuesta'!AC259,1)))</f>
        <v/>
      </c>
      <c r="W285" t="str">
        <f>IF(OR('Base Encuesta'!AE259="",IFERROR(VALUE(LEFT('Base Encuesta'!K259,1)),"")&gt;=3),"",VALUE(LEFT('Base Encuesta'!AE259,1)))</f>
        <v/>
      </c>
      <c r="X285" t="str">
        <f>IF(OR('Base Encuesta'!AF259="",IFERROR(VALUE(LEFT('Base Encuesta'!K259,1)),"")&gt;=3),"",IF(W285=1,VALUE(LEFT('Base Encuesta'!AF259,1)),""))</f>
        <v/>
      </c>
      <c r="Y285" t="str">
        <f>IF(OR('Base Encuesta'!AG259="",IFERROR(VALUE(LEFT('Base Encuesta'!K259,1)),"")&gt;=3),"",IF(W285=1,VALUE(LEFT('Base Encuesta'!AG259,1)),""))</f>
        <v/>
      </c>
      <c r="Z285" t="str">
        <f>IF(OR('Base Encuesta'!AH259="",IFERROR(VALUE(LEFT('Base Encuesta'!K259,1)),"")&gt;=3),"",IF(W285=1,VALUE(LEFT('Base Encuesta'!AH259,1)),""))</f>
        <v/>
      </c>
      <c r="AA285" t="str">
        <f>IF(OR('Base Encuesta'!AI259="",IFERROR(VALUE(LEFT('Base Encuesta'!K259,1)),"")&gt;=3),"",IF(W285=1,VALUE(LEFT('Base Encuesta'!AI259,1)),""))</f>
        <v/>
      </c>
      <c r="AB285" t="str">
        <f>IF(OR('Base Encuesta'!AJ259="",IFERROR(VALUE(LEFT('Base Encuesta'!K259,1)),"")&gt;=3),"",IF(W285=1,VALUE(LEFT('Base Encuesta'!AJ259,1)),""))</f>
        <v/>
      </c>
      <c r="AC285" t="str">
        <f>IF(OR('Base Encuesta'!AL259="",IFERROR(VALUE(LEFT('Base Encuesta'!K259,1)),"")&gt;=3),"",VALUE(LEFT('Base Encuesta'!AL259,1)))</f>
        <v/>
      </c>
      <c r="AD285" t="str">
        <f>IF(OR('Base Encuesta'!AM259="",IFERROR(VALUE(LEFT('Base Encuesta'!K259,1)),"")&gt;=3),"",VALUE(LEFT('Base Encuesta'!AM259,1)))</f>
        <v/>
      </c>
      <c r="AE285" t="str">
        <f>IF(OR('Base Encuesta'!AN259="",IFERROR(VALUE(LEFT('Base Encuesta'!K259,1)),"")&gt;=3),"",VALUE(LEFT('Base Encuesta'!AN259,1)))</f>
        <v/>
      </c>
      <c r="AF285" t="str">
        <f>IF(OR('Base Encuesta'!AO259="",IFERROR(VALUE(LEFT('Base Encuesta'!K259,1)),"")&gt;=3),"",VALUE(LEFT('Base Encuesta'!AO259,1)))</f>
        <v/>
      </c>
      <c r="AG285" t="str">
        <f>IF(OR('Base Encuesta'!AQ259="",IFERROR(VALUE(LEFT('Base Encuesta'!K259,1)),"")&gt;=3),"",VALUE(LEFT('Base Encuesta'!AQ259,1)))</f>
        <v/>
      </c>
      <c r="AH285" t="str">
        <f>IF(OR('Base Encuesta'!AR259="",IFERROR(VALUE(LEFT('Base Encuesta'!K259,1)),"")&gt;=3),"",VALUE(LEFT('Base Encuesta'!AR259,1)))</f>
        <v/>
      </c>
    </row>
    <row r="286" spans="1:34">
      <c r="A286" t="str">
        <f>IF('Base Encuesta'!C260="","",'Base Encuesta'!C260)</f>
        <v/>
      </c>
      <c r="B286" t="str">
        <f>IF('Base Encuesta'!D260="","",'Base Encuesta'!D260)</f>
        <v/>
      </c>
      <c r="C286" t="str">
        <f>IF('Base Encuesta'!E260="","",'Base Encuesta'!E260)</f>
        <v/>
      </c>
      <c r="D286" t="str">
        <f>IF('Base Encuesta'!F260="","",'Base Encuesta'!F260)</f>
        <v/>
      </c>
      <c r="E286" t="str">
        <f>IF('Base Encuesta'!G260="","",'Base Encuesta'!G260)</f>
        <v/>
      </c>
      <c r="F286" t="str">
        <f>IF('Base Encuesta'!H260="","",'Base Encuesta'!H260)</f>
        <v/>
      </c>
      <c r="G286" t="str">
        <f>IF('Base Encuesta'!I260="","",'Base Encuesta'!I260)</f>
        <v/>
      </c>
      <c r="H286" t="str">
        <f>IF('Base Encuesta'!J260="","",'Base Encuesta'!J260)</f>
        <v/>
      </c>
      <c r="I286" t="str">
        <f>IF('Base Encuesta'!K260="","",'Base Encuesta'!K260)</f>
        <v/>
      </c>
      <c r="J286" t="str">
        <f>IF(OR('Base Encuesta'!P260="",IFERROR(VALUE(LEFT('Base Encuesta'!K260,1)),"")&gt;=3),"",PROPER(TRIM('Base Encuesta'!P260)))</f>
        <v/>
      </c>
      <c r="K286" t="str">
        <f>IF(OR('Base Encuesta'!Q260="",IFERROR(VALUE(LEFT('Base Encuesta'!K260,1)),"")&gt;=3),"",'Base Encuesta'!Q260)</f>
        <v/>
      </c>
      <c r="L286" t="str">
        <f>IF(OR('Base Encuesta'!R260="",IFERROR(VALUE(LEFT('Base Encuesta'!K260,1)),"")&gt;=3),"",VALUE(LEFT('Base Encuesta'!R260,1)))</f>
        <v/>
      </c>
      <c r="M286" t="str">
        <f>IF(OR('Base Encuesta'!S260="",IFERROR(VALUE(LEFT('Base Encuesta'!K260,1)),"")&gt;=3),"",VALUE(LEFT('Base Encuesta'!S260,1)))</f>
        <v/>
      </c>
      <c r="N286" t="str">
        <f>IF(OR('Base Encuesta'!T260="",IFERROR(VALUE(LEFT('Base Encuesta'!K260,1)),"")&gt;=3),"",VALUE(LEFT('Base Encuesta'!T260,1)))</f>
        <v/>
      </c>
      <c r="O286" t="str">
        <f>IF(OR('Base Encuesta'!V260="",IFERROR(VALUE(LEFT('Base Encuesta'!K260,1)),"")&gt;=3),"",VALUE(LEFT('Base Encuesta'!V260,1)))</f>
        <v/>
      </c>
      <c r="P286" t="str">
        <f>IF(OR('Base Encuesta'!W260="",IFERROR(VALUE(LEFT('Base Encuesta'!K260,1)),"")&gt;=3),"",VALUE(LEFT('Base Encuesta'!W260,1)))</f>
        <v/>
      </c>
      <c r="Q286" t="str">
        <f>IF(OR('Base Encuesta'!X260="",IFERROR(VALUE(LEFT('Base Encuesta'!K260,1)),"")&gt;=3),"",VALUE(LEFT('Base Encuesta'!X260,1)))</f>
        <v/>
      </c>
      <c r="R286" t="str">
        <f>IF(OR('Base Encuesta'!Y260="",IFERROR(VALUE(LEFT('Base Encuesta'!K260,1)),"")&gt;=3),"",VALUE(LEFT('Base Encuesta'!Y260,1)))</f>
        <v/>
      </c>
      <c r="S286" t="str">
        <f>IF(OR('Base Encuesta'!Z260="",IFERROR(VALUE(LEFT('Base Encuesta'!K260,1)),"")&gt;=3),"",VALUE(LEFT('Base Encuesta'!Z260,1)))</f>
        <v/>
      </c>
      <c r="T286" t="str">
        <f>IF(OR('Base Encuesta'!AA260="",IFERROR(VALUE(LEFT('Base Encuesta'!K260,1)),"")&gt;=3),"",VALUE(LEFT('Base Encuesta'!AA260,1)))</f>
        <v/>
      </c>
      <c r="U286" t="str">
        <f>IF(OR('Base Encuesta'!AB260="",IFERROR(VALUE(LEFT('Base Encuesta'!K260,1)),"")&gt;=3),"",VALUE(LEFT('Base Encuesta'!AB260,1)))</f>
        <v/>
      </c>
      <c r="V286" t="str">
        <f>IF(OR('Base Encuesta'!AC260="",IFERROR(VALUE(LEFT('Base Encuesta'!K260,1)),"")&gt;=3),"",VALUE(LEFT('Base Encuesta'!AC260,1)))</f>
        <v/>
      </c>
      <c r="W286" t="str">
        <f>IF(OR('Base Encuesta'!AE260="",IFERROR(VALUE(LEFT('Base Encuesta'!K260,1)),"")&gt;=3),"",VALUE(LEFT('Base Encuesta'!AE260,1)))</f>
        <v/>
      </c>
      <c r="X286" t="str">
        <f>IF(OR('Base Encuesta'!AF260="",IFERROR(VALUE(LEFT('Base Encuesta'!K260,1)),"")&gt;=3),"",IF(W286=1,VALUE(LEFT('Base Encuesta'!AF260,1)),""))</f>
        <v/>
      </c>
      <c r="Y286" t="str">
        <f>IF(OR('Base Encuesta'!AG260="",IFERROR(VALUE(LEFT('Base Encuesta'!K260,1)),"")&gt;=3),"",IF(W286=1,VALUE(LEFT('Base Encuesta'!AG260,1)),""))</f>
        <v/>
      </c>
      <c r="Z286" t="str">
        <f>IF(OR('Base Encuesta'!AH260="",IFERROR(VALUE(LEFT('Base Encuesta'!K260,1)),"")&gt;=3),"",IF(W286=1,VALUE(LEFT('Base Encuesta'!AH260,1)),""))</f>
        <v/>
      </c>
      <c r="AA286" t="str">
        <f>IF(OR('Base Encuesta'!AI260="",IFERROR(VALUE(LEFT('Base Encuesta'!K260,1)),"")&gt;=3),"",IF(W286=1,VALUE(LEFT('Base Encuesta'!AI260,1)),""))</f>
        <v/>
      </c>
      <c r="AB286" t="str">
        <f>IF(OR('Base Encuesta'!AJ260="",IFERROR(VALUE(LEFT('Base Encuesta'!K260,1)),"")&gt;=3),"",IF(W286=1,VALUE(LEFT('Base Encuesta'!AJ260,1)),""))</f>
        <v/>
      </c>
      <c r="AC286" t="str">
        <f>IF(OR('Base Encuesta'!AL260="",IFERROR(VALUE(LEFT('Base Encuesta'!K260,1)),"")&gt;=3),"",VALUE(LEFT('Base Encuesta'!AL260,1)))</f>
        <v/>
      </c>
      <c r="AD286" t="str">
        <f>IF(OR('Base Encuesta'!AM260="",IFERROR(VALUE(LEFT('Base Encuesta'!K260,1)),"")&gt;=3),"",VALUE(LEFT('Base Encuesta'!AM260,1)))</f>
        <v/>
      </c>
      <c r="AE286" t="str">
        <f>IF(OR('Base Encuesta'!AN260="",IFERROR(VALUE(LEFT('Base Encuesta'!K260,1)),"")&gt;=3),"",VALUE(LEFT('Base Encuesta'!AN260,1)))</f>
        <v/>
      </c>
      <c r="AF286" t="str">
        <f>IF(OR('Base Encuesta'!AO260="",IFERROR(VALUE(LEFT('Base Encuesta'!K260,1)),"")&gt;=3),"",VALUE(LEFT('Base Encuesta'!AO260,1)))</f>
        <v/>
      </c>
      <c r="AG286" t="str">
        <f>IF(OR('Base Encuesta'!AQ260="",IFERROR(VALUE(LEFT('Base Encuesta'!K260,1)),"")&gt;=3),"",VALUE(LEFT('Base Encuesta'!AQ260,1)))</f>
        <v/>
      </c>
      <c r="AH286" t="str">
        <f>IF(OR('Base Encuesta'!AR260="",IFERROR(VALUE(LEFT('Base Encuesta'!K260,1)),"")&gt;=3),"",VALUE(LEFT('Base Encuesta'!AR260,1)))</f>
        <v/>
      </c>
    </row>
    <row r="287" spans="1:34">
      <c r="A287" t="str">
        <f>IF('Base Encuesta'!C261="","",'Base Encuesta'!C261)</f>
        <v/>
      </c>
      <c r="B287" t="str">
        <f>IF('Base Encuesta'!D261="","",'Base Encuesta'!D261)</f>
        <v/>
      </c>
      <c r="C287" t="str">
        <f>IF('Base Encuesta'!E261="","",'Base Encuesta'!E261)</f>
        <v/>
      </c>
      <c r="D287" t="str">
        <f>IF('Base Encuesta'!F261="","",'Base Encuesta'!F261)</f>
        <v/>
      </c>
      <c r="E287" t="str">
        <f>IF('Base Encuesta'!G261="","",'Base Encuesta'!G261)</f>
        <v/>
      </c>
      <c r="F287" t="str">
        <f>IF('Base Encuesta'!H261="","",'Base Encuesta'!H261)</f>
        <v/>
      </c>
      <c r="G287" t="str">
        <f>IF('Base Encuesta'!I261="","",'Base Encuesta'!I261)</f>
        <v/>
      </c>
      <c r="H287" t="str">
        <f>IF('Base Encuesta'!J261="","",'Base Encuesta'!J261)</f>
        <v/>
      </c>
      <c r="I287" t="str">
        <f>IF('Base Encuesta'!K261="","",'Base Encuesta'!K261)</f>
        <v/>
      </c>
      <c r="J287" t="str">
        <f>IF(OR('Base Encuesta'!P261="",IFERROR(VALUE(LEFT('Base Encuesta'!K261,1)),"")&gt;=3),"",PROPER(TRIM('Base Encuesta'!P261)))</f>
        <v/>
      </c>
      <c r="K287" t="str">
        <f>IF(OR('Base Encuesta'!Q261="",IFERROR(VALUE(LEFT('Base Encuesta'!K261,1)),"")&gt;=3),"",'Base Encuesta'!Q261)</f>
        <v/>
      </c>
      <c r="L287" t="str">
        <f>IF(OR('Base Encuesta'!R261="",IFERROR(VALUE(LEFT('Base Encuesta'!K261,1)),"")&gt;=3),"",VALUE(LEFT('Base Encuesta'!R261,1)))</f>
        <v/>
      </c>
      <c r="M287" t="str">
        <f>IF(OR('Base Encuesta'!S261="",IFERROR(VALUE(LEFT('Base Encuesta'!K261,1)),"")&gt;=3),"",VALUE(LEFT('Base Encuesta'!S261,1)))</f>
        <v/>
      </c>
      <c r="N287" t="str">
        <f>IF(OR('Base Encuesta'!T261="",IFERROR(VALUE(LEFT('Base Encuesta'!K261,1)),"")&gt;=3),"",VALUE(LEFT('Base Encuesta'!T261,1)))</f>
        <v/>
      </c>
      <c r="O287" t="str">
        <f>IF(OR('Base Encuesta'!V261="",IFERROR(VALUE(LEFT('Base Encuesta'!K261,1)),"")&gt;=3),"",VALUE(LEFT('Base Encuesta'!V261,1)))</f>
        <v/>
      </c>
      <c r="P287" t="str">
        <f>IF(OR('Base Encuesta'!W261="",IFERROR(VALUE(LEFT('Base Encuesta'!K261,1)),"")&gt;=3),"",VALUE(LEFT('Base Encuesta'!W261,1)))</f>
        <v/>
      </c>
      <c r="Q287" t="str">
        <f>IF(OR('Base Encuesta'!X261="",IFERROR(VALUE(LEFT('Base Encuesta'!K261,1)),"")&gt;=3),"",VALUE(LEFT('Base Encuesta'!X261,1)))</f>
        <v/>
      </c>
      <c r="R287" t="str">
        <f>IF(OR('Base Encuesta'!Y261="",IFERROR(VALUE(LEFT('Base Encuesta'!K261,1)),"")&gt;=3),"",VALUE(LEFT('Base Encuesta'!Y261,1)))</f>
        <v/>
      </c>
      <c r="S287" t="str">
        <f>IF(OR('Base Encuesta'!Z261="",IFERROR(VALUE(LEFT('Base Encuesta'!K261,1)),"")&gt;=3),"",VALUE(LEFT('Base Encuesta'!Z261,1)))</f>
        <v/>
      </c>
      <c r="T287" t="str">
        <f>IF(OR('Base Encuesta'!AA261="",IFERROR(VALUE(LEFT('Base Encuesta'!K261,1)),"")&gt;=3),"",VALUE(LEFT('Base Encuesta'!AA261,1)))</f>
        <v/>
      </c>
      <c r="U287" t="str">
        <f>IF(OR('Base Encuesta'!AB261="",IFERROR(VALUE(LEFT('Base Encuesta'!K261,1)),"")&gt;=3),"",VALUE(LEFT('Base Encuesta'!AB261,1)))</f>
        <v/>
      </c>
      <c r="V287" t="str">
        <f>IF(OR('Base Encuesta'!AC261="",IFERROR(VALUE(LEFT('Base Encuesta'!K261,1)),"")&gt;=3),"",VALUE(LEFT('Base Encuesta'!AC261,1)))</f>
        <v/>
      </c>
      <c r="W287" t="str">
        <f>IF(OR('Base Encuesta'!AE261="",IFERROR(VALUE(LEFT('Base Encuesta'!K261,1)),"")&gt;=3),"",VALUE(LEFT('Base Encuesta'!AE261,1)))</f>
        <v/>
      </c>
      <c r="X287" t="str">
        <f>IF(OR('Base Encuesta'!AF261="",IFERROR(VALUE(LEFT('Base Encuesta'!K261,1)),"")&gt;=3),"",IF(W287=1,VALUE(LEFT('Base Encuesta'!AF261,1)),""))</f>
        <v/>
      </c>
      <c r="Y287" t="str">
        <f>IF(OR('Base Encuesta'!AG261="",IFERROR(VALUE(LEFT('Base Encuesta'!K261,1)),"")&gt;=3),"",IF(W287=1,VALUE(LEFT('Base Encuesta'!AG261,1)),""))</f>
        <v/>
      </c>
      <c r="Z287" t="str">
        <f>IF(OR('Base Encuesta'!AH261="",IFERROR(VALUE(LEFT('Base Encuesta'!K261,1)),"")&gt;=3),"",IF(W287=1,VALUE(LEFT('Base Encuesta'!AH261,1)),""))</f>
        <v/>
      </c>
      <c r="AA287" t="str">
        <f>IF(OR('Base Encuesta'!AI261="",IFERROR(VALUE(LEFT('Base Encuesta'!K261,1)),"")&gt;=3),"",IF(W287=1,VALUE(LEFT('Base Encuesta'!AI261,1)),""))</f>
        <v/>
      </c>
      <c r="AB287" t="str">
        <f>IF(OR('Base Encuesta'!AJ261="",IFERROR(VALUE(LEFT('Base Encuesta'!K261,1)),"")&gt;=3),"",IF(W287=1,VALUE(LEFT('Base Encuesta'!AJ261,1)),""))</f>
        <v/>
      </c>
      <c r="AC287" t="str">
        <f>IF(OR('Base Encuesta'!AL261="",IFERROR(VALUE(LEFT('Base Encuesta'!K261,1)),"")&gt;=3),"",VALUE(LEFT('Base Encuesta'!AL261,1)))</f>
        <v/>
      </c>
      <c r="AD287" t="str">
        <f>IF(OR('Base Encuesta'!AM261="",IFERROR(VALUE(LEFT('Base Encuesta'!K261,1)),"")&gt;=3),"",VALUE(LEFT('Base Encuesta'!AM261,1)))</f>
        <v/>
      </c>
      <c r="AE287" t="str">
        <f>IF(OR('Base Encuesta'!AN261="",IFERROR(VALUE(LEFT('Base Encuesta'!K261,1)),"")&gt;=3),"",VALUE(LEFT('Base Encuesta'!AN261,1)))</f>
        <v/>
      </c>
      <c r="AF287" t="str">
        <f>IF(OR('Base Encuesta'!AO261="",IFERROR(VALUE(LEFT('Base Encuesta'!K261,1)),"")&gt;=3),"",VALUE(LEFT('Base Encuesta'!AO261,1)))</f>
        <v/>
      </c>
      <c r="AG287" t="str">
        <f>IF(OR('Base Encuesta'!AQ261="",IFERROR(VALUE(LEFT('Base Encuesta'!K261,1)),"")&gt;=3),"",VALUE(LEFT('Base Encuesta'!AQ261,1)))</f>
        <v/>
      </c>
      <c r="AH287" t="str">
        <f>IF(OR('Base Encuesta'!AR261="",IFERROR(VALUE(LEFT('Base Encuesta'!K261,1)),"")&gt;=3),"",VALUE(LEFT('Base Encuesta'!AR261,1)))</f>
        <v/>
      </c>
    </row>
    <row r="288" spans="1:34">
      <c r="A288" t="str">
        <f>IF('Base Encuesta'!C262="","",'Base Encuesta'!C262)</f>
        <v/>
      </c>
      <c r="B288" t="str">
        <f>IF('Base Encuesta'!D262="","",'Base Encuesta'!D262)</f>
        <v/>
      </c>
      <c r="C288" t="str">
        <f>IF('Base Encuesta'!E262="","",'Base Encuesta'!E262)</f>
        <v/>
      </c>
      <c r="D288" t="str">
        <f>IF('Base Encuesta'!F262="","",'Base Encuesta'!F262)</f>
        <v/>
      </c>
      <c r="E288" t="str">
        <f>IF('Base Encuesta'!G262="","",'Base Encuesta'!G262)</f>
        <v/>
      </c>
      <c r="F288" t="str">
        <f>IF('Base Encuesta'!H262="","",'Base Encuesta'!H262)</f>
        <v/>
      </c>
      <c r="G288" t="str">
        <f>IF('Base Encuesta'!I262="","",'Base Encuesta'!I262)</f>
        <v/>
      </c>
      <c r="H288" t="str">
        <f>IF('Base Encuesta'!J262="","",'Base Encuesta'!J262)</f>
        <v/>
      </c>
      <c r="I288" t="str">
        <f>IF('Base Encuesta'!K262="","",'Base Encuesta'!K262)</f>
        <v/>
      </c>
      <c r="J288" t="str">
        <f>IF(OR('Base Encuesta'!P262="",IFERROR(VALUE(LEFT('Base Encuesta'!K262,1)),"")&gt;=3),"",PROPER(TRIM('Base Encuesta'!P262)))</f>
        <v/>
      </c>
      <c r="K288" t="str">
        <f>IF(OR('Base Encuesta'!Q262="",IFERROR(VALUE(LEFT('Base Encuesta'!K262,1)),"")&gt;=3),"",'Base Encuesta'!Q262)</f>
        <v/>
      </c>
      <c r="L288" t="str">
        <f>IF(OR('Base Encuesta'!R262="",IFERROR(VALUE(LEFT('Base Encuesta'!K262,1)),"")&gt;=3),"",VALUE(LEFT('Base Encuesta'!R262,1)))</f>
        <v/>
      </c>
      <c r="M288" t="str">
        <f>IF(OR('Base Encuesta'!S262="",IFERROR(VALUE(LEFT('Base Encuesta'!K262,1)),"")&gt;=3),"",VALUE(LEFT('Base Encuesta'!S262,1)))</f>
        <v/>
      </c>
      <c r="N288" t="str">
        <f>IF(OR('Base Encuesta'!T262="",IFERROR(VALUE(LEFT('Base Encuesta'!K262,1)),"")&gt;=3),"",VALUE(LEFT('Base Encuesta'!T262,1)))</f>
        <v/>
      </c>
      <c r="O288" t="str">
        <f>IF(OR('Base Encuesta'!V262="",IFERROR(VALUE(LEFT('Base Encuesta'!K262,1)),"")&gt;=3),"",VALUE(LEFT('Base Encuesta'!V262,1)))</f>
        <v/>
      </c>
      <c r="P288" t="str">
        <f>IF(OR('Base Encuesta'!W262="",IFERROR(VALUE(LEFT('Base Encuesta'!K262,1)),"")&gt;=3),"",VALUE(LEFT('Base Encuesta'!W262,1)))</f>
        <v/>
      </c>
      <c r="Q288" t="str">
        <f>IF(OR('Base Encuesta'!X262="",IFERROR(VALUE(LEFT('Base Encuesta'!K262,1)),"")&gt;=3),"",VALUE(LEFT('Base Encuesta'!X262,1)))</f>
        <v/>
      </c>
      <c r="R288" t="str">
        <f>IF(OR('Base Encuesta'!Y262="",IFERROR(VALUE(LEFT('Base Encuesta'!K262,1)),"")&gt;=3),"",VALUE(LEFT('Base Encuesta'!Y262,1)))</f>
        <v/>
      </c>
      <c r="S288" t="str">
        <f>IF(OR('Base Encuesta'!Z262="",IFERROR(VALUE(LEFT('Base Encuesta'!K262,1)),"")&gt;=3),"",VALUE(LEFT('Base Encuesta'!Z262,1)))</f>
        <v/>
      </c>
      <c r="T288" t="str">
        <f>IF(OR('Base Encuesta'!AA262="",IFERROR(VALUE(LEFT('Base Encuesta'!K262,1)),"")&gt;=3),"",VALUE(LEFT('Base Encuesta'!AA262,1)))</f>
        <v/>
      </c>
      <c r="U288" t="str">
        <f>IF(OR('Base Encuesta'!AB262="",IFERROR(VALUE(LEFT('Base Encuesta'!K262,1)),"")&gt;=3),"",VALUE(LEFT('Base Encuesta'!AB262,1)))</f>
        <v/>
      </c>
      <c r="V288" t="str">
        <f>IF(OR('Base Encuesta'!AC262="",IFERROR(VALUE(LEFT('Base Encuesta'!K262,1)),"")&gt;=3),"",VALUE(LEFT('Base Encuesta'!AC262,1)))</f>
        <v/>
      </c>
      <c r="W288" t="str">
        <f>IF(OR('Base Encuesta'!AE262="",IFERROR(VALUE(LEFT('Base Encuesta'!K262,1)),"")&gt;=3),"",VALUE(LEFT('Base Encuesta'!AE262,1)))</f>
        <v/>
      </c>
      <c r="X288" t="str">
        <f>IF(OR('Base Encuesta'!AF262="",IFERROR(VALUE(LEFT('Base Encuesta'!K262,1)),"")&gt;=3),"",IF(W288=1,VALUE(LEFT('Base Encuesta'!AF262,1)),""))</f>
        <v/>
      </c>
      <c r="Y288" t="str">
        <f>IF(OR('Base Encuesta'!AG262="",IFERROR(VALUE(LEFT('Base Encuesta'!K262,1)),"")&gt;=3),"",IF(W288=1,VALUE(LEFT('Base Encuesta'!AG262,1)),""))</f>
        <v/>
      </c>
      <c r="Z288" t="str">
        <f>IF(OR('Base Encuesta'!AH262="",IFERROR(VALUE(LEFT('Base Encuesta'!K262,1)),"")&gt;=3),"",IF(W288=1,VALUE(LEFT('Base Encuesta'!AH262,1)),""))</f>
        <v/>
      </c>
      <c r="AA288" t="str">
        <f>IF(OR('Base Encuesta'!AI262="",IFERROR(VALUE(LEFT('Base Encuesta'!K262,1)),"")&gt;=3),"",IF(W288=1,VALUE(LEFT('Base Encuesta'!AI262,1)),""))</f>
        <v/>
      </c>
      <c r="AB288" t="str">
        <f>IF(OR('Base Encuesta'!AJ262="",IFERROR(VALUE(LEFT('Base Encuesta'!K262,1)),"")&gt;=3),"",IF(W288=1,VALUE(LEFT('Base Encuesta'!AJ262,1)),""))</f>
        <v/>
      </c>
      <c r="AC288" t="str">
        <f>IF(OR('Base Encuesta'!AL262="",IFERROR(VALUE(LEFT('Base Encuesta'!K262,1)),"")&gt;=3),"",VALUE(LEFT('Base Encuesta'!AL262,1)))</f>
        <v/>
      </c>
      <c r="AD288" t="str">
        <f>IF(OR('Base Encuesta'!AM262="",IFERROR(VALUE(LEFT('Base Encuesta'!K262,1)),"")&gt;=3),"",VALUE(LEFT('Base Encuesta'!AM262,1)))</f>
        <v/>
      </c>
      <c r="AE288" t="str">
        <f>IF(OR('Base Encuesta'!AN262="",IFERROR(VALUE(LEFT('Base Encuesta'!K262,1)),"")&gt;=3),"",VALUE(LEFT('Base Encuesta'!AN262,1)))</f>
        <v/>
      </c>
      <c r="AF288" t="str">
        <f>IF(OR('Base Encuesta'!AO262="",IFERROR(VALUE(LEFT('Base Encuesta'!K262,1)),"")&gt;=3),"",VALUE(LEFT('Base Encuesta'!AO262,1)))</f>
        <v/>
      </c>
      <c r="AG288" t="str">
        <f>IF(OR('Base Encuesta'!AQ262="",IFERROR(VALUE(LEFT('Base Encuesta'!K262,1)),"")&gt;=3),"",VALUE(LEFT('Base Encuesta'!AQ262,1)))</f>
        <v/>
      </c>
      <c r="AH288" t="str">
        <f>IF(OR('Base Encuesta'!AR262="",IFERROR(VALUE(LEFT('Base Encuesta'!K262,1)),"")&gt;=3),"",VALUE(LEFT('Base Encuesta'!AR262,1)))</f>
        <v/>
      </c>
    </row>
    <row r="289" spans="1:34">
      <c r="A289" t="str">
        <f>IF('Base Encuesta'!C263="","",'Base Encuesta'!C263)</f>
        <v/>
      </c>
      <c r="B289" t="str">
        <f>IF('Base Encuesta'!D263="","",'Base Encuesta'!D263)</f>
        <v/>
      </c>
      <c r="C289" t="str">
        <f>IF('Base Encuesta'!E263="","",'Base Encuesta'!E263)</f>
        <v/>
      </c>
      <c r="D289" t="str">
        <f>IF('Base Encuesta'!F263="","",'Base Encuesta'!F263)</f>
        <v/>
      </c>
      <c r="E289" t="str">
        <f>IF('Base Encuesta'!G263="","",'Base Encuesta'!G263)</f>
        <v/>
      </c>
      <c r="F289" t="str">
        <f>IF('Base Encuesta'!H263="","",'Base Encuesta'!H263)</f>
        <v/>
      </c>
      <c r="G289" t="str">
        <f>IF('Base Encuesta'!I263="","",'Base Encuesta'!I263)</f>
        <v/>
      </c>
      <c r="H289" t="str">
        <f>IF('Base Encuesta'!J263="","",'Base Encuesta'!J263)</f>
        <v/>
      </c>
      <c r="I289" t="str">
        <f>IF('Base Encuesta'!K263="","",'Base Encuesta'!K263)</f>
        <v/>
      </c>
      <c r="J289" t="str">
        <f>IF(OR('Base Encuesta'!P263="",IFERROR(VALUE(LEFT('Base Encuesta'!K263,1)),"")&gt;=3),"",PROPER(TRIM('Base Encuesta'!P263)))</f>
        <v/>
      </c>
      <c r="K289" t="str">
        <f>IF(OR('Base Encuesta'!Q263="",IFERROR(VALUE(LEFT('Base Encuesta'!K263,1)),"")&gt;=3),"",'Base Encuesta'!Q263)</f>
        <v/>
      </c>
      <c r="L289" t="str">
        <f>IF(OR('Base Encuesta'!R263="",IFERROR(VALUE(LEFT('Base Encuesta'!K263,1)),"")&gt;=3),"",VALUE(LEFT('Base Encuesta'!R263,1)))</f>
        <v/>
      </c>
      <c r="M289" t="str">
        <f>IF(OR('Base Encuesta'!S263="",IFERROR(VALUE(LEFT('Base Encuesta'!K263,1)),"")&gt;=3),"",VALUE(LEFT('Base Encuesta'!S263,1)))</f>
        <v/>
      </c>
      <c r="N289" t="str">
        <f>IF(OR('Base Encuesta'!T263="",IFERROR(VALUE(LEFT('Base Encuesta'!K263,1)),"")&gt;=3),"",VALUE(LEFT('Base Encuesta'!T263,1)))</f>
        <v/>
      </c>
      <c r="O289" t="str">
        <f>IF(OR('Base Encuesta'!V263="",IFERROR(VALUE(LEFT('Base Encuesta'!K263,1)),"")&gt;=3),"",VALUE(LEFT('Base Encuesta'!V263,1)))</f>
        <v/>
      </c>
      <c r="P289" t="str">
        <f>IF(OR('Base Encuesta'!W263="",IFERROR(VALUE(LEFT('Base Encuesta'!K263,1)),"")&gt;=3),"",VALUE(LEFT('Base Encuesta'!W263,1)))</f>
        <v/>
      </c>
      <c r="Q289" t="str">
        <f>IF(OR('Base Encuesta'!X263="",IFERROR(VALUE(LEFT('Base Encuesta'!K263,1)),"")&gt;=3),"",VALUE(LEFT('Base Encuesta'!X263,1)))</f>
        <v/>
      </c>
      <c r="R289" t="str">
        <f>IF(OR('Base Encuesta'!Y263="",IFERROR(VALUE(LEFT('Base Encuesta'!K263,1)),"")&gt;=3),"",VALUE(LEFT('Base Encuesta'!Y263,1)))</f>
        <v/>
      </c>
      <c r="S289" t="str">
        <f>IF(OR('Base Encuesta'!Z263="",IFERROR(VALUE(LEFT('Base Encuesta'!K263,1)),"")&gt;=3),"",VALUE(LEFT('Base Encuesta'!Z263,1)))</f>
        <v/>
      </c>
      <c r="T289" t="str">
        <f>IF(OR('Base Encuesta'!AA263="",IFERROR(VALUE(LEFT('Base Encuesta'!K263,1)),"")&gt;=3),"",VALUE(LEFT('Base Encuesta'!AA263,1)))</f>
        <v/>
      </c>
      <c r="U289" t="str">
        <f>IF(OR('Base Encuesta'!AB263="",IFERROR(VALUE(LEFT('Base Encuesta'!K263,1)),"")&gt;=3),"",VALUE(LEFT('Base Encuesta'!AB263,1)))</f>
        <v/>
      </c>
      <c r="V289" t="str">
        <f>IF(OR('Base Encuesta'!AC263="",IFERROR(VALUE(LEFT('Base Encuesta'!K263,1)),"")&gt;=3),"",VALUE(LEFT('Base Encuesta'!AC263,1)))</f>
        <v/>
      </c>
      <c r="W289" t="str">
        <f>IF(OR('Base Encuesta'!AE263="",IFERROR(VALUE(LEFT('Base Encuesta'!K263,1)),"")&gt;=3),"",VALUE(LEFT('Base Encuesta'!AE263,1)))</f>
        <v/>
      </c>
      <c r="X289" t="str">
        <f>IF(OR('Base Encuesta'!AF263="",IFERROR(VALUE(LEFT('Base Encuesta'!K263,1)),"")&gt;=3),"",IF(W289=1,VALUE(LEFT('Base Encuesta'!AF263,1)),""))</f>
        <v/>
      </c>
      <c r="Y289" t="str">
        <f>IF(OR('Base Encuesta'!AG263="",IFERROR(VALUE(LEFT('Base Encuesta'!K263,1)),"")&gt;=3),"",IF(W289=1,VALUE(LEFT('Base Encuesta'!AG263,1)),""))</f>
        <v/>
      </c>
      <c r="Z289" t="str">
        <f>IF(OR('Base Encuesta'!AH263="",IFERROR(VALUE(LEFT('Base Encuesta'!K263,1)),"")&gt;=3),"",IF(W289=1,VALUE(LEFT('Base Encuesta'!AH263,1)),""))</f>
        <v/>
      </c>
      <c r="AA289" t="str">
        <f>IF(OR('Base Encuesta'!AI263="",IFERROR(VALUE(LEFT('Base Encuesta'!K263,1)),"")&gt;=3),"",IF(W289=1,VALUE(LEFT('Base Encuesta'!AI263,1)),""))</f>
        <v/>
      </c>
      <c r="AB289" t="str">
        <f>IF(OR('Base Encuesta'!AJ263="",IFERROR(VALUE(LEFT('Base Encuesta'!K263,1)),"")&gt;=3),"",IF(W289=1,VALUE(LEFT('Base Encuesta'!AJ263,1)),""))</f>
        <v/>
      </c>
      <c r="AC289" t="str">
        <f>IF(OR('Base Encuesta'!AL263="",IFERROR(VALUE(LEFT('Base Encuesta'!K263,1)),"")&gt;=3),"",VALUE(LEFT('Base Encuesta'!AL263,1)))</f>
        <v/>
      </c>
      <c r="AD289" t="str">
        <f>IF(OR('Base Encuesta'!AM263="",IFERROR(VALUE(LEFT('Base Encuesta'!K263,1)),"")&gt;=3),"",VALUE(LEFT('Base Encuesta'!AM263,1)))</f>
        <v/>
      </c>
      <c r="AE289" t="str">
        <f>IF(OR('Base Encuesta'!AN263="",IFERROR(VALUE(LEFT('Base Encuesta'!K263,1)),"")&gt;=3),"",VALUE(LEFT('Base Encuesta'!AN263,1)))</f>
        <v/>
      </c>
      <c r="AF289" t="str">
        <f>IF(OR('Base Encuesta'!AO263="",IFERROR(VALUE(LEFT('Base Encuesta'!K263,1)),"")&gt;=3),"",VALUE(LEFT('Base Encuesta'!AO263,1)))</f>
        <v/>
      </c>
      <c r="AG289" t="str">
        <f>IF(OR('Base Encuesta'!AQ263="",IFERROR(VALUE(LEFT('Base Encuesta'!K263,1)),"")&gt;=3),"",VALUE(LEFT('Base Encuesta'!AQ263,1)))</f>
        <v/>
      </c>
      <c r="AH289" t="str">
        <f>IF(OR('Base Encuesta'!AR263="",IFERROR(VALUE(LEFT('Base Encuesta'!K263,1)),"")&gt;=3),"",VALUE(LEFT('Base Encuesta'!AR263,1)))</f>
        <v/>
      </c>
    </row>
    <row r="290" spans="1:34">
      <c r="A290" t="str">
        <f>IF('Base Encuesta'!C264="","",'Base Encuesta'!C264)</f>
        <v/>
      </c>
      <c r="B290" t="str">
        <f>IF('Base Encuesta'!D264="","",'Base Encuesta'!D264)</f>
        <v/>
      </c>
      <c r="C290" t="str">
        <f>IF('Base Encuesta'!E264="","",'Base Encuesta'!E264)</f>
        <v/>
      </c>
      <c r="D290" t="str">
        <f>IF('Base Encuesta'!F264="","",'Base Encuesta'!F264)</f>
        <v/>
      </c>
      <c r="E290" t="str">
        <f>IF('Base Encuesta'!G264="","",'Base Encuesta'!G264)</f>
        <v/>
      </c>
      <c r="F290" t="str">
        <f>IF('Base Encuesta'!H264="","",'Base Encuesta'!H264)</f>
        <v/>
      </c>
      <c r="G290" t="str">
        <f>IF('Base Encuesta'!I264="","",'Base Encuesta'!I264)</f>
        <v/>
      </c>
      <c r="H290" t="str">
        <f>IF('Base Encuesta'!J264="","",'Base Encuesta'!J264)</f>
        <v/>
      </c>
      <c r="I290" t="str">
        <f>IF('Base Encuesta'!K264="","",'Base Encuesta'!K264)</f>
        <v/>
      </c>
      <c r="J290" t="str">
        <f>IF(OR('Base Encuesta'!P264="",IFERROR(VALUE(LEFT('Base Encuesta'!K264,1)),"")&gt;=3),"",PROPER(TRIM('Base Encuesta'!P264)))</f>
        <v/>
      </c>
      <c r="K290" t="str">
        <f>IF(OR('Base Encuesta'!Q264="",IFERROR(VALUE(LEFT('Base Encuesta'!K264,1)),"")&gt;=3),"",'Base Encuesta'!Q264)</f>
        <v/>
      </c>
      <c r="L290" t="str">
        <f>IF(OR('Base Encuesta'!R264="",IFERROR(VALUE(LEFT('Base Encuesta'!K264,1)),"")&gt;=3),"",VALUE(LEFT('Base Encuesta'!R264,1)))</f>
        <v/>
      </c>
      <c r="M290" t="str">
        <f>IF(OR('Base Encuesta'!S264="",IFERROR(VALUE(LEFT('Base Encuesta'!K264,1)),"")&gt;=3),"",VALUE(LEFT('Base Encuesta'!S264,1)))</f>
        <v/>
      </c>
      <c r="N290" t="str">
        <f>IF(OR('Base Encuesta'!T264="",IFERROR(VALUE(LEFT('Base Encuesta'!K264,1)),"")&gt;=3),"",VALUE(LEFT('Base Encuesta'!T264,1)))</f>
        <v/>
      </c>
      <c r="O290" t="str">
        <f>IF(OR('Base Encuesta'!V264="",IFERROR(VALUE(LEFT('Base Encuesta'!K264,1)),"")&gt;=3),"",VALUE(LEFT('Base Encuesta'!V264,1)))</f>
        <v/>
      </c>
      <c r="P290" t="str">
        <f>IF(OR('Base Encuesta'!W264="",IFERROR(VALUE(LEFT('Base Encuesta'!K264,1)),"")&gt;=3),"",VALUE(LEFT('Base Encuesta'!W264,1)))</f>
        <v/>
      </c>
      <c r="Q290" t="str">
        <f>IF(OR('Base Encuesta'!X264="",IFERROR(VALUE(LEFT('Base Encuesta'!K264,1)),"")&gt;=3),"",VALUE(LEFT('Base Encuesta'!X264,1)))</f>
        <v/>
      </c>
      <c r="R290" t="str">
        <f>IF(OR('Base Encuesta'!Y264="",IFERROR(VALUE(LEFT('Base Encuesta'!K264,1)),"")&gt;=3),"",VALUE(LEFT('Base Encuesta'!Y264,1)))</f>
        <v/>
      </c>
      <c r="S290" t="str">
        <f>IF(OR('Base Encuesta'!Z264="",IFERROR(VALUE(LEFT('Base Encuesta'!K264,1)),"")&gt;=3),"",VALUE(LEFT('Base Encuesta'!Z264,1)))</f>
        <v/>
      </c>
      <c r="T290" t="str">
        <f>IF(OR('Base Encuesta'!AA264="",IFERROR(VALUE(LEFT('Base Encuesta'!K264,1)),"")&gt;=3),"",VALUE(LEFT('Base Encuesta'!AA264,1)))</f>
        <v/>
      </c>
      <c r="U290" t="str">
        <f>IF(OR('Base Encuesta'!AB264="",IFERROR(VALUE(LEFT('Base Encuesta'!K264,1)),"")&gt;=3),"",VALUE(LEFT('Base Encuesta'!AB264,1)))</f>
        <v/>
      </c>
      <c r="V290" t="str">
        <f>IF(OR('Base Encuesta'!AC264="",IFERROR(VALUE(LEFT('Base Encuesta'!K264,1)),"")&gt;=3),"",VALUE(LEFT('Base Encuesta'!AC264,1)))</f>
        <v/>
      </c>
      <c r="W290" t="str">
        <f>IF(OR('Base Encuesta'!AE264="",IFERROR(VALUE(LEFT('Base Encuesta'!K264,1)),"")&gt;=3),"",VALUE(LEFT('Base Encuesta'!AE264,1)))</f>
        <v/>
      </c>
      <c r="X290" t="str">
        <f>IF(OR('Base Encuesta'!AF264="",IFERROR(VALUE(LEFT('Base Encuesta'!K264,1)),"")&gt;=3),"",IF(W290=1,VALUE(LEFT('Base Encuesta'!AF264,1)),""))</f>
        <v/>
      </c>
      <c r="Y290" t="str">
        <f>IF(OR('Base Encuesta'!AG264="",IFERROR(VALUE(LEFT('Base Encuesta'!K264,1)),"")&gt;=3),"",IF(W290=1,VALUE(LEFT('Base Encuesta'!AG264,1)),""))</f>
        <v/>
      </c>
      <c r="Z290" t="str">
        <f>IF(OR('Base Encuesta'!AH264="",IFERROR(VALUE(LEFT('Base Encuesta'!K264,1)),"")&gt;=3),"",IF(W290=1,VALUE(LEFT('Base Encuesta'!AH264,1)),""))</f>
        <v/>
      </c>
      <c r="AA290" t="str">
        <f>IF(OR('Base Encuesta'!AI264="",IFERROR(VALUE(LEFT('Base Encuesta'!K264,1)),"")&gt;=3),"",IF(W290=1,VALUE(LEFT('Base Encuesta'!AI264,1)),""))</f>
        <v/>
      </c>
      <c r="AB290" t="str">
        <f>IF(OR('Base Encuesta'!AJ264="",IFERROR(VALUE(LEFT('Base Encuesta'!K264,1)),"")&gt;=3),"",IF(W290=1,VALUE(LEFT('Base Encuesta'!AJ264,1)),""))</f>
        <v/>
      </c>
      <c r="AC290" t="str">
        <f>IF(OR('Base Encuesta'!AL264="",IFERROR(VALUE(LEFT('Base Encuesta'!K264,1)),"")&gt;=3),"",VALUE(LEFT('Base Encuesta'!AL264,1)))</f>
        <v/>
      </c>
      <c r="AD290" t="str">
        <f>IF(OR('Base Encuesta'!AM264="",IFERROR(VALUE(LEFT('Base Encuesta'!K264,1)),"")&gt;=3),"",VALUE(LEFT('Base Encuesta'!AM264,1)))</f>
        <v/>
      </c>
      <c r="AE290" t="str">
        <f>IF(OR('Base Encuesta'!AN264="",IFERROR(VALUE(LEFT('Base Encuesta'!K264,1)),"")&gt;=3),"",VALUE(LEFT('Base Encuesta'!AN264,1)))</f>
        <v/>
      </c>
      <c r="AF290" t="str">
        <f>IF(OR('Base Encuesta'!AO264="",IFERROR(VALUE(LEFT('Base Encuesta'!K264,1)),"")&gt;=3),"",VALUE(LEFT('Base Encuesta'!AO264,1)))</f>
        <v/>
      </c>
      <c r="AG290" t="str">
        <f>IF(OR('Base Encuesta'!AQ264="",IFERROR(VALUE(LEFT('Base Encuesta'!K264,1)),"")&gt;=3),"",VALUE(LEFT('Base Encuesta'!AQ264,1)))</f>
        <v/>
      </c>
      <c r="AH290" t="str">
        <f>IF(OR('Base Encuesta'!AR264="",IFERROR(VALUE(LEFT('Base Encuesta'!K264,1)),"")&gt;=3),"",VALUE(LEFT('Base Encuesta'!AR264,1)))</f>
        <v/>
      </c>
    </row>
    <row r="291" spans="1:34">
      <c r="A291" t="str">
        <f>IF('Base Encuesta'!C265="","",'Base Encuesta'!C265)</f>
        <v/>
      </c>
      <c r="B291" t="str">
        <f>IF('Base Encuesta'!D265="","",'Base Encuesta'!D265)</f>
        <v/>
      </c>
      <c r="C291" t="str">
        <f>IF('Base Encuesta'!E265="","",'Base Encuesta'!E265)</f>
        <v/>
      </c>
      <c r="D291" t="str">
        <f>IF('Base Encuesta'!F265="","",'Base Encuesta'!F265)</f>
        <v/>
      </c>
      <c r="E291" t="str">
        <f>IF('Base Encuesta'!G265="","",'Base Encuesta'!G265)</f>
        <v/>
      </c>
      <c r="F291" t="str">
        <f>IF('Base Encuesta'!H265="","",'Base Encuesta'!H265)</f>
        <v/>
      </c>
      <c r="G291" t="str">
        <f>IF('Base Encuesta'!I265="","",'Base Encuesta'!I265)</f>
        <v/>
      </c>
      <c r="H291" t="str">
        <f>IF('Base Encuesta'!J265="","",'Base Encuesta'!J265)</f>
        <v/>
      </c>
      <c r="I291" t="str">
        <f>IF('Base Encuesta'!K265="","",'Base Encuesta'!K265)</f>
        <v/>
      </c>
      <c r="J291" t="str">
        <f>IF(OR('Base Encuesta'!P265="",IFERROR(VALUE(LEFT('Base Encuesta'!K265,1)),"")&gt;=3),"",PROPER(TRIM('Base Encuesta'!P265)))</f>
        <v/>
      </c>
      <c r="K291" t="str">
        <f>IF(OR('Base Encuesta'!Q265="",IFERROR(VALUE(LEFT('Base Encuesta'!K265,1)),"")&gt;=3),"",'Base Encuesta'!Q265)</f>
        <v/>
      </c>
      <c r="L291" t="str">
        <f>IF(OR('Base Encuesta'!R265="",IFERROR(VALUE(LEFT('Base Encuesta'!K265,1)),"")&gt;=3),"",VALUE(LEFT('Base Encuesta'!R265,1)))</f>
        <v/>
      </c>
      <c r="M291" t="str">
        <f>IF(OR('Base Encuesta'!S265="",IFERROR(VALUE(LEFT('Base Encuesta'!K265,1)),"")&gt;=3),"",VALUE(LEFT('Base Encuesta'!S265,1)))</f>
        <v/>
      </c>
      <c r="N291" t="str">
        <f>IF(OR('Base Encuesta'!T265="",IFERROR(VALUE(LEFT('Base Encuesta'!K265,1)),"")&gt;=3),"",VALUE(LEFT('Base Encuesta'!T265,1)))</f>
        <v/>
      </c>
      <c r="O291" t="str">
        <f>IF(OR('Base Encuesta'!V265="",IFERROR(VALUE(LEFT('Base Encuesta'!K265,1)),"")&gt;=3),"",VALUE(LEFT('Base Encuesta'!V265,1)))</f>
        <v/>
      </c>
      <c r="P291" t="str">
        <f>IF(OR('Base Encuesta'!W265="",IFERROR(VALUE(LEFT('Base Encuesta'!K265,1)),"")&gt;=3),"",VALUE(LEFT('Base Encuesta'!W265,1)))</f>
        <v/>
      </c>
      <c r="Q291" t="str">
        <f>IF(OR('Base Encuesta'!X265="",IFERROR(VALUE(LEFT('Base Encuesta'!K265,1)),"")&gt;=3),"",VALUE(LEFT('Base Encuesta'!X265,1)))</f>
        <v/>
      </c>
      <c r="R291" t="str">
        <f>IF(OR('Base Encuesta'!Y265="",IFERROR(VALUE(LEFT('Base Encuesta'!K265,1)),"")&gt;=3),"",VALUE(LEFT('Base Encuesta'!Y265,1)))</f>
        <v/>
      </c>
      <c r="S291" t="str">
        <f>IF(OR('Base Encuesta'!Z265="",IFERROR(VALUE(LEFT('Base Encuesta'!K265,1)),"")&gt;=3),"",VALUE(LEFT('Base Encuesta'!Z265,1)))</f>
        <v/>
      </c>
      <c r="T291" t="str">
        <f>IF(OR('Base Encuesta'!AA265="",IFERROR(VALUE(LEFT('Base Encuesta'!K265,1)),"")&gt;=3),"",VALUE(LEFT('Base Encuesta'!AA265,1)))</f>
        <v/>
      </c>
      <c r="U291" t="str">
        <f>IF(OR('Base Encuesta'!AB265="",IFERROR(VALUE(LEFT('Base Encuesta'!K265,1)),"")&gt;=3),"",VALUE(LEFT('Base Encuesta'!AB265,1)))</f>
        <v/>
      </c>
      <c r="V291" t="str">
        <f>IF(OR('Base Encuesta'!AC265="",IFERROR(VALUE(LEFT('Base Encuesta'!K265,1)),"")&gt;=3),"",VALUE(LEFT('Base Encuesta'!AC265,1)))</f>
        <v/>
      </c>
      <c r="W291" t="str">
        <f>IF(OR('Base Encuesta'!AE265="",IFERROR(VALUE(LEFT('Base Encuesta'!K265,1)),"")&gt;=3),"",VALUE(LEFT('Base Encuesta'!AE265,1)))</f>
        <v/>
      </c>
      <c r="X291" t="str">
        <f>IF(OR('Base Encuesta'!AF265="",IFERROR(VALUE(LEFT('Base Encuesta'!K265,1)),"")&gt;=3),"",IF(W291=1,VALUE(LEFT('Base Encuesta'!AF265,1)),""))</f>
        <v/>
      </c>
      <c r="Y291" t="str">
        <f>IF(OR('Base Encuesta'!AG265="",IFERROR(VALUE(LEFT('Base Encuesta'!K265,1)),"")&gt;=3),"",IF(W291=1,VALUE(LEFT('Base Encuesta'!AG265,1)),""))</f>
        <v/>
      </c>
      <c r="Z291" t="str">
        <f>IF(OR('Base Encuesta'!AH265="",IFERROR(VALUE(LEFT('Base Encuesta'!K265,1)),"")&gt;=3),"",IF(W291=1,VALUE(LEFT('Base Encuesta'!AH265,1)),""))</f>
        <v/>
      </c>
      <c r="AA291" t="str">
        <f>IF(OR('Base Encuesta'!AI265="",IFERROR(VALUE(LEFT('Base Encuesta'!K265,1)),"")&gt;=3),"",IF(W291=1,VALUE(LEFT('Base Encuesta'!AI265,1)),""))</f>
        <v/>
      </c>
      <c r="AB291" t="str">
        <f>IF(OR('Base Encuesta'!AJ265="",IFERROR(VALUE(LEFT('Base Encuesta'!K265,1)),"")&gt;=3),"",IF(W291=1,VALUE(LEFT('Base Encuesta'!AJ265,1)),""))</f>
        <v/>
      </c>
      <c r="AC291" t="str">
        <f>IF(OR('Base Encuesta'!AL265="",IFERROR(VALUE(LEFT('Base Encuesta'!K265,1)),"")&gt;=3),"",VALUE(LEFT('Base Encuesta'!AL265,1)))</f>
        <v/>
      </c>
      <c r="AD291" t="str">
        <f>IF(OR('Base Encuesta'!AM265="",IFERROR(VALUE(LEFT('Base Encuesta'!K265,1)),"")&gt;=3),"",VALUE(LEFT('Base Encuesta'!AM265,1)))</f>
        <v/>
      </c>
      <c r="AE291" t="str">
        <f>IF(OR('Base Encuesta'!AN265="",IFERROR(VALUE(LEFT('Base Encuesta'!K265,1)),"")&gt;=3),"",VALUE(LEFT('Base Encuesta'!AN265,1)))</f>
        <v/>
      </c>
      <c r="AF291" t="str">
        <f>IF(OR('Base Encuesta'!AO265="",IFERROR(VALUE(LEFT('Base Encuesta'!K265,1)),"")&gt;=3),"",VALUE(LEFT('Base Encuesta'!AO265,1)))</f>
        <v/>
      </c>
      <c r="AG291" t="str">
        <f>IF(OR('Base Encuesta'!AQ265="",IFERROR(VALUE(LEFT('Base Encuesta'!K265,1)),"")&gt;=3),"",VALUE(LEFT('Base Encuesta'!AQ265,1)))</f>
        <v/>
      </c>
      <c r="AH291" t="str">
        <f>IF(OR('Base Encuesta'!AR265="",IFERROR(VALUE(LEFT('Base Encuesta'!K265,1)),"")&gt;=3),"",VALUE(LEFT('Base Encuesta'!AR265,1)))</f>
        <v/>
      </c>
    </row>
    <row r="292" spans="1:34">
      <c r="A292" t="str">
        <f>IF('Base Encuesta'!C266="","",'Base Encuesta'!C266)</f>
        <v/>
      </c>
      <c r="B292" t="str">
        <f>IF('Base Encuesta'!D266="","",'Base Encuesta'!D266)</f>
        <v/>
      </c>
      <c r="C292" t="str">
        <f>IF('Base Encuesta'!E266="","",'Base Encuesta'!E266)</f>
        <v/>
      </c>
      <c r="D292" t="str">
        <f>IF('Base Encuesta'!F266="","",'Base Encuesta'!F266)</f>
        <v/>
      </c>
      <c r="E292" t="str">
        <f>IF('Base Encuesta'!G266="","",'Base Encuesta'!G266)</f>
        <v/>
      </c>
      <c r="F292" t="str">
        <f>IF('Base Encuesta'!H266="","",'Base Encuesta'!H266)</f>
        <v/>
      </c>
      <c r="G292" t="str">
        <f>IF('Base Encuesta'!I266="","",'Base Encuesta'!I266)</f>
        <v/>
      </c>
      <c r="H292" t="str">
        <f>IF('Base Encuesta'!J266="","",'Base Encuesta'!J266)</f>
        <v/>
      </c>
      <c r="I292" t="str">
        <f>IF('Base Encuesta'!K266="","",'Base Encuesta'!K266)</f>
        <v/>
      </c>
      <c r="J292" t="str">
        <f>IF(OR('Base Encuesta'!P266="",IFERROR(VALUE(LEFT('Base Encuesta'!K266,1)),"")&gt;=3),"",PROPER(TRIM('Base Encuesta'!P266)))</f>
        <v/>
      </c>
      <c r="K292" t="str">
        <f>IF(OR('Base Encuesta'!Q266="",IFERROR(VALUE(LEFT('Base Encuesta'!K266,1)),"")&gt;=3),"",'Base Encuesta'!Q266)</f>
        <v/>
      </c>
      <c r="L292" t="str">
        <f>IF(OR('Base Encuesta'!R266="",IFERROR(VALUE(LEFT('Base Encuesta'!K266,1)),"")&gt;=3),"",VALUE(LEFT('Base Encuesta'!R266,1)))</f>
        <v/>
      </c>
      <c r="M292" t="str">
        <f>IF(OR('Base Encuesta'!S266="",IFERROR(VALUE(LEFT('Base Encuesta'!K266,1)),"")&gt;=3),"",VALUE(LEFT('Base Encuesta'!S266,1)))</f>
        <v/>
      </c>
      <c r="N292" t="str">
        <f>IF(OR('Base Encuesta'!T266="",IFERROR(VALUE(LEFT('Base Encuesta'!K266,1)),"")&gt;=3),"",VALUE(LEFT('Base Encuesta'!T266,1)))</f>
        <v/>
      </c>
      <c r="O292" t="str">
        <f>IF(OR('Base Encuesta'!V266="",IFERROR(VALUE(LEFT('Base Encuesta'!K266,1)),"")&gt;=3),"",VALUE(LEFT('Base Encuesta'!V266,1)))</f>
        <v/>
      </c>
      <c r="P292" t="str">
        <f>IF(OR('Base Encuesta'!W266="",IFERROR(VALUE(LEFT('Base Encuesta'!K266,1)),"")&gt;=3),"",VALUE(LEFT('Base Encuesta'!W266,1)))</f>
        <v/>
      </c>
      <c r="Q292" t="str">
        <f>IF(OR('Base Encuesta'!X266="",IFERROR(VALUE(LEFT('Base Encuesta'!K266,1)),"")&gt;=3),"",VALUE(LEFT('Base Encuesta'!X266,1)))</f>
        <v/>
      </c>
      <c r="R292" t="str">
        <f>IF(OR('Base Encuesta'!Y266="",IFERROR(VALUE(LEFT('Base Encuesta'!K266,1)),"")&gt;=3),"",VALUE(LEFT('Base Encuesta'!Y266,1)))</f>
        <v/>
      </c>
      <c r="S292" t="str">
        <f>IF(OR('Base Encuesta'!Z266="",IFERROR(VALUE(LEFT('Base Encuesta'!K266,1)),"")&gt;=3),"",VALUE(LEFT('Base Encuesta'!Z266,1)))</f>
        <v/>
      </c>
      <c r="T292" t="str">
        <f>IF(OR('Base Encuesta'!AA266="",IFERROR(VALUE(LEFT('Base Encuesta'!K266,1)),"")&gt;=3),"",VALUE(LEFT('Base Encuesta'!AA266,1)))</f>
        <v/>
      </c>
      <c r="U292" t="str">
        <f>IF(OR('Base Encuesta'!AB266="",IFERROR(VALUE(LEFT('Base Encuesta'!K266,1)),"")&gt;=3),"",VALUE(LEFT('Base Encuesta'!AB266,1)))</f>
        <v/>
      </c>
      <c r="V292" t="str">
        <f>IF(OR('Base Encuesta'!AC266="",IFERROR(VALUE(LEFT('Base Encuesta'!K266,1)),"")&gt;=3),"",VALUE(LEFT('Base Encuesta'!AC266,1)))</f>
        <v/>
      </c>
      <c r="W292" t="str">
        <f>IF(OR('Base Encuesta'!AE266="",IFERROR(VALUE(LEFT('Base Encuesta'!K266,1)),"")&gt;=3),"",VALUE(LEFT('Base Encuesta'!AE266,1)))</f>
        <v/>
      </c>
      <c r="X292" t="str">
        <f>IF(OR('Base Encuesta'!AF266="",IFERROR(VALUE(LEFT('Base Encuesta'!K266,1)),"")&gt;=3),"",IF(W292=1,VALUE(LEFT('Base Encuesta'!AF266,1)),""))</f>
        <v/>
      </c>
      <c r="Y292" t="str">
        <f>IF(OR('Base Encuesta'!AG266="",IFERROR(VALUE(LEFT('Base Encuesta'!K266,1)),"")&gt;=3),"",IF(W292=1,VALUE(LEFT('Base Encuesta'!AG266,1)),""))</f>
        <v/>
      </c>
      <c r="Z292" t="str">
        <f>IF(OR('Base Encuesta'!AH266="",IFERROR(VALUE(LEFT('Base Encuesta'!K266,1)),"")&gt;=3),"",IF(W292=1,VALUE(LEFT('Base Encuesta'!AH266,1)),""))</f>
        <v/>
      </c>
      <c r="AA292" t="str">
        <f>IF(OR('Base Encuesta'!AI266="",IFERROR(VALUE(LEFT('Base Encuesta'!K266,1)),"")&gt;=3),"",IF(W292=1,VALUE(LEFT('Base Encuesta'!AI266,1)),""))</f>
        <v/>
      </c>
      <c r="AB292" t="str">
        <f>IF(OR('Base Encuesta'!AJ266="",IFERROR(VALUE(LEFT('Base Encuesta'!K266,1)),"")&gt;=3),"",IF(W292=1,VALUE(LEFT('Base Encuesta'!AJ266,1)),""))</f>
        <v/>
      </c>
      <c r="AC292" t="str">
        <f>IF(OR('Base Encuesta'!AL266="",IFERROR(VALUE(LEFT('Base Encuesta'!K266,1)),"")&gt;=3),"",VALUE(LEFT('Base Encuesta'!AL266,1)))</f>
        <v/>
      </c>
      <c r="AD292" t="str">
        <f>IF(OR('Base Encuesta'!AM266="",IFERROR(VALUE(LEFT('Base Encuesta'!K266,1)),"")&gt;=3),"",VALUE(LEFT('Base Encuesta'!AM266,1)))</f>
        <v/>
      </c>
      <c r="AE292" t="str">
        <f>IF(OR('Base Encuesta'!AN266="",IFERROR(VALUE(LEFT('Base Encuesta'!K266,1)),"")&gt;=3),"",VALUE(LEFT('Base Encuesta'!AN266,1)))</f>
        <v/>
      </c>
      <c r="AF292" t="str">
        <f>IF(OR('Base Encuesta'!AO266="",IFERROR(VALUE(LEFT('Base Encuesta'!K266,1)),"")&gt;=3),"",VALUE(LEFT('Base Encuesta'!AO266,1)))</f>
        <v/>
      </c>
      <c r="AG292" t="str">
        <f>IF(OR('Base Encuesta'!AQ266="",IFERROR(VALUE(LEFT('Base Encuesta'!K266,1)),"")&gt;=3),"",VALUE(LEFT('Base Encuesta'!AQ266,1)))</f>
        <v/>
      </c>
      <c r="AH292" t="str">
        <f>IF(OR('Base Encuesta'!AR266="",IFERROR(VALUE(LEFT('Base Encuesta'!K266,1)),"")&gt;=3),"",VALUE(LEFT('Base Encuesta'!AR266,1)))</f>
        <v/>
      </c>
    </row>
    <row r="293" spans="1:34">
      <c r="A293" t="str">
        <f>IF('Base Encuesta'!C267="","",'Base Encuesta'!C267)</f>
        <v/>
      </c>
      <c r="B293" t="str">
        <f>IF('Base Encuesta'!D267="","",'Base Encuesta'!D267)</f>
        <v/>
      </c>
      <c r="C293" t="str">
        <f>IF('Base Encuesta'!E267="","",'Base Encuesta'!E267)</f>
        <v/>
      </c>
      <c r="D293" t="str">
        <f>IF('Base Encuesta'!F267="","",'Base Encuesta'!F267)</f>
        <v/>
      </c>
      <c r="E293" t="str">
        <f>IF('Base Encuesta'!G267="","",'Base Encuesta'!G267)</f>
        <v/>
      </c>
      <c r="F293" t="str">
        <f>IF('Base Encuesta'!H267="","",'Base Encuesta'!H267)</f>
        <v/>
      </c>
      <c r="G293" t="str">
        <f>IF('Base Encuesta'!I267="","",'Base Encuesta'!I267)</f>
        <v/>
      </c>
      <c r="H293" t="str">
        <f>IF('Base Encuesta'!J267="","",'Base Encuesta'!J267)</f>
        <v/>
      </c>
      <c r="I293" t="str">
        <f>IF('Base Encuesta'!K267="","",'Base Encuesta'!K267)</f>
        <v/>
      </c>
      <c r="J293" t="str">
        <f>IF(OR('Base Encuesta'!P267="",IFERROR(VALUE(LEFT('Base Encuesta'!K267,1)),"")&gt;=3),"",PROPER(TRIM('Base Encuesta'!P267)))</f>
        <v/>
      </c>
      <c r="K293" t="str">
        <f>IF(OR('Base Encuesta'!Q267="",IFERROR(VALUE(LEFT('Base Encuesta'!K267,1)),"")&gt;=3),"",'Base Encuesta'!Q267)</f>
        <v/>
      </c>
      <c r="L293" t="str">
        <f>IF(OR('Base Encuesta'!R267="",IFERROR(VALUE(LEFT('Base Encuesta'!K267,1)),"")&gt;=3),"",VALUE(LEFT('Base Encuesta'!R267,1)))</f>
        <v/>
      </c>
      <c r="M293" t="str">
        <f>IF(OR('Base Encuesta'!S267="",IFERROR(VALUE(LEFT('Base Encuesta'!K267,1)),"")&gt;=3),"",VALUE(LEFT('Base Encuesta'!S267,1)))</f>
        <v/>
      </c>
      <c r="N293" t="str">
        <f>IF(OR('Base Encuesta'!T267="",IFERROR(VALUE(LEFT('Base Encuesta'!K267,1)),"")&gt;=3),"",VALUE(LEFT('Base Encuesta'!T267,1)))</f>
        <v/>
      </c>
      <c r="O293" t="str">
        <f>IF(OR('Base Encuesta'!V267="",IFERROR(VALUE(LEFT('Base Encuesta'!K267,1)),"")&gt;=3),"",VALUE(LEFT('Base Encuesta'!V267,1)))</f>
        <v/>
      </c>
      <c r="P293" t="str">
        <f>IF(OR('Base Encuesta'!W267="",IFERROR(VALUE(LEFT('Base Encuesta'!K267,1)),"")&gt;=3),"",VALUE(LEFT('Base Encuesta'!W267,1)))</f>
        <v/>
      </c>
      <c r="Q293" t="str">
        <f>IF(OR('Base Encuesta'!X267="",IFERROR(VALUE(LEFT('Base Encuesta'!K267,1)),"")&gt;=3),"",VALUE(LEFT('Base Encuesta'!X267,1)))</f>
        <v/>
      </c>
      <c r="R293" t="str">
        <f>IF(OR('Base Encuesta'!Y267="",IFERROR(VALUE(LEFT('Base Encuesta'!K267,1)),"")&gt;=3),"",VALUE(LEFT('Base Encuesta'!Y267,1)))</f>
        <v/>
      </c>
      <c r="S293" t="str">
        <f>IF(OR('Base Encuesta'!Z267="",IFERROR(VALUE(LEFT('Base Encuesta'!K267,1)),"")&gt;=3),"",VALUE(LEFT('Base Encuesta'!Z267,1)))</f>
        <v/>
      </c>
      <c r="T293" t="str">
        <f>IF(OR('Base Encuesta'!AA267="",IFERROR(VALUE(LEFT('Base Encuesta'!K267,1)),"")&gt;=3),"",VALUE(LEFT('Base Encuesta'!AA267,1)))</f>
        <v/>
      </c>
      <c r="U293" t="str">
        <f>IF(OR('Base Encuesta'!AB267="",IFERROR(VALUE(LEFT('Base Encuesta'!K267,1)),"")&gt;=3),"",VALUE(LEFT('Base Encuesta'!AB267,1)))</f>
        <v/>
      </c>
      <c r="V293" t="str">
        <f>IF(OR('Base Encuesta'!AC267="",IFERROR(VALUE(LEFT('Base Encuesta'!K267,1)),"")&gt;=3),"",VALUE(LEFT('Base Encuesta'!AC267,1)))</f>
        <v/>
      </c>
      <c r="W293" t="str">
        <f>IF(OR('Base Encuesta'!AE267="",IFERROR(VALUE(LEFT('Base Encuesta'!K267,1)),"")&gt;=3),"",VALUE(LEFT('Base Encuesta'!AE267,1)))</f>
        <v/>
      </c>
      <c r="X293" t="str">
        <f>IF(OR('Base Encuesta'!AF267="",IFERROR(VALUE(LEFT('Base Encuesta'!K267,1)),"")&gt;=3),"",IF(W293=1,VALUE(LEFT('Base Encuesta'!AF267,1)),""))</f>
        <v/>
      </c>
      <c r="Y293" t="str">
        <f>IF(OR('Base Encuesta'!AG267="",IFERROR(VALUE(LEFT('Base Encuesta'!K267,1)),"")&gt;=3),"",IF(W293=1,VALUE(LEFT('Base Encuesta'!AG267,1)),""))</f>
        <v/>
      </c>
      <c r="Z293" t="str">
        <f>IF(OR('Base Encuesta'!AH267="",IFERROR(VALUE(LEFT('Base Encuesta'!K267,1)),"")&gt;=3),"",IF(W293=1,VALUE(LEFT('Base Encuesta'!AH267,1)),""))</f>
        <v/>
      </c>
      <c r="AA293" t="str">
        <f>IF(OR('Base Encuesta'!AI267="",IFERROR(VALUE(LEFT('Base Encuesta'!K267,1)),"")&gt;=3),"",IF(W293=1,VALUE(LEFT('Base Encuesta'!AI267,1)),""))</f>
        <v/>
      </c>
      <c r="AB293" t="str">
        <f>IF(OR('Base Encuesta'!AJ267="",IFERROR(VALUE(LEFT('Base Encuesta'!K267,1)),"")&gt;=3),"",IF(W293=1,VALUE(LEFT('Base Encuesta'!AJ267,1)),""))</f>
        <v/>
      </c>
      <c r="AC293" t="str">
        <f>IF(OR('Base Encuesta'!AL267="",IFERROR(VALUE(LEFT('Base Encuesta'!K267,1)),"")&gt;=3),"",VALUE(LEFT('Base Encuesta'!AL267,1)))</f>
        <v/>
      </c>
      <c r="AD293" t="str">
        <f>IF(OR('Base Encuesta'!AM267="",IFERROR(VALUE(LEFT('Base Encuesta'!K267,1)),"")&gt;=3),"",VALUE(LEFT('Base Encuesta'!AM267,1)))</f>
        <v/>
      </c>
      <c r="AE293" t="str">
        <f>IF(OR('Base Encuesta'!AN267="",IFERROR(VALUE(LEFT('Base Encuesta'!K267,1)),"")&gt;=3),"",VALUE(LEFT('Base Encuesta'!AN267,1)))</f>
        <v/>
      </c>
      <c r="AF293" t="str">
        <f>IF(OR('Base Encuesta'!AO267="",IFERROR(VALUE(LEFT('Base Encuesta'!K267,1)),"")&gt;=3),"",VALUE(LEFT('Base Encuesta'!AO267,1)))</f>
        <v/>
      </c>
      <c r="AG293" t="str">
        <f>IF(OR('Base Encuesta'!AQ267="",IFERROR(VALUE(LEFT('Base Encuesta'!K267,1)),"")&gt;=3),"",VALUE(LEFT('Base Encuesta'!AQ267,1)))</f>
        <v/>
      </c>
      <c r="AH293" t="str">
        <f>IF(OR('Base Encuesta'!AR267="",IFERROR(VALUE(LEFT('Base Encuesta'!K267,1)),"")&gt;=3),"",VALUE(LEFT('Base Encuesta'!AR267,1)))</f>
        <v/>
      </c>
    </row>
    <row r="294" spans="1:34">
      <c r="A294" t="str">
        <f>IF('Base Encuesta'!C268="","",'Base Encuesta'!C268)</f>
        <v/>
      </c>
      <c r="B294" t="str">
        <f>IF('Base Encuesta'!D268="","",'Base Encuesta'!D268)</f>
        <v/>
      </c>
      <c r="C294" t="str">
        <f>IF('Base Encuesta'!E268="","",'Base Encuesta'!E268)</f>
        <v/>
      </c>
      <c r="D294" t="str">
        <f>IF('Base Encuesta'!F268="","",'Base Encuesta'!F268)</f>
        <v/>
      </c>
      <c r="E294" t="str">
        <f>IF('Base Encuesta'!G268="","",'Base Encuesta'!G268)</f>
        <v/>
      </c>
      <c r="F294" t="str">
        <f>IF('Base Encuesta'!H268="","",'Base Encuesta'!H268)</f>
        <v/>
      </c>
      <c r="G294" t="str">
        <f>IF('Base Encuesta'!I268="","",'Base Encuesta'!I268)</f>
        <v/>
      </c>
      <c r="H294" t="str">
        <f>IF('Base Encuesta'!J268="","",'Base Encuesta'!J268)</f>
        <v/>
      </c>
      <c r="I294" t="str">
        <f>IF('Base Encuesta'!K268="","",'Base Encuesta'!K268)</f>
        <v/>
      </c>
      <c r="J294" t="str">
        <f>IF(OR('Base Encuesta'!P268="",IFERROR(VALUE(LEFT('Base Encuesta'!K268,1)),"")&gt;=3),"",PROPER(TRIM('Base Encuesta'!P268)))</f>
        <v/>
      </c>
      <c r="K294" t="str">
        <f>IF(OR('Base Encuesta'!Q268="",IFERROR(VALUE(LEFT('Base Encuesta'!K268,1)),"")&gt;=3),"",'Base Encuesta'!Q268)</f>
        <v/>
      </c>
      <c r="L294" t="str">
        <f>IF(OR('Base Encuesta'!R268="",IFERROR(VALUE(LEFT('Base Encuesta'!K268,1)),"")&gt;=3),"",VALUE(LEFT('Base Encuesta'!R268,1)))</f>
        <v/>
      </c>
      <c r="M294" t="str">
        <f>IF(OR('Base Encuesta'!S268="",IFERROR(VALUE(LEFT('Base Encuesta'!K268,1)),"")&gt;=3),"",VALUE(LEFT('Base Encuesta'!S268,1)))</f>
        <v/>
      </c>
      <c r="N294" t="str">
        <f>IF(OR('Base Encuesta'!T268="",IFERROR(VALUE(LEFT('Base Encuesta'!K268,1)),"")&gt;=3),"",VALUE(LEFT('Base Encuesta'!T268,1)))</f>
        <v/>
      </c>
      <c r="O294" t="str">
        <f>IF(OR('Base Encuesta'!V268="",IFERROR(VALUE(LEFT('Base Encuesta'!K268,1)),"")&gt;=3),"",VALUE(LEFT('Base Encuesta'!V268,1)))</f>
        <v/>
      </c>
      <c r="P294" t="str">
        <f>IF(OR('Base Encuesta'!W268="",IFERROR(VALUE(LEFT('Base Encuesta'!K268,1)),"")&gt;=3),"",VALUE(LEFT('Base Encuesta'!W268,1)))</f>
        <v/>
      </c>
      <c r="Q294" t="str">
        <f>IF(OR('Base Encuesta'!X268="",IFERROR(VALUE(LEFT('Base Encuesta'!K268,1)),"")&gt;=3),"",VALUE(LEFT('Base Encuesta'!X268,1)))</f>
        <v/>
      </c>
      <c r="R294" t="str">
        <f>IF(OR('Base Encuesta'!Y268="",IFERROR(VALUE(LEFT('Base Encuesta'!K268,1)),"")&gt;=3),"",VALUE(LEFT('Base Encuesta'!Y268,1)))</f>
        <v/>
      </c>
      <c r="S294" t="str">
        <f>IF(OR('Base Encuesta'!Z268="",IFERROR(VALUE(LEFT('Base Encuesta'!K268,1)),"")&gt;=3),"",VALUE(LEFT('Base Encuesta'!Z268,1)))</f>
        <v/>
      </c>
      <c r="T294" t="str">
        <f>IF(OR('Base Encuesta'!AA268="",IFERROR(VALUE(LEFT('Base Encuesta'!K268,1)),"")&gt;=3),"",VALUE(LEFT('Base Encuesta'!AA268,1)))</f>
        <v/>
      </c>
      <c r="U294" t="str">
        <f>IF(OR('Base Encuesta'!AB268="",IFERROR(VALUE(LEFT('Base Encuesta'!K268,1)),"")&gt;=3),"",VALUE(LEFT('Base Encuesta'!AB268,1)))</f>
        <v/>
      </c>
      <c r="V294" t="str">
        <f>IF(OR('Base Encuesta'!AC268="",IFERROR(VALUE(LEFT('Base Encuesta'!K268,1)),"")&gt;=3),"",VALUE(LEFT('Base Encuesta'!AC268,1)))</f>
        <v/>
      </c>
      <c r="W294" t="str">
        <f>IF(OR('Base Encuesta'!AE268="",IFERROR(VALUE(LEFT('Base Encuesta'!K268,1)),"")&gt;=3),"",VALUE(LEFT('Base Encuesta'!AE268,1)))</f>
        <v/>
      </c>
      <c r="X294" t="str">
        <f>IF(OR('Base Encuesta'!AF268="",IFERROR(VALUE(LEFT('Base Encuesta'!K268,1)),"")&gt;=3),"",IF(W294=1,VALUE(LEFT('Base Encuesta'!AF268,1)),""))</f>
        <v/>
      </c>
      <c r="Y294" t="str">
        <f>IF(OR('Base Encuesta'!AG268="",IFERROR(VALUE(LEFT('Base Encuesta'!K268,1)),"")&gt;=3),"",IF(W294=1,VALUE(LEFT('Base Encuesta'!AG268,1)),""))</f>
        <v/>
      </c>
      <c r="Z294" t="str">
        <f>IF(OR('Base Encuesta'!AH268="",IFERROR(VALUE(LEFT('Base Encuesta'!K268,1)),"")&gt;=3),"",IF(W294=1,VALUE(LEFT('Base Encuesta'!AH268,1)),""))</f>
        <v/>
      </c>
      <c r="AA294" t="str">
        <f>IF(OR('Base Encuesta'!AI268="",IFERROR(VALUE(LEFT('Base Encuesta'!K268,1)),"")&gt;=3),"",IF(W294=1,VALUE(LEFT('Base Encuesta'!AI268,1)),""))</f>
        <v/>
      </c>
      <c r="AB294" t="str">
        <f>IF(OR('Base Encuesta'!AJ268="",IFERROR(VALUE(LEFT('Base Encuesta'!K268,1)),"")&gt;=3),"",IF(W294=1,VALUE(LEFT('Base Encuesta'!AJ268,1)),""))</f>
        <v/>
      </c>
      <c r="AC294" t="str">
        <f>IF(OR('Base Encuesta'!AL268="",IFERROR(VALUE(LEFT('Base Encuesta'!K268,1)),"")&gt;=3),"",VALUE(LEFT('Base Encuesta'!AL268,1)))</f>
        <v/>
      </c>
      <c r="AD294" t="str">
        <f>IF(OR('Base Encuesta'!AM268="",IFERROR(VALUE(LEFT('Base Encuesta'!K268,1)),"")&gt;=3),"",VALUE(LEFT('Base Encuesta'!AM268,1)))</f>
        <v/>
      </c>
      <c r="AE294" t="str">
        <f>IF(OR('Base Encuesta'!AN268="",IFERROR(VALUE(LEFT('Base Encuesta'!K268,1)),"")&gt;=3),"",VALUE(LEFT('Base Encuesta'!AN268,1)))</f>
        <v/>
      </c>
      <c r="AF294" t="str">
        <f>IF(OR('Base Encuesta'!AO268="",IFERROR(VALUE(LEFT('Base Encuesta'!K268,1)),"")&gt;=3),"",VALUE(LEFT('Base Encuesta'!AO268,1)))</f>
        <v/>
      </c>
      <c r="AG294" t="str">
        <f>IF(OR('Base Encuesta'!AQ268="",IFERROR(VALUE(LEFT('Base Encuesta'!K268,1)),"")&gt;=3),"",VALUE(LEFT('Base Encuesta'!AQ268,1)))</f>
        <v/>
      </c>
      <c r="AH294" t="str">
        <f>IF(OR('Base Encuesta'!AR268="",IFERROR(VALUE(LEFT('Base Encuesta'!K268,1)),"")&gt;=3),"",VALUE(LEFT('Base Encuesta'!AR268,1)))</f>
        <v/>
      </c>
    </row>
    <row r="295" spans="1:34">
      <c r="A295" t="str">
        <f>IF('Base Encuesta'!C269="","",'Base Encuesta'!C269)</f>
        <v/>
      </c>
      <c r="B295" t="str">
        <f>IF('Base Encuesta'!D269="","",'Base Encuesta'!D269)</f>
        <v/>
      </c>
      <c r="C295" t="str">
        <f>IF('Base Encuesta'!E269="","",'Base Encuesta'!E269)</f>
        <v/>
      </c>
      <c r="D295" t="str">
        <f>IF('Base Encuesta'!F269="","",'Base Encuesta'!F269)</f>
        <v/>
      </c>
      <c r="E295" t="str">
        <f>IF('Base Encuesta'!G269="","",'Base Encuesta'!G269)</f>
        <v/>
      </c>
      <c r="F295" t="str">
        <f>IF('Base Encuesta'!H269="","",'Base Encuesta'!H269)</f>
        <v/>
      </c>
      <c r="G295" t="str">
        <f>IF('Base Encuesta'!I269="","",'Base Encuesta'!I269)</f>
        <v/>
      </c>
      <c r="H295" t="str">
        <f>IF('Base Encuesta'!J269="","",'Base Encuesta'!J269)</f>
        <v/>
      </c>
      <c r="I295" t="str">
        <f>IF('Base Encuesta'!K269="","",'Base Encuesta'!K269)</f>
        <v/>
      </c>
      <c r="J295" t="str">
        <f>IF(OR('Base Encuesta'!P269="",IFERROR(VALUE(LEFT('Base Encuesta'!K269,1)),"")&gt;=3),"",PROPER(TRIM('Base Encuesta'!P269)))</f>
        <v/>
      </c>
      <c r="K295" t="str">
        <f>IF(OR('Base Encuesta'!Q269="",IFERROR(VALUE(LEFT('Base Encuesta'!K269,1)),"")&gt;=3),"",'Base Encuesta'!Q269)</f>
        <v/>
      </c>
      <c r="L295" t="str">
        <f>IF(OR('Base Encuesta'!R269="",IFERROR(VALUE(LEFT('Base Encuesta'!K269,1)),"")&gt;=3),"",VALUE(LEFT('Base Encuesta'!R269,1)))</f>
        <v/>
      </c>
      <c r="M295" t="str">
        <f>IF(OR('Base Encuesta'!S269="",IFERROR(VALUE(LEFT('Base Encuesta'!K269,1)),"")&gt;=3),"",VALUE(LEFT('Base Encuesta'!S269,1)))</f>
        <v/>
      </c>
      <c r="N295" t="str">
        <f>IF(OR('Base Encuesta'!T269="",IFERROR(VALUE(LEFT('Base Encuesta'!K269,1)),"")&gt;=3),"",VALUE(LEFT('Base Encuesta'!T269,1)))</f>
        <v/>
      </c>
      <c r="O295" t="str">
        <f>IF(OR('Base Encuesta'!V269="",IFERROR(VALUE(LEFT('Base Encuesta'!K269,1)),"")&gt;=3),"",VALUE(LEFT('Base Encuesta'!V269,1)))</f>
        <v/>
      </c>
      <c r="P295" t="str">
        <f>IF(OR('Base Encuesta'!W269="",IFERROR(VALUE(LEFT('Base Encuesta'!K269,1)),"")&gt;=3),"",VALUE(LEFT('Base Encuesta'!W269,1)))</f>
        <v/>
      </c>
      <c r="Q295" t="str">
        <f>IF(OR('Base Encuesta'!X269="",IFERROR(VALUE(LEFT('Base Encuesta'!K269,1)),"")&gt;=3),"",VALUE(LEFT('Base Encuesta'!X269,1)))</f>
        <v/>
      </c>
      <c r="R295" t="str">
        <f>IF(OR('Base Encuesta'!Y269="",IFERROR(VALUE(LEFT('Base Encuesta'!K269,1)),"")&gt;=3),"",VALUE(LEFT('Base Encuesta'!Y269,1)))</f>
        <v/>
      </c>
      <c r="S295" t="str">
        <f>IF(OR('Base Encuesta'!Z269="",IFERROR(VALUE(LEFT('Base Encuesta'!K269,1)),"")&gt;=3),"",VALUE(LEFT('Base Encuesta'!Z269,1)))</f>
        <v/>
      </c>
      <c r="T295" t="str">
        <f>IF(OR('Base Encuesta'!AA269="",IFERROR(VALUE(LEFT('Base Encuesta'!K269,1)),"")&gt;=3),"",VALUE(LEFT('Base Encuesta'!AA269,1)))</f>
        <v/>
      </c>
      <c r="U295" t="str">
        <f>IF(OR('Base Encuesta'!AB269="",IFERROR(VALUE(LEFT('Base Encuesta'!K269,1)),"")&gt;=3),"",VALUE(LEFT('Base Encuesta'!AB269,1)))</f>
        <v/>
      </c>
      <c r="V295" t="str">
        <f>IF(OR('Base Encuesta'!AC269="",IFERROR(VALUE(LEFT('Base Encuesta'!K269,1)),"")&gt;=3),"",VALUE(LEFT('Base Encuesta'!AC269,1)))</f>
        <v/>
      </c>
      <c r="W295" t="str">
        <f>IF(OR('Base Encuesta'!AE269="",IFERROR(VALUE(LEFT('Base Encuesta'!K269,1)),"")&gt;=3),"",VALUE(LEFT('Base Encuesta'!AE269,1)))</f>
        <v/>
      </c>
      <c r="X295" t="str">
        <f>IF(OR('Base Encuesta'!AF269="",IFERROR(VALUE(LEFT('Base Encuesta'!K269,1)),"")&gt;=3),"",IF(W295=1,VALUE(LEFT('Base Encuesta'!AF269,1)),""))</f>
        <v/>
      </c>
      <c r="Y295" t="str">
        <f>IF(OR('Base Encuesta'!AG269="",IFERROR(VALUE(LEFT('Base Encuesta'!K269,1)),"")&gt;=3),"",IF(W295=1,VALUE(LEFT('Base Encuesta'!AG269,1)),""))</f>
        <v/>
      </c>
      <c r="Z295" t="str">
        <f>IF(OR('Base Encuesta'!AH269="",IFERROR(VALUE(LEFT('Base Encuesta'!K269,1)),"")&gt;=3),"",IF(W295=1,VALUE(LEFT('Base Encuesta'!AH269,1)),""))</f>
        <v/>
      </c>
      <c r="AA295" t="str">
        <f>IF(OR('Base Encuesta'!AI269="",IFERROR(VALUE(LEFT('Base Encuesta'!K269,1)),"")&gt;=3),"",IF(W295=1,VALUE(LEFT('Base Encuesta'!AI269,1)),""))</f>
        <v/>
      </c>
      <c r="AB295" t="str">
        <f>IF(OR('Base Encuesta'!AJ269="",IFERROR(VALUE(LEFT('Base Encuesta'!K269,1)),"")&gt;=3),"",IF(W295=1,VALUE(LEFT('Base Encuesta'!AJ269,1)),""))</f>
        <v/>
      </c>
      <c r="AC295" t="str">
        <f>IF(OR('Base Encuesta'!AL269="",IFERROR(VALUE(LEFT('Base Encuesta'!K269,1)),"")&gt;=3),"",VALUE(LEFT('Base Encuesta'!AL269,1)))</f>
        <v/>
      </c>
      <c r="AD295" t="str">
        <f>IF(OR('Base Encuesta'!AM269="",IFERROR(VALUE(LEFT('Base Encuesta'!K269,1)),"")&gt;=3),"",VALUE(LEFT('Base Encuesta'!AM269,1)))</f>
        <v/>
      </c>
      <c r="AE295" t="str">
        <f>IF(OR('Base Encuesta'!AN269="",IFERROR(VALUE(LEFT('Base Encuesta'!K269,1)),"")&gt;=3),"",VALUE(LEFT('Base Encuesta'!AN269,1)))</f>
        <v/>
      </c>
      <c r="AF295" t="str">
        <f>IF(OR('Base Encuesta'!AO269="",IFERROR(VALUE(LEFT('Base Encuesta'!K269,1)),"")&gt;=3),"",VALUE(LEFT('Base Encuesta'!AO269,1)))</f>
        <v/>
      </c>
      <c r="AG295" t="str">
        <f>IF(OR('Base Encuesta'!AQ269="",IFERROR(VALUE(LEFT('Base Encuesta'!K269,1)),"")&gt;=3),"",VALUE(LEFT('Base Encuesta'!AQ269,1)))</f>
        <v/>
      </c>
      <c r="AH295" t="str">
        <f>IF(OR('Base Encuesta'!AR269="",IFERROR(VALUE(LEFT('Base Encuesta'!K269,1)),"")&gt;=3),"",VALUE(LEFT('Base Encuesta'!AR269,1)))</f>
        <v/>
      </c>
    </row>
    <row r="296" spans="1:34">
      <c r="A296" t="str">
        <f>IF('Base Encuesta'!C270="","",'Base Encuesta'!C270)</f>
        <v/>
      </c>
      <c r="B296" t="str">
        <f>IF('Base Encuesta'!D270="","",'Base Encuesta'!D270)</f>
        <v/>
      </c>
      <c r="C296" t="str">
        <f>IF('Base Encuesta'!E270="","",'Base Encuesta'!E270)</f>
        <v/>
      </c>
      <c r="D296" t="str">
        <f>IF('Base Encuesta'!F270="","",'Base Encuesta'!F270)</f>
        <v/>
      </c>
      <c r="E296" t="str">
        <f>IF('Base Encuesta'!G270="","",'Base Encuesta'!G270)</f>
        <v/>
      </c>
      <c r="F296" t="str">
        <f>IF('Base Encuesta'!H270="","",'Base Encuesta'!H270)</f>
        <v/>
      </c>
      <c r="G296" t="str">
        <f>IF('Base Encuesta'!I270="","",'Base Encuesta'!I270)</f>
        <v/>
      </c>
      <c r="H296" t="str">
        <f>IF('Base Encuesta'!J270="","",'Base Encuesta'!J270)</f>
        <v/>
      </c>
      <c r="I296" t="str">
        <f>IF('Base Encuesta'!K270="","",'Base Encuesta'!K270)</f>
        <v/>
      </c>
      <c r="J296" t="str">
        <f>IF(OR('Base Encuesta'!P270="",IFERROR(VALUE(LEFT('Base Encuesta'!K270,1)),"")&gt;=3),"",PROPER(TRIM('Base Encuesta'!P270)))</f>
        <v/>
      </c>
      <c r="K296" t="str">
        <f>IF(OR('Base Encuesta'!Q270="",IFERROR(VALUE(LEFT('Base Encuesta'!K270,1)),"")&gt;=3),"",'Base Encuesta'!Q270)</f>
        <v/>
      </c>
      <c r="L296" t="str">
        <f>IF(OR('Base Encuesta'!R270="",IFERROR(VALUE(LEFT('Base Encuesta'!K270,1)),"")&gt;=3),"",VALUE(LEFT('Base Encuesta'!R270,1)))</f>
        <v/>
      </c>
      <c r="M296" t="str">
        <f>IF(OR('Base Encuesta'!S270="",IFERROR(VALUE(LEFT('Base Encuesta'!K270,1)),"")&gt;=3),"",VALUE(LEFT('Base Encuesta'!S270,1)))</f>
        <v/>
      </c>
      <c r="N296" t="str">
        <f>IF(OR('Base Encuesta'!T270="",IFERROR(VALUE(LEFT('Base Encuesta'!K270,1)),"")&gt;=3),"",VALUE(LEFT('Base Encuesta'!T270,1)))</f>
        <v/>
      </c>
      <c r="O296" t="str">
        <f>IF(OR('Base Encuesta'!V270="",IFERROR(VALUE(LEFT('Base Encuesta'!K270,1)),"")&gt;=3),"",VALUE(LEFT('Base Encuesta'!V270,1)))</f>
        <v/>
      </c>
      <c r="P296" t="str">
        <f>IF(OR('Base Encuesta'!W270="",IFERROR(VALUE(LEFT('Base Encuesta'!K270,1)),"")&gt;=3),"",VALUE(LEFT('Base Encuesta'!W270,1)))</f>
        <v/>
      </c>
      <c r="Q296" t="str">
        <f>IF(OR('Base Encuesta'!X270="",IFERROR(VALUE(LEFT('Base Encuesta'!K270,1)),"")&gt;=3),"",VALUE(LEFT('Base Encuesta'!X270,1)))</f>
        <v/>
      </c>
      <c r="R296" t="str">
        <f>IF(OR('Base Encuesta'!Y270="",IFERROR(VALUE(LEFT('Base Encuesta'!K270,1)),"")&gt;=3),"",VALUE(LEFT('Base Encuesta'!Y270,1)))</f>
        <v/>
      </c>
      <c r="S296" t="str">
        <f>IF(OR('Base Encuesta'!Z270="",IFERROR(VALUE(LEFT('Base Encuesta'!K270,1)),"")&gt;=3),"",VALUE(LEFT('Base Encuesta'!Z270,1)))</f>
        <v/>
      </c>
      <c r="T296" t="str">
        <f>IF(OR('Base Encuesta'!AA270="",IFERROR(VALUE(LEFT('Base Encuesta'!K270,1)),"")&gt;=3),"",VALUE(LEFT('Base Encuesta'!AA270,1)))</f>
        <v/>
      </c>
      <c r="U296" t="str">
        <f>IF(OR('Base Encuesta'!AB270="",IFERROR(VALUE(LEFT('Base Encuesta'!K270,1)),"")&gt;=3),"",VALUE(LEFT('Base Encuesta'!AB270,1)))</f>
        <v/>
      </c>
      <c r="V296" t="str">
        <f>IF(OR('Base Encuesta'!AC270="",IFERROR(VALUE(LEFT('Base Encuesta'!K270,1)),"")&gt;=3),"",VALUE(LEFT('Base Encuesta'!AC270,1)))</f>
        <v/>
      </c>
      <c r="W296" t="str">
        <f>IF(OR('Base Encuesta'!AE270="",IFERROR(VALUE(LEFT('Base Encuesta'!K270,1)),"")&gt;=3),"",VALUE(LEFT('Base Encuesta'!AE270,1)))</f>
        <v/>
      </c>
      <c r="X296" t="str">
        <f>IF(OR('Base Encuesta'!AF270="",IFERROR(VALUE(LEFT('Base Encuesta'!K270,1)),"")&gt;=3),"",IF(W296=1,VALUE(LEFT('Base Encuesta'!AF270,1)),""))</f>
        <v/>
      </c>
      <c r="Y296" t="str">
        <f>IF(OR('Base Encuesta'!AG270="",IFERROR(VALUE(LEFT('Base Encuesta'!K270,1)),"")&gt;=3),"",IF(W296=1,VALUE(LEFT('Base Encuesta'!AG270,1)),""))</f>
        <v/>
      </c>
      <c r="Z296" t="str">
        <f>IF(OR('Base Encuesta'!AH270="",IFERROR(VALUE(LEFT('Base Encuesta'!K270,1)),"")&gt;=3),"",IF(W296=1,VALUE(LEFT('Base Encuesta'!AH270,1)),""))</f>
        <v/>
      </c>
      <c r="AA296" t="str">
        <f>IF(OR('Base Encuesta'!AI270="",IFERROR(VALUE(LEFT('Base Encuesta'!K270,1)),"")&gt;=3),"",IF(W296=1,VALUE(LEFT('Base Encuesta'!AI270,1)),""))</f>
        <v/>
      </c>
      <c r="AB296" t="str">
        <f>IF(OR('Base Encuesta'!AJ270="",IFERROR(VALUE(LEFT('Base Encuesta'!K270,1)),"")&gt;=3),"",IF(W296=1,VALUE(LEFT('Base Encuesta'!AJ270,1)),""))</f>
        <v/>
      </c>
      <c r="AC296" t="str">
        <f>IF(OR('Base Encuesta'!AL270="",IFERROR(VALUE(LEFT('Base Encuesta'!K270,1)),"")&gt;=3),"",VALUE(LEFT('Base Encuesta'!AL270,1)))</f>
        <v/>
      </c>
      <c r="AD296" t="str">
        <f>IF(OR('Base Encuesta'!AM270="",IFERROR(VALUE(LEFT('Base Encuesta'!K270,1)),"")&gt;=3),"",VALUE(LEFT('Base Encuesta'!AM270,1)))</f>
        <v/>
      </c>
      <c r="AE296" t="str">
        <f>IF(OR('Base Encuesta'!AN270="",IFERROR(VALUE(LEFT('Base Encuesta'!K270,1)),"")&gt;=3),"",VALUE(LEFT('Base Encuesta'!AN270,1)))</f>
        <v/>
      </c>
      <c r="AF296" t="str">
        <f>IF(OR('Base Encuesta'!AO270="",IFERROR(VALUE(LEFT('Base Encuesta'!K270,1)),"")&gt;=3),"",VALUE(LEFT('Base Encuesta'!AO270,1)))</f>
        <v/>
      </c>
      <c r="AG296" t="str">
        <f>IF(OR('Base Encuesta'!AQ270="",IFERROR(VALUE(LEFT('Base Encuesta'!K270,1)),"")&gt;=3),"",VALUE(LEFT('Base Encuesta'!AQ270,1)))</f>
        <v/>
      </c>
      <c r="AH296" t="str">
        <f>IF(OR('Base Encuesta'!AR270="",IFERROR(VALUE(LEFT('Base Encuesta'!K270,1)),"")&gt;=3),"",VALUE(LEFT('Base Encuesta'!AR270,1)))</f>
        <v/>
      </c>
    </row>
    <row r="297" spans="1:34">
      <c r="A297" t="str">
        <f>IF('Base Encuesta'!C271="","",'Base Encuesta'!C271)</f>
        <v/>
      </c>
      <c r="B297" t="str">
        <f>IF('Base Encuesta'!D271="","",'Base Encuesta'!D271)</f>
        <v/>
      </c>
      <c r="C297" t="str">
        <f>IF('Base Encuesta'!E271="","",'Base Encuesta'!E271)</f>
        <v/>
      </c>
      <c r="D297" t="str">
        <f>IF('Base Encuesta'!F271="","",'Base Encuesta'!F271)</f>
        <v/>
      </c>
      <c r="E297" t="str">
        <f>IF('Base Encuesta'!G271="","",'Base Encuesta'!G271)</f>
        <v/>
      </c>
      <c r="F297" t="str">
        <f>IF('Base Encuesta'!H271="","",'Base Encuesta'!H271)</f>
        <v/>
      </c>
      <c r="G297" t="str">
        <f>IF('Base Encuesta'!I271="","",'Base Encuesta'!I271)</f>
        <v/>
      </c>
      <c r="H297" t="str">
        <f>IF('Base Encuesta'!J271="","",'Base Encuesta'!J271)</f>
        <v/>
      </c>
      <c r="I297" t="str">
        <f>IF('Base Encuesta'!K271="","",'Base Encuesta'!K271)</f>
        <v/>
      </c>
      <c r="J297" t="str">
        <f>IF(OR('Base Encuesta'!P271="",IFERROR(VALUE(LEFT('Base Encuesta'!K271,1)),"")&gt;=3),"",PROPER(TRIM('Base Encuesta'!P271)))</f>
        <v/>
      </c>
      <c r="K297" t="str">
        <f>IF(OR('Base Encuesta'!Q271="",IFERROR(VALUE(LEFT('Base Encuesta'!K271,1)),"")&gt;=3),"",'Base Encuesta'!Q271)</f>
        <v/>
      </c>
      <c r="L297" t="str">
        <f>IF(OR('Base Encuesta'!R271="",IFERROR(VALUE(LEFT('Base Encuesta'!K271,1)),"")&gt;=3),"",VALUE(LEFT('Base Encuesta'!R271,1)))</f>
        <v/>
      </c>
      <c r="M297" t="str">
        <f>IF(OR('Base Encuesta'!S271="",IFERROR(VALUE(LEFT('Base Encuesta'!K271,1)),"")&gt;=3),"",VALUE(LEFT('Base Encuesta'!S271,1)))</f>
        <v/>
      </c>
      <c r="N297" t="str">
        <f>IF(OR('Base Encuesta'!T271="",IFERROR(VALUE(LEFT('Base Encuesta'!K271,1)),"")&gt;=3),"",VALUE(LEFT('Base Encuesta'!T271,1)))</f>
        <v/>
      </c>
      <c r="O297" t="str">
        <f>IF(OR('Base Encuesta'!V271="",IFERROR(VALUE(LEFT('Base Encuesta'!K271,1)),"")&gt;=3),"",VALUE(LEFT('Base Encuesta'!V271,1)))</f>
        <v/>
      </c>
      <c r="P297" t="str">
        <f>IF(OR('Base Encuesta'!W271="",IFERROR(VALUE(LEFT('Base Encuesta'!K271,1)),"")&gt;=3),"",VALUE(LEFT('Base Encuesta'!W271,1)))</f>
        <v/>
      </c>
      <c r="Q297" t="str">
        <f>IF(OR('Base Encuesta'!X271="",IFERROR(VALUE(LEFT('Base Encuesta'!K271,1)),"")&gt;=3),"",VALUE(LEFT('Base Encuesta'!X271,1)))</f>
        <v/>
      </c>
      <c r="R297" t="str">
        <f>IF(OR('Base Encuesta'!Y271="",IFERROR(VALUE(LEFT('Base Encuesta'!K271,1)),"")&gt;=3),"",VALUE(LEFT('Base Encuesta'!Y271,1)))</f>
        <v/>
      </c>
      <c r="S297" t="str">
        <f>IF(OR('Base Encuesta'!Z271="",IFERROR(VALUE(LEFT('Base Encuesta'!K271,1)),"")&gt;=3),"",VALUE(LEFT('Base Encuesta'!Z271,1)))</f>
        <v/>
      </c>
      <c r="T297" t="str">
        <f>IF(OR('Base Encuesta'!AA271="",IFERROR(VALUE(LEFT('Base Encuesta'!K271,1)),"")&gt;=3),"",VALUE(LEFT('Base Encuesta'!AA271,1)))</f>
        <v/>
      </c>
      <c r="U297" t="str">
        <f>IF(OR('Base Encuesta'!AB271="",IFERROR(VALUE(LEFT('Base Encuesta'!K271,1)),"")&gt;=3),"",VALUE(LEFT('Base Encuesta'!AB271,1)))</f>
        <v/>
      </c>
      <c r="V297" t="str">
        <f>IF(OR('Base Encuesta'!AC271="",IFERROR(VALUE(LEFT('Base Encuesta'!K271,1)),"")&gt;=3),"",VALUE(LEFT('Base Encuesta'!AC271,1)))</f>
        <v/>
      </c>
      <c r="W297" t="str">
        <f>IF(OR('Base Encuesta'!AE271="",IFERROR(VALUE(LEFT('Base Encuesta'!K271,1)),"")&gt;=3),"",VALUE(LEFT('Base Encuesta'!AE271,1)))</f>
        <v/>
      </c>
      <c r="X297" t="str">
        <f>IF(OR('Base Encuesta'!AF271="",IFERROR(VALUE(LEFT('Base Encuesta'!K271,1)),"")&gt;=3),"",IF(W297=1,VALUE(LEFT('Base Encuesta'!AF271,1)),""))</f>
        <v/>
      </c>
      <c r="Y297" t="str">
        <f>IF(OR('Base Encuesta'!AG271="",IFERROR(VALUE(LEFT('Base Encuesta'!K271,1)),"")&gt;=3),"",IF(W297=1,VALUE(LEFT('Base Encuesta'!AG271,1)),""))</f>
        <v/>
      </c>
      <c r="Z297" t="str">
        <f>IF(OR('Base Encuesta'!AH271="",IFERROR(VALUE(LEFT('Base Encuesta'!K271,1)),"")&gt;=3),"",IF(W297=1,VALUE(LEFT('Base Encuesta'!AH271,1)),""))</f>
        <v/>
      </c>
      <c r="AA297" t="str">
        <f>IF(OR('Base Encuesta'!AI271="",IFERROR(VALUE(LEFT('Base Encuesta'!K271,1)),"")&gt;=3),"",IF(W297=1,VALUE(LEFT('Base Encuesta'!AI271,1)),""))</f>
        <v/>
      </c>
      <c r="AB297" t="str">
        <f>IF(OR('Base Encuesta'!AJ271="",IFERROR(VALUE(LEFT('Base Encuesta'!K271,1)),"")&gt;=3),"",IF(W297=1,VALUE(LEFT('Base Encuesta'!AJ271,1)),""))</f>
        <v/>
      </c>
      <c r="AC297" t="str">
        <f>IF(OR('Base Encuesta'!AL271="",IFERROR(VALUE(LEFT('Base Encuesta'!K271,1)),"")&gt;=3),"",VALUE(LEFT('Base Encuesta'!AL271,1)))</f>
        <v/>
      </c>
      <c r="AD297" t="str">
        <f>IF(OR('Base Encuesta'!AM271="",IFERROR(VALUE(LEFT('Base Encuesta'!K271,1)),"")&gt;=3),"",VALUE(LEFT('Base Encuesta'!AM271,1)))</f>
        <v/>
      </c>
      <c r="AE297" t="str">
        <f>IF(OR('Base Encuesta'!AN271="",IFERROR(VALUE(LEFT('Base Encuesta'!K271,1)),"")&gt;=3),"",VALUE(LEFT('Base Encuesta'!AN271,1)))</f>
        <v/>
      </c>
      <c r="AF297" t="str">
        <f>IF(OR('Base Encuesta'!AO271="",IFERROR(VALUE(LEFT('Base Encuesta'!K271,1)),"")&gt;=3),"",VALUE(LEFT('Base Encuesta'!AO271,1)))</f>
        <v/>
      </c>
      <c r="AG297" t="str">
        <f>IF(OR('Base Encuesta'!AQ271="",IFERROR(VALUE(LEFT('Base Encuesta'!K271,1)),"")&gt;=3),"",VALUE(LEFT('Base Encuesta'!AQ271,1)))</f>
        <v/>
      </c>
      <c r="AH297" t="str">
        <f>IF(OR('Base Encuesta'!AR271="",IFERROR(VALUE(LEFT('Base Encuesta'!K271,1)),"")&gt;=3),"",VALUE(LEFT('Base Encuesta'!AR271,1)))</f>
        <v/>
      </c>
    </row>
    <row r="298" spans="1:34">
      <c r="A298" t="str">
        <f>IF('Base Encuesta'!C272="","",'Base Encuesta'!C272)</f>
        <v/>
      </c>
      <c r="B298" t="str">
        <f>IF('Base Encuesta'!D272="","",'Base Encuesta'!D272)</f>
        <v/>
      </c>
      <c r="C298" t="str">
        <f>IF('Base Encuesta'!E272="","",'Base Encuesta'!E272)</f>
        <v/>
      </c>
      <c r="D298" t="str">
        <f>IF('Base Encuesta'!F272="","",'Base Encuesta'!F272)</f>
        <v/>
      </c>
      <c r="E298" t="str">
        <f>IF('Base Encuesta'!G272="","",'Base Encuesta'!G272)</f>
        <v/>
      </c>
      <c r="F298" t="str">
        <f>IF('Base Encuesta'!H272="","",'Base Encuesta'!H272)</f>
        <v/>
      </c>
      <c r="G298" t="str">
        <f>IF('Base Encuesta'!I272="","",'Base Encuesta'!I272)</f>
        <v/>
      </c>
      <c r="H298" t="str">
        <f>IF('Base Encuesta'!J272="","",'Base Encuesta'!J272)</f>
        <v/>
      </c>
      <c r="I298" t="str">
        <f>IF('Base Encuesta'!K272="","",'Base Encuesta'!K272)</f>
        <v/>
      </c>
      <c r="J298" t="str">
        <f>IF(OR('Base Encuesta'!P272="",IFERROR(VALUE(LEFT('Base Encuesta'!K272,1)),"")&gt;=3),"",PROPER(TRIM('Base Encuesta'!P272)))</f>
        <v/>
      </c>
      <c r="K298" t="str">
        <f>IF(OR('Base Encuesta'!Q272="",IFERROR(VALUE(LEFT('Base Encuesta'!K272,1)),"")&gt;=3),"",'Base Encuesta'!Q272)</f>
        <v/>
      </c>
      <c r="L298" t="str">
        <f>IF(OR('Base Encuesta'!R272="",IFERROR(VALUE(LEFT('Base Encuesta'!K272,1)),"")&gt;=3),"",VALUE(LEFT('Base Encuesta'!R272,1)))</f>
        <v/>
      </c>
      <c r="M298" t="str">
        <f>IF(OR('Base Encuesta'!S272="",IFERROR(VALUE(LEFT('Base Encuesta'!K272,1)),"")&gt;=3),"",VALUE(LEFT('Base Encuesta'!S272,1)))</f>
        <v/>
      </c>
      <c r="N298" t="str">
        <f>IF(OR('Base Encuesta'!T272="",IFERROR(VALUE(LEFT('Base Encuesta'!K272,1)),"")&gt;=3),"",VALUE(LEFT('Base Encuesta'!T272,1)))</f>
        <v/>
      </c>
      <c r="O298" t="str">
        <f>IF(OR('Base Encuesta'!V272="",IFERROR(VALUE(LEFT('Base Encuesta'!K272,1)),"")&gt;=3),"",VALUE(LEFT('Base Encuesta'!V272,1)))</f>
        <v/>
      </c>
      <c r="P298" t="str">
        <f>IF(OR('Base Encuesta'!W272="",IFERROR(VALUE(LEFT('Base Encuesta'!K272,1)),"")&gt;=3),"",VALUE(LEFT('Base Encuesta'!W272,1)))</f>
        <v/>
      </c>
      <c r="Q298" t="str">
        <f>IF(OR('Base Encuesta'!X272="",IFERROR(VALUE(LEFT('Base Encuesta'!K272,1)),"")&gt;=3),"",VALUE(LEFT('Base Encuesta'!X272,1)))</f>
        <v/>
      </c>
      <c r="R298" t="str">
        <f>IF(OR('Base Encuesta'!Y272="",IFERROR(VALUE(LEFT('Base Encuesta'!K272,1)),"")&gt;=3),"",VALUE(LEFT('Base Encuesta'!Y272,1)))</f>
        <v/>
      </c>
      <c r="S298" t="str">
        <f>IF(OR('Base Encuesta'!Z272="",IFERROR(VALUE(LEFT('Base Encuesta'!K272,1)),"")&gt;=3),"",VALUE(LEFT('Base Encuesta'!Z272,1)))</f>
        <v/>
      </c>
      <c r="T298" t="str">
        <f>IF(OR('Base Encuesta'!AA272="",IFERROR(VALUE(LEFT('Base Encuesta'!K272,1)),"")&gt;=3),"",VALUE(LEFT('Base Encuesta'!AA272,1)))</f>
        <v/>
      </c>
      <c r="U298" t="str">
        <f>IF(OR('Base Encuesta'!AB272="",IFERROR(VALUE(LEFT('Base Encuesta'!K272,1)),"")&gt;=3),"",VALUE(LEFT('Base Encuesta'!AB272,1)))</f>
        <v/>
      </c>
      <c r="V298" t="str">
        <f>IF(OR('Base Encuesta'!AC272="",IFERROR(VALUE(LEFT('Base Encuesta'!K272,1)),"")&gt;=3),"",VALUE(LEFT('Base Encuesta'!AC272,1)))</f>
        <v/>
      </c>
      <c r="W298" t="str">
        <f>IF(OR('Base Encuesta'!AE272="",IFERROR(VALUE(LEFT('Base Encuesta'!K272,1)),"")&gt;=3),"",VALUE(LEFT('Base Encuesta'!AE272,1)))</f>
        <v/>
      </c>
      <c r="X298" t="str">
        <f>IF(OR('Base Encuesta'!AF272="",IFERROR(VALUE(LEFT('Base Encuesta'!K272,1)),"")&gt;=3),"",IF(W298=1,VALUE(LEFT('Base Encuesta'!AF272,1)),""))</f>
        <v/>
      </c>
      <c r="Y298" t="str">
        <f>IF(OR('Base Encuesta'!AG272="",IFERROR(VALUE(LEFT('Base Encuesta'!K272,1)),"")&gt;=3),"",IF(W298=1,VALUE(LEFT('Base Encuesta'!AG272,1)),""))</f>
        <v/>
      </c>
      <c r="Z298" t="str">
        <f>IF(OR('Base Encuesta'!AH272="",IFERROR(VALUE(LEFT('Base Encuesta'!K272,1)),"")&gt;=3),"",IF(W298=1,VALUE(LEFT('Base Encuesta'!AH272,1)),""))</f>
        <v/>
      </c>
      <c r="AA298" t="str">
        <f>IF(OR('Base Encuesta'!AI272="",IFERROR(VALUE(LEFT('Base Encuesta'!K272,1)),"")&gt;=3),"",IF(W298=1,VALUE(LEFT('Base Encuesta'!AI272,1)),""))</f>
        <v/>
      </c>
      <c r="AB298" t="str">
        <f>IF(OR('Base Encuesta'!AJ272="",IFERROR(VALUE(LEFT('Base Encuesta'!K272,1)),"")&gt;=3),"",IF(W298=1,VALUE(LEFT('Base Encuesta'!AJ272,1)),""))</f>
        <v/>
      </c>
      <c r="AC298" t="str">
        <f>IF(OR('Base Encuesta'!AL272="",IFERROR(VALUE(LEFT('Base Encuesta'!K272,1)),"")&gt;=3),"",VALUE(LEFT('Base Encuesta'!AL272,1)))</f>
        <v/>
      </c>
      <c r="AD298" t="str">
        <f>IF(OR('Base Encuesta'!AM272="",IFERROR(VALUE(LEFT('Base Encuesta'!K272,1)),"")&gt;=3),"",VALUE(LEFT('Base Encuesta'!AM272,1)))</f>
        <v/>
      </c>
      <c r="AE298" t="str">
        <f>IF(OR('Base Encuesta'!AN272="",IFERROR(VALUE(LEFT('Base Encuesta'!K272,1)),"")&gt;=3),"",VALUE(LEFT('Base Encuesta'!AN272,1)))</f>
        <v/>
      </c>
      <c r="AF298" t="str">
        <f>IF(OR('Base Encuesta'!AO272="",IFERROR(VALUE(LEFT('Base Encuesta'!K272,1)),"")&gt;=3),"",VALUE(LEFT('Base Encuesta'!AO272,1)))</f>
        <v/>
      </c>
      <c r="AG298" t="str">
        <f>IF(OR('Base Encuesta'!AQ272="",IFERROR(VALUE(LEFT('Base Encuesta'!K272,1)),"")&gt;=3),"",VALUE(LEFT('Base Encuesta'!AQ272,1)))</f>
        <v/>
      </c>
      <c r="AH298" t="str">
        <f>IF(OR('Base Encuesta'!AR272="",IFERROR(VALUE(LEFT('Base Encuesta'!K272,1)),"")&gt;=3),"",VALUE(LEFT('Base Encuesta'!AR272,1)))</f>
        <v/>
      </c>
    </row>
    <row r="299" spans="1:34">
      <c r="A299" t="str">
        <f>IF('Base Encuesta'!C273="","",'Base Encuesta'!C273)</f>
        <v/>
      </c>
      <c r="B299" t="str">
        <f>IF('Base Encuesta'!D273="","",'Base Encuesta'!D273)</f>
        <v/>
      </c>
      <c r="C299" t="str">
        <f>IF('Base Encuesta'!E273="","",'Base Encuesta'!E273)</f>
        <v/>
      </c>
      <c r="D299" t="str">
        <f>IF('Base Encuesta'!F273="","",'Base Encuesta'!F273)</f>
        <v/>
      </c>
      <c r="E299" t="str">
        <f>IF('Base Encuesta'!G273="","",'Base Encuesta'!G273)</f>
        <v/>
      </c>
      <c r="F299" t="str">
        <f>IF('Base Encuesta'!H273="","",'Base Encuesta'!H273)</f>
        <v/>
      </c>
      <c r="G299" t="str">
        <f>IF('Base Encuesta'!I273="","",'Base Encuesta'!I273)</f>
        <v/>
      </c>
      <c r="H299" t="str">
        <f>IF('Base Encuesta'!J273="","",'Base Encuesta'!J273)</f>
        <v/>
      </c>
      <c r="I299" t="str">
        <f>IF('Base Encuesta'!K273="","",'Base Encuesta'!K273)</f>
        <v/>
      </c>
      <c r="J299" t="str">
        <f>IF(OR('Base Encuesta'!P273="",IFERROR(VALUE(LEFT('Base Encuesta'!K273,1)),"")&gt;=3),"",PROPER(TRIM('Base Encuesta'!P273)))</f>
        <v/>
      </c>
      <c r="K299" t="str">
        <f>IF(OR('Base Encuesta'!Q273="",IFERROR(VALUE(LEFT('Base Encuesta'!K273,1)),"")&gt;=3),"",'Base Encuesta'!Q273)</f>
        <v/>
      </c>
      <c r="L299" t="str">
        <f>IF(OR('Base Encuesta'!R273="",IFERROR(VALUE(LEFT('Base Encuesta'!K273,1)),"")&gt;=3),"",VALUE(LEFT('Base Encuesta'!R273,1)))</f>
        <v/>
      </c>
      <c r="M299" t="str">
        <f>IF(OR('Base Encuesta'!S273="",IFERROR(VALUE(LEFT('Base Encuesta'!K273,1)),"")&gt;=3),"",VALUE(LEFT('Base Encuesta'!S273,1)))</f>
        <v/>
      </c>
      <c r="N299" t="str">
        <f>IF(OR('Base Encuesta'!T273="",IFERROR(VALUE(LEFT('Base Encuesta'!K273,1)),"")&gt;=3),"",VALUE(LEFT('Base Encuesta'!T273,1)))</f>
        <v/>
      </c>
      <c r="O299" t="str">
        <f>IF(OR('Base Encuesta'!V273="",IFERROR(VALUE(LEFT('Base Encuesta'!K273,1)),"")&gt;=3),"",VALUE(LEFT('Base Encuesta'!V273,1)))</f>
        <v/>
      </c>
      <c r="P299" t="str">
        <f>IF(OR('Base Encuesta'!W273="",IFERROR(VALUE(LEFT('Base Encuesta'!K273,1)),"")&gt;=3),"",VALUE(LEFT('Base Encuesta'!W273,1)))</f>
        <v/>
      </c>
      <c r="Q299" t="str">
        <f>IF(OR('Base Encuesta'!X273="",IFERROR(VALUE(LEFT('Base Encuesta'!K273,1)),"")&gt;=3),"",VALUE(LEFT('Base Encuesta'!X273,1)))</f>
        <v/>
      </c>
      <c r="R299" t="str">
        <f>IF(OR('Base Encuesta'!Y273="",IFERROR(VALUE(LEFT('Base Encuesta'!K273,1)),"")&gt;=3),"",VALUE(LEFT('Base Encuesta'!Y273,1)))</f>
        <v/>
      </c>
      <c r="S299" t="str">
        <f>IF(OR('Base Encuesta'!Z273="",IFERROR(VALUE(LEFT('Base Encuesta'!K273,1)),"")&gt;=3),"",VALUE(LEFT('Base Encuesta'!Z273,1)))</f>
        <v/>
      </c>
      <c r="T299" t="str">
        <f>IF(OR('Base Encuesta'!AA273="",IFERROR(VALUE(LEFT('Base Encuesta'!K273,1)),"")&gt;=3),"",VALUE(LEFT('Base Encuesta'!AA273,1)))</f>
        <v/>
      </c>
      <c r="U299" t="str">
        <f>IF(OR('Base Encuesta'!AB273="",IFERROR(VALUE(LEFT('Base Encuesta'!K273,1)),"")&gt;=3),"",VALUE(LEFT('Base Encuesta'!AB273,1)))</f>
        <v/>
      </c>
      <c r="V299" t="str">
        <f>IF(OR('Base Encuesta'!AC273="",IFERROR(VALUE(LEFT('Base Encuesta'!K273,1)),"")&gt;=3),"",VALUE(LEFT('Base Encuesta'!AC273,1)))</f>
        <v/>
      </c>
      <c r="W299" t="str">
        <f>IF(OR('Base Encuesta'!AE273="",IFERROR(VALUE(LEFT('Base Encuesta'!K273,1)),"")&gt;=3),"",VALUE(LEFT('Base Encuesta'!AE273,1)))</f>
        <v/>
      </c>
      <c r="X299" t="str">
        <f>IF(OR('Base Encuesta'!AF273="",IFERROR(VALUE(LEFT('Base Encuesta'!K273,1)),"")&gt;=3),"",IF(W299=1,VALUE(LEFT('Base Encuesta'!AF273,1)),""))</f>
        <v/>
      </c>
      <c r="Y299" t="str">
        <f>IF(OR('Base Encuesta'!AG273="",IFERROR(VALUE(LEFT('Base Encuesta'!K273,1)),"")&gt;=3),"",IF(W299=1,VALUE(LEFT('Base Encuesta'!AG273,1)),""))</f>
        <v/>
      </c>
      <c r="Z299" t="str">
        <f>IF(OR('Base Encuesta'!AH273="",IFERROR(VALUE(LEFT('Base Encuesta'!K273,1)),"")&gt;=3),"",IF(W299=1,VALUE(LEFT('Base Encuesta'!AH273,1)),""))</f>
        <v/>
      </c>
      <c r="AA299" t="str">
        <f>IF(OR('Base Encuesta'!AI273="",IFERROR(VALUE(LEFT('Base Encuesta'!K273,1)),"")&gt;=3),"",IF(W299=1,VALUE(LEFT('Base Encuesta'!AI273,1)),""))</f>
        <v/>
      </c>
      <c r="AB299" t="str">
        <f>IF(OR('Base Encuesta'!AJ273="",IFERROR(VALUE(LEFT('Base Encuesta'!K273,1)),"")&gt;=3),"",IF(W299=1,VALUE(LEFT('Base Encuesta'!AJ273,1)),""))</f>
        <v/>
      </c>
      <c r="AC299" t="str">
        <f>IF(OR('Base Encuesta'!AL273="",IFERROR(VALUE(LEFT('Base Encuesta'!K273,1)),"")&gt;=3),"",VALUE(LEFT('Base Encuesta'!AL273,1)))</f>
        <v/>
      </c>
      <c r="AD299" t="str">
        <f>IF(OR('Base Encuesta'!AM273="",IFERROR(VALUE(LEFT('Base Encuesta'!K273,1)),"")&gt;=3),"",VALUE(LEFT('Base Encuesta'!AM273,1)))</f>
        <v/>
      </c>
      <c r="AE299" t="str">
        <f>IF(OR('Base Encuesta'!AN273="",IFERROR(VALUE(LEFT('Base Encuesta'!K273,1)),"")&gt;=3),"",VALUE(LEFT('Base Encuesta'!AN273,1)))</f>
        <v/>
      </c>
      <c r="AF299" t="str">
        <f>IF(OR('Base Encuesta'!AO273="",IFERROR(VALUE(LEFT('Base Encuesta'!K273,1)),"")&gt;=3),"",VALUE(LEFT('Base Encuesta'!AO273,1)))</f>
        <v/>
      </c>
      <c r="AG299" t="str">
        <f>IF(OR('Base Encuesta'!AQ273="",IFERROR(VALUE(LEFT('Base Encuesta'!K273,1)),"")&gt;=3),"",VALUE(LEFT('Base Encuesta'!AQ273,1)))</f>
        <v/>
      </c>
      <c r="AH299" t="str">
        <f>IF(OR('Base Encuesta'!AR273="",IFERROR(VALUE(LEFT('Base Encuesta'!K273,1)),"")&gt;=3),"",VALUE(LEFT('Base Encuesta'!AR273,1)))</f>
        <v/>
      </c>
    </row>
    <row r="300" spans="1:34">
      <c r="A300" t="str">
        <f>IF('Base Encuesta'!C274="","",'Base Encuesta'!C274)</f>
        <v/>
      </c>
      <c r="B300" t="str">
        <f>IF('Base Encuesta'!D274="","",'Base Encuesta'!D274)</f>
        <v/>
      </c>
      <c r="C300" t="str">
        <f>IF('Base Encuesta'!E274="","",'Base Encuesta'!E274)</f>
        <v/>
      </c>
      <c r="D300" t="str">
        <f>IF('Base Encuesta'!F274="","",'Base Encuesta'!F274)</f>
        <v/>
      </c>
      <c r="E300" t="str">
        <f>IF('Base Encuesta'!G274="","",'Base Encuesta'!G274)</f>
        <v/>
      </c>
      <c r="F300" t="str">
        <f>IF('Base Encuesta'!H274="","",'Base Encuesta'!H274)</f>
        <v/>
      </c>
      <c r="G300" t="str">
        <f>IF('Base Encuesta'!I274="","",'Base Encuesta'!I274)</f>
        <v/>
      </c>
      <c r="H300" t="str">
        <f>IF('Base Encuesta'!J274="","",'Base Encuesta'!J274)</f>
        <v/>
      </c>
      <c r="I300" t="str">
        <f>IF('Base Encuesta'!K274="","",'Base Encuesta'!K274)</f>
        <v/>
      </c>
      <c r="J300" t="str">
        <f>IF(OR('Base Encuesta'!P274="",IFERROR(VALUE(LEFT('Base Encuesta'!K274,1)),"")&gt;=3),"",PROPER(TRIM('Base Encuesta'!P274)))</f>
        <v/>
      </c>
      <c r="K300" t="str">
        <f>IF(OR('Base Encuesta'!Q274="",IFERROR(VALUE(LEFT('Base Encuesta'!K274,1)),"")&gt;=3),"",'Base Encuesta'!Q274)</f>
        <v/>
      </c>
      <c r="L300" t="str">
        <f>IF(OR('Base Encuesta'!R274="",IFERROR(VALUE(LEFT('Base Encuesta'!K274,1)),"")&gt;=3),"",VALUE(LEFT('Base Encuesta'!R274,1)))</f>
        <v/>
      </c>
      <c r="M300" t="str">
        <f>IF(OR('Base Encuesta'!S274="",IFERROR(VALUE(LEFT('Base Encuesta'!K274,1)),"")&gt;=3),"",VALUE(LEFT('Base Encuesta'!S274,1)))</f>
        <v/>
      </c>
      <c r="N300" t="str">
        <f>IF(OR('Base Encuesta'!T274="",IFERROR(VALUE(LEFT('Base Encuesta'!K274,1)),"")&gt;=3),"",VALUE(LEFT('Base Encuesta'!T274,1)))</f>
        <v/>
      </c>
      <c r="O300" t="str">
        <f>IF(OR('Base Encuesta'!V274="",IFERROR(VALUE(LEFT('Base Encuesta'!K274,1)),"")&gt;=3),"",VALUE(LEFT('Base Encuesta'!V274,1)))</f>
        <v/>
      </c>
      <c r="P300" t="str">
        <f>IF(OR('Base Encuesta'!W274="",IFERROR(VALUE(LEFT('Base Encuesta'!K274,1)),"")&gt;=3),"",VALUE(LEFT('Base Encuesta'!W274,1)))</f>
        <v/>
      </c>
      <c r="Q300" t="str">
        <f>IF(OR('Base Encuesta'!X274="",IFERROR(VALUE(LEFT('Base Encuesta'!K274,1)),"")&gt;=3),"",VALUE(LEFT('Base Encuesta'!X274,1)))</f>
        <v/>
      </c>
      <c r="R300" t="str">
        <f>IF(OR('Base Encuesta'!Y274="",IFERROR(VALUE(LEFT('Base Encuesta'!K274,1)),"")&gt;=3),"",VALUE(LEFT('Base Encuesta'!Y274,1)))</f>
        <v/>
      </c>
      <c r="S300" t="str">
        <f>IF(OR('Base Encuesta'!Z274="",IFERROR(VALUE(LEFT('Base Encuesta'!K274,1)),"")&gt;=3),"",VALUE(LEFT('Base Encuesta'!Z274,1)))</f>
        <v/>
      </c>
      <c r="T300" t="str">
        <f>IF(OR('Base Encuesta'!AA274="",IFERROR(VALUE(LEFT('Base Encuesta'!K274,1)),"")&gt;=3),"",VALUE(LEFT('Base Encuesta'!AA274,1)))</f>
        <v/>
      </c>
      <c r="U300" t="str">
        <f>IF(OR('Base Encuesta'!AB274="",IFERROR(VALUE(LEFT('Base Encuesta'!K274,1)),"")&gt;=3),"",VALUE(LEFT('Base Encuesta'!AB274,1)))</f>
        <v/>
      </c>
      <c r="V300" t="str">
        <f>IF(OR('Base Encuesta'!AC274="",IFERROR(VALUE(LEFT('Base Encuesta'!K274,1)),"")&gt;=3),"",VALUE(LEFT('Base Encuesta'!AC274,1)))</f>
        <v/>
      </c>
      <c r="W300" t="str">
        <f>IF(OR('Base Encuesta'!AE274="",IFERROR(VALUE(LEFT('Base Encuesta'!K274,1)),"")&gt;=3),"",VALUE(LEFT('Base Encuesta'!AE274,1)))</f>
        <v/>
      </c>
      <c r="X300" t="str">
        <f>IF(OR('Base Encuesta'!AF274="",IFERROR(VALUE(LEFT('Base Encuesta'!K274,1)),"")&gt;=3),"",IF(W300=1,VALUE(LEFT('Base Encuesta'!AF274,1)),""))</f>
        <v/>
      </c>
      <c r="Y300" t="str">
        <f>IF(OR('Base Encuesta'!AG274="",IFERROR(VALUE(LEFT('Base Encuesta'!K274,1)),"")&gt;=3),"",IF(W300=1,VALUE(LEFT('Base Encuesta'!AG274,1)),""))</f>
        <v/>
      </c>
      <c r="Z300" t="str">
        <f>IF(OR('Base Encuesta'!AH274="",IFERROR(VALUE(LEFT('Base Encuesta'!K274,1)),"")&gt;=3),"",IF(W300=1,VALUE(LEFT('Base Encuesta'!AH274,1)),""))</f>
        <v/>
      </c>
      <c r="AA300" t="str">
        <f>IF(OR('Base Encuesta'!AI274="",IFERROR(VALUE(LEFT('Base Encuesta'!K274,1)),"")&gt;=3),"",IF(W300=1,VALUE(LEFT('Base Encuesta'!AI274,1)),""))</f>
        <v/>
      </c>
      <c r="AB300" t="str">
        <f>IF(OR('Base Encuesta'!AJ274="",IFERROR(VALUE(LEFT('Base Encuesta'!K274,1)),"")&gt;=3),"",IF(W300=1,VALUE(LEFT('Base Encuesta'!AJ274,1)),""))</f>
        <v/>
      </c>
      <c r="AC300" t="str">
        <f>IF(OR('Base Encuesta'!AL274="",IFERROR(VALUE(LEFT('Base Encuesta'!K274,1)),"")&gt;=3),"",VALUE(LEFT('Base Encuesta'!AL274,1)))</f>
        <v/>
      </c>
      <c r="AD300" t="str">
        <f>IF(OR('Base Encuesta'!AM274="",IFERROR(VALUE(LEFT('Base Encuesta'!K274,1)),"")&gt;=3),"",VALUE(LEFT('Base Encuesta'!AM274,1)))</f>
        <v/>
      </c>
      <c r="AE300" t="str">
        <f>IF(OR('Base Encuesta'!AN274="",IFERROR(VALUE(LEFT('Base Encuesta'!K274,1)),"")&gt;=3),"",VALUE(LEFT('Base Encuesta'!AN274,1)))</f>
        <v/>
      </c>
      <c r="AF300" t="str">
        <f>IF(OR('Base Encuesta'!AO274="",IFERROR(VALUE(LEFT('Base Encuesta'!K274,1)),"")&gt;=3),"",VALUE(LEFT('Base Encuesta'!AO274,1)))</f>
        <v/>
      </c>
      <c r="AG300" t="str">
        <f>IF(OR('Base Encuesta'!AQ274="",IFERROR(VALUE(LEFT('Base Encuesta'!K274,1)),"")&gt;=3),"",VALUE(LEFT('Base Encuesta'!AQ274,1)))</f>
        <v/>
      </c>
      <c r="AH300" t="str">
        <f>IF(OR('Base Encuesta'!AR274="",IFERROR(VALUE(LEFT('Base Encuesta'!K274,1)),"")&gt;=3),"",VALUE(LEFT('Base Encuesta'!AR274,1)))</f>
        <v/>
      </c>
    </row>
    <row r="301" spans="1:34">
      <c r="A301" t="str">
        <f>IF('Base Encuesta'!C275="","",'Base Encuesta'!C275)</f>
        <v/>
      </c>
      <c r="B301" t="str">
        <f>IF('Base Encuesta'!D275="","",'Base Encuesta'!D275)</f>
        <v/>
      </c>
      <c r="C301" t="str">
        <f>IF('Base Encuesta'!E275="","",'Base Encuesta'!E275)</f>
        <v/>
      </c>
      <c r="D301" t="str">
        <f>IF('Base Encuesta'!F275="","",'Base Encuesta'!F275)</f>
        <v/>
      </c>
      <c r="E301" t="str">
        <f>IF('Base Encuesta'!G275="","",'Base Encuesta'!G275)</f>
        <v/>
      </c>
      <c r="F301" t="str">
        <f>IF('Base Encuesta'!H275="","",'Base Encuesta'!H275)</f>
        <v/>
      </c>
      <c r="G301" t="str">
        <f>IF('Base Encuesta'!I275="","",'Base Encuesta'!I275)</f>
        <v/>
      </c>
      <c r="H301" t="str">
        <f>IF('Base Encuesta'!J275="","",'Base Encuesta'!J275)</f>
        <v/>
      </c>
      <c r="I301" t="str">
        <f>IF('Base Encuesta'!K275="","",'Base Encuesta'!K275)</f>
        <v/>
      </c>
      <c r="J301" t="str">
        <f>IF(OR('Base Encuesta'!P275="",IFERROR(VALUE(LEFT('Base Encuesta'!K275,1)),"")&gt;=3),"",PROPER(TRIM('Base Encuesta'!P275)))</f>
        <v/>
      </c>
      <c r="K301" t="str">
        <f>IF(OR('Base Encuesta'!Q275="",IFERROR(VALUE(LEFT('Base Encuesta'!K275,1)),"")&gt;=3),"",'Base Encuesta'!Q275)</f>
        <v/>
      </c>
      <c r="L301" t="str">
        <f>IF(OR('Base Encuesta'!R275="",IFERROR(VALUE(LEFT('Base Encuesta'!K275,1)),"")&gt;=3),"",VALUE(LEFT('Base Encuesta'!R275,1)))</f>
        <v/>
      </c>
      <c r="M301" t="str">
        <f>IF(OR('Base Encuesta'!S275="",IFERROR(VALUE(LEFT('Base Encuesta'!K275,1)),"")&gt;=3),"",VALUE(LEFT('Base Encuesta'!S275,1)))</f>
        <v/>
      </c>
      <c r="N301" t="str">
        <f>IF(OR('Base Encuesta'!T275="",IFERROR(VALUE(LEFT('Base Encuesta'!K275,1)),"")&gt;=3),"",VALUE(LEFT('Base Encuesta'!T275,1)))</f>
        <v/>
      </c>
      <c r="O301" t="str">
        <f>IF(OR('Base Encuesta'!V275="",IFERROR(VALUE(LEFT('Base Encuesta'!K275,1)),"")&gt;=3),"",VALUE(LEFT('Base Encuesta'!V275,1)))</f>
        <v/>
      </c>
      <c r="P301" t="str">
        <f>IF(OR('Base Encuesta'!W275="",IFERROR(VALUE(LEFT('Base Encuesta'!K275,1)),"")&gt;=3),"",VALUE(LEFT('Base Encuesta'!W275,1)))</f>
        <v/>
      </c>
      <c r="Q301" t="str">
        <f>IF(OR('Base Encuesta'!X275="",IFERROR(VALUE(LEFT('Base Encuesta'!K275,1)),"")&gt;=3),"",VALUE(LEFT('Base Encuesta'!X275,1)))</f>
        <v/>
      </c>
      <c r="R301" t="str">
        <f>IF(OR('Base Encuesta'!Y275="",IFERROR(VALUE(LEFT('Base Encuesta'!K275,1)),"")&gt;=3),"",VALUE(LEFT('Base Encuesta'!Y275,1)))</f>
        <v/>
      </c>
      <c r="S301" t="str">
        <f>IF(OR('Base Encuesta'!Z275="",IFERROR(VALUE(LEFT('Base Encuesta'!K275,1)),"")&gt;=3),"",VALUE(LEFT('Base Encuesta'!Z275,1)))</f>
        <v/>
      </c>
      <c r="T301" t="str">
        <f>IF(OR('Base Encuesta'!AA275="",IFERROR(VALUE(LEFT('Base Encuesta'!K275,1)),"")&gt;=3),"",VALUE(LEFT('Base Encuesta'!AA275,1)))</f>
        <v/>
      </c>
      <c r="U301" t="str">
        <f>IF(OR('Base Encuesta'!AB275="",IFERROR(VALUE(LEFT('Base Encuesta'!K275,1)),"")&gt;=3),"",VALUE(LEFT('Base Encuesta'!AB275,1)))</f>
        <v/>
      </c>
      <c r="V301" t="str">
        <f>IF(OR('Base Encuesta'!AC275="",IFERROR(VALUE(LEFT('Base Encuesta'!K275,1)),"")&gt;=3),"",VALUE(LEFT('Base Encuesta'!AC275,1)))</f>
        <v/>
      </c>
      <c r="W301" t="str">
        <f>IF(OR('Base Encuesta'!AE275="",IFERROR(VALUE(LEFT('Base Encuesta'!K275,1)),"")&gt;=3),"",VALUE(LEFT('Base Encuesta'!AE275,1)))</f>
        <v/>
      </c>
      <c r="X301" t="str">
        <f>IF(OR('Base Encuesta'!AF275="",IFERROR(VALUE(LEFT('Base Encuesta'!K275,1)),"")&gt;=3),"",IF(W301=1,VALUE(LEFT('Base Encuesta'!AF275,1)),""))</f>
        <v/>
      </c>
      <c r="Y301" t="str">
        <f>IF(OR('Base Encuesta'!AG275="",IFERROR(VALUE(LEFT('Base Encuesta'!K275,1)),"")&gt;=3),"",IF(W301=1,VALUE(LEFT('Base Encuesta'!AG275,1)),""))</f>
        <v/>
      </c>
      <c r="Z301" t="str">
        <f>IF(OR('Base Encuesta'!AH275="",IFERROR(VALUE(LEFT('Base Encuesta'!K275,1)),"")&gt;=3),"",IF(W301=1,VALUE(LEFT('Base Encuesta'!AH275,1)),""))</f>
        <v/>
      </c>
      <c r="AA301" t="str">
        <f>IF(OR('Base Encuesta'!AI275="",IFERROR(VALUE(LEFT('Base Encuesta'!K275,1)),"")&gt;=3),"",IF(W301=1,VALUE(LEFT('Base Encuesta'!AI275,1)),""))</f>
        <v/>
      </c>
      <c r="AB301" t="str">
        <f>IF(OR('Base Encuesta'!AJ275="",IFERROR(VALUE(LEFT('Base Encuesta'!K275,1)),"")&gt;=3),"",IF(W301=1,VALUE(LEFT('Base Encuesta'!AJ275,1)),""))</f>
        <v/>
      </c>
      <c r="AC301" t="str">
        <f>IF(OR('Base Encuesta'!AL275="",IFERROR(VALUE(LEFT('Base Encuesta'!K275,1)),"")&gt;=3),"",VALUE(LEFT('Base Encuesta'!AL275,1)))</f>
        <v/>
      </c>
      <c r="AD301" t="str">
        <f>IF(OR('Base Encuesta'!AM275="",IFERROR(VALUE(LEFT('Base Encuesta'!K275,1)),"")&gt;=3),"",VALUE(LEFT('Base Encuesta'!AM275,1)))</f>
        <v/>
      </c>
      <c r="AE301" t="str">
        <f>IF(OR('Base Encuesta'!AN275="",IFERROR(VALUE(LEFT('Base Encuesta'!K275,1)),"")&gt;=3),"",VALUE(LEFT('Base Encuesta'!AN275,1)))</f>
        <v/>
      </c>
      <c r="AF301" t="str">
        <f>IF(OR('Base Encuesta'!AO275="",IFERROR(VALUE(LEFT('Base Encuesta'!K275,1)),"")&gt;=3),"",VALUE(LEFT('Base Encuesta'!AO275,1)))</f>
        <v/>
      </c>
      <c r="AG301" t="str">
        <f>IF(OR('Base Encuesta'!AQ275="",IFERROR(VALUE(LEFT('Base Encuesta'!K275,1)),"")&gt;=3),"",VALUE(LEFT('Base Encuesta'!AQ275,1)))</f>
        <v/>
      </c>
      <c r="AH301" t="str">
        <f>IF(OR('Base Encuesta'!AR275="",IFERROR(VALUE(LEFT('Base Encuesta'!K275,1)),"")&gt;=3),"",VALUE(LEFT('Base Encuesta'!AR275,1)))</f>
        <v/>
      </c>
    </row>
    <row r="302" spans="1:34">
      <c r="A302" t="str">
        <f>IF('Base Encuesta'!C276="","",'Base Encuesta'!C276)</f>
        <v/>
      </c>
      <c r="B302" t="str">
        <f>IF('Base Encuesta'!D276="","",'Base Encuesta'!D276)</f>
        <v/>
      </c>
      <c r="C302" t="str">
        <f>IF('Base Encuesta'!E276="","",'Base Encuesta'!E276)</f>
        <v/>
      </c>
      <c r="D302" t="str">
        <f>IF('Base Encuesta'!F276="","",'Base Encuesta'!F276)</f>
        <v/>
      </c>
      <c r="E302" t="str">
        <f>IF('Base Encuesta'!G276="","",'Base Encuesta'!G276)</f>
        <v/>
      </c>
      <c r="F302" t="str">
        <f>IF('Base Encuesta'!H276="","",'Base Encuesta'!H276)</f>
        <v/>
      </c>
      <c r="G302" t="str">
        <f>IF('Base Encuesta'!I276="","",'Base Encuesta'!I276)</f>
        <v/>
      </c>
      <c r="H302" t="str">
        <f>IF('Base Encuesta'!J276="","",'Base Encuesta'!J276)</f>
        <v/>
      </c>
      <c r="I302" t="str">
        <f>IF('Base Encuesta'!K276="","",'Base Encuesta'!K276)</f>
        <v/>
      </c>
      <c r="J302" t="str">
        <f>IF(OR('Base Encuesta'!P276="",IFERROR(VALUE(LEFT('Base Encuesta'!K276,1)),"")&gt;=3),"",PROPER(TRIM('Base Encuesta'!P276)))</f>
        <v/>
      </c>
      <c r="K302" t="str">
        <f>IF(OR('Base Encuesta'!Q276="",IFERROR(VALUE(LEFT('Base Encuesta'!K276,1)),"")&gt;=3),"",'Base Encuesta'!Q276)</f>
        <v/>
      </c>
      <c r="L302" t="str">
        <f>IF(OR('Base Encuesta'!R276="",IFERROR(VALUE(LEFT('Base Encuesta'!K276,1)),"")&gt;=3),"",VALUE(LEFT('Base Encuesta'!R276,1)))</f>
        <v/>
      </c>
      <c r="M302" t="str">
        <f>IF(OR('Base Encuesta'!S276="",IFERROR(VALUE(LEFT('Base Encuesta'!K276,1)),"")&gt;=3),"",VALUE(LEFT('Base Encuesta'!S276,1)))</f>
        <v/>
      </c>
      <c r="N302" t="str">
        <f>IF(OR('Base Encuesta'!T276="",IFERROR(VALUE(LEFT('Base Encuesta'!K276,1)),"")&gt;=3),"",VALUE(LEFT('Base Encuesta'!T276,1)))</f>
        <v/>
      </c>
      <c r="O302" t="str">
        <f>IF(OR('Base Encuesta'!V276="",IFERROR(VALUE(LEFT('Base Encuesta'!K276,1)),"")&gt;=3),"",VALUE(LEFT('Base Encuesta'!V276,1)))</f>
        <v/>
      </c>
      <c r="P302" t="str">
        <f>IF(OR('Base Encuesta'!W276="",IFERROR(VALUE(LEFT('Base Encuesta'!K276,1)),"")&gt;=3),"",VALUE(LEFT('Base Encuesta'!W276,1)))</f>
        <v/>
      </c>
      <c r="Q302" t="str">
        <f>IF(OR('Base Encuesta'!X276="",IFERROR(VALUE(LEFT('Base Encuesta'!K276,1)),"")&gt;=3),"",VALUE(LEFT('Base Encuesta'!X276,1)))</f>
        <v/>
      </c>
      <c r="R302" t="str">
        <f>IF(OR('Base Encuesta'!Y276="",IFERROR(VALUE(LEFT('Base Encuesta'!K276,1)),"")&gt;=3),"",VALUE(LEFT('Base Encuesta'!Y276,1)))</f>
        <v/>
      </c>
      <c r="S302" t="str">
        <f>IF(OR('Base Encuesta'!Z276="",IFERROR(VALUE(LEFT('Base Encuesta'!K276,1)),"")&gt;=3),"",VALUE(LEFT('Base Encuesta'!Z276,1)))</f>
        <v/>
      </c>
      <c r="T302" t="str">
        <f>IF(OR('Base Encuesta'!AA276="",IFERROR(VALUE(LEFT('Base Encuesta'!K276,1)),"")&gt;=3),"",VALUE(LEFT('Base Encuesta'!AA276,1)))</f>
        <v/>
      </c>
      <c r="U302" t="str">
        <f>IF(OR('Base Encuesta'!AB276="",IFERROR(VALUE(LEFT('Base Encuesta'!K276,1)),"")&gt;=3),"",VALUE(LEFT('Base Encuesta'!AB276,1)))</f>
        <v/>
      </c>
      <c r="V302" t="str">
        <f>IF(OR('Base Encuesta'!AC276="",IFERROR(VALUE(LEFT('Base Encuesta'!K276,1)),"")&gt;=3),"",VALUE(LEFT('Base Encuesta'!AC276,1)))</f>
        <v/>
      </c>
      <c r="W302" t="str">
        <f>IF(OR('Base Encuesta'!AE276="",IFERROR(VALUE(LEFT('Base Encuesta'!K276,1)),"")&gt;=3),"",VALUE(LEFT('Base Encuesta'!AE276,1)))</f>
        <v/>
      </c>
      <c r="X302" t="str">
        <f>IF(OR('Base Encuesta'!AF276="",IFERROR(VALUE(LEFT('Base Encuesta'!K276,1)),"")&gt;=3),"",IF(W302=1,VALUE(LEFT('Base Encuesta'!AF276,1)),""))</f>
        <v/>
      </c>
      <c r="Y302" t="str">
        <f>IF(OR('Base Encuesta'!AG276="",IFERROR(VALUE(LEFT('Base Encuesta'!K276,1)),"")&gt;=3),"",IF(W302=1,VALUE(LEFT('Base Encuesta'!AG276,1)),""))</f>
        <v/>
      </c>
      <c r="Z302" t="str">
        <f>IF(OR('Base Encuesta'!AH276="",IFERROR(VALUE(LEFT('Base Encuesta'!K276,1)),"")&gt;=3),"",IF(W302=1,VALUE(LEFT('Base Encuesta'!AH276,1)),""))</f>
        <v/>
      </c>
      <c r="AA302" t="str">
        <f>IF(OR('Base Encuesta'!AI276="",IFERROR(VALUE(LEFT('Base Encuesta'!K276,1)),"")&gt;=3),"",IF(W302=1,VALUE(LEFT('Base Encuesta'!AI276,1)),""))</f>
        <v/>
      </c>
      <c r="AB302" t="str">
        <f>IF(OR('Base Encuesta'!AJ276="",IFERROR(VALUE(LEFT('Base Encuesta'!K276,1)),"")&gt;=3),"",IF(W302=1,VALUE(LEFT('Base Encuesta'!AJ276,1)),""))</f>
        <v/>
      </c>
      <c r="AC302" t="str">
        <f>IF(OR('Base Encuesta'!AL276="",IFERROR(VALUE(LEFT('Base Encuesta'!K276,1)),"")&gt;=3),"",VALUE(LEFT('Base Encuesta'!AL276,1)))</f>
        <v/>
      </c>
      <c r="AD302" t="str">
        <f>IF(OR('Base Encuesta'!AM276="",IFERROR(VALUE(LEFT('Base Encuesta'!K276,1)),"")&gt;=3),"",VALUE(LEFT('Base Encuesta'!AM276,1)))</f>
        <v/>
      </c>
      <c r="AE302" t="str">
        <f>IF(OR('Base Encuesta'!AN276="",IFERROR(VALUE(LEFT('Base Encuesta'!K276,1)),"")&gt;=3),"",VALUE(LEFT('Base Encuesta'!AN276,1)))</f>
        <v/>
      </c>
      <c r="AF302" t="str">
        <f>IF(OR('Base Encuesta'!AO276="",IFERROR(VALUE(LEFT('Base Encuesta'!K276,1)),"")&gt;=3),"",VALUE(LEFT('Base Encuesta'!AO276,1)))</f>
        <v/>
      </c>
      <c r="AG302" t="str">
        <f>IF(OR('Base Encuesta'!AQ276="",IFERROR(VALUE(LEFT('Base Encuesta'!K276,1)),"")&gt;=3),"",VALUE(LEFT('Base Encuesta'!AQ276,1)))</f>
        <v/>
      </c>
      <c r="AH302" t="str">
        <f>IF(OR('Base Encuesta'!AR276="",IFERROR(VALUE(LEFT('Base Encuesta'!K276,1)),"")&gt;=3),"",VALUE(LEFT('Base Encuesta'!AR276,1)))</f>
        <v/>
      </c>
    </row>
    <row r="303" spans="1:34">
      <c r="A303" t="str">
        <f>IF('Base Encuesta'!C277="","",'Base Encuesta'!C277)</f>
        <v/>
      </c>
      <c r="B303" t="str">
        <f>IF('Base Encuesta'!D277="","",'Base Encuesta'!D277)</f>
        <v/>
      </c>
      <c r="C303" t="str">
        <f>IF('Base Encuesta'!E277="","",'Base Encuesta'!E277)</f>
        <v/>
      </c>
      <c r="D303" t="str">
        <f>IF('Base Encuesta'!F277="","",'Base Encuesta'!F277)</f>
        <v/>
      </c>
      <c r="E303" t="str">
        <f>IF('Base Encuesta'!G277="","",'Base Encuesta'!G277)</f>
        <v/>
      </c>
      <c r="F303" t="str">
        <f>IF('Base Encuesta'!H277="","",'Base Encuesta'!H277)</f>
        <v/>
      </c>
      <c r="G303" t="str">
        <f>IF('Base Encuesta'!I277="","",'Base Encuesta'!I277)</f>
        <v/>
      </c>
      <c r="H303" t="str">
        <f>IF('Base Encuesta'!J277="","",'Base Encuesta'!J277)</f>
        <v/>
      </c>
      <c r="I303" t="str">
        <f>IF('Base Encuesta'!K277="","",'Base Encuesta'!K277)</f>
        <v/>
      </c>
      <c r="J303" t="str">
        <f>IF(OR('Base Encuesta'!P277="",IFERROR(VALUE(LEFT('Base Encuesta'!K277,1)),"")&gt;=3),"",PROPER(TRIM('Base Encuesta'!P277)))</f>
        <v/>
      </c>
      <c r="K303" t="str">
        <f>IF(OR('Base Encuesta'!Q277="",IFERROR(VALUE(LEFT('Base Encuesta'!K277,1)),"")&gt;=3),"",'Base Encuesta'!Q277)</f>
        <v/>
      </c>
      <c r="L303" t="str">
        <f>IF(OR('Base Encuesta'!R277="",IFERROR(VALUE(LEFT('Base Encuesta'!K277,1)),"")&gt;=3),"",VALUE(LEFT('Base Encuesta'!R277,1)))</f>
        <v/>
      </c>
      <c r="M303" t="str">
        <f>IF(OR('Base Encuesta'!S277="",IFERROR(VALUE(LEFT('Base Encuesta'!K277,1)),"")&gt;=3),"",VALUE(LEFT('Base Encuesta'!S277,1)))</f>
        <v/>
      </c>
      <c r="N303" t="str">
        <f>IF(OR('Base Encuesta'!T277="",IFERROR(VALUE(LEFT('Base Encuesta'!K277,1)),"")&gt;=3),"",VALUE(LEFT('Base Encuesta'!T277,1)))</f>
        <v/>
      </c>
      <c r="O303" t="str">
        <f>IF(OR('Base Encuesta'!V277="",IFERROR(VALUE(LEFT('Base Encuesta'!K277,1)),"")&gt;=3),"",VALUE(LEFT('Base Encuesta'!V277,1)))</f>
        <v/>
      </c>
      <c r="P303" t="str">
        <f>IF(OR('Base Encuesta'!W277="",IFERROR(VALUE(LEFT('Base Encuesta'!K277,1)),"")&gt;=3),"",VALUE(LEFT('Base Encuesta'!W277,1)))</f>
        <v/>
      </c>
      <c r="Q303" t="str">
        <f>IF(OR('Base Encuesta'!X277="",IFERROR(VALUE(LEFT('Base Encuesta'!K277,1)),"")&gt;=3),"",VALUE(LEFT('Base Encuesta'!X277,1)))</f>
        <v/>
      </c>
      <c r="R303" t="str">
        <f>IF(OR('Base Encuesta'!Y277="",IFERROR(VALUE(LEFT('Base Encuesta'!K277,1)),"")&gt;=3),"",VALUE(LEFT('Base Encuesta'!Y277,1)))</f>
        <v/>
      </c>
      <c r="S303" t="str">
        <f>IF(OR('Base Encuesta'!Z277="",IFERROR(VALUE(LEFT('Base Encuesta'!K277,1)),"")&gt;=3),"",VALUE(LEFT('Base Encuesta'!Z277,1)))</f>
        <v/>
      </c>
      <c r="T303" t="str">
        <f>IF(OR('Base Encuesta'!AA277="",IFERROR(VALUE(LEFT('Base Encuesta'!K277,1)),"")&gt;=3),"",VALUE(LEFT('Base Encuesta'!AA277,1)))</f>
        <v/>
      </c>
      <c r="U303" t="str">
        <f>IF(OR('Base Encuesta'!AB277="",IFERROR(VALUE(LEFT('Base Encuesta'!K277,1)),"")&gt;=3),"",VALUE(LEFT('Base Encuesta'!AB277,1)))</f>
        <v/>
      </c>
      <c r="V303" t="str">
        <f>IF(OR('Base Encuesta'!AC277="",IFERROR(VALUE(LEFT('Base Encuesta'!K277,1)),"")&gt;=3),"",VALUE(LEFT('Base Encuesta'!AC277,1)))</f>
        <v/>
      </c>
      <c r="W303" t="str">
        <f>IF(OR('Base Encuesta'!AE277="",IFERROR(VALUE(LEFT('Base Encuesta'!K277,1)),"")&gt;=3),"",VALUE(LEFT('Base Encuesta'!AE277,1)))</f>
        <v/>
      </c>
      <c r="X303" t="str">
        <f>IF(OR('Base Encuesta'!AF277="",IFERROR(VALUE(LEFT('Base Encuesta'!K277,1)),"")&gt;=3),"",IF(W303=1,VALUE(LEFT('Base Encuesta'!AF277,1)),""))</f>
        <v/>
      </c>
      <c r="Y303" t="str">
        <f>IF(OR('Base Encuesta'!AG277="",IFERROR(VALUE(LEFT('Base Encuesta'!K277,1)),"")&gt;=3),"",IF(W303=1,VALUE(LEFT('Base Encuesta'!AG277,1)),""))</f>
        <v/>
      </c>
      <c r="Z303" t="str">
        <f>IF(OR('Base Encuesta'!AH277="",IFERROR(VALUE(LEFT('Base Encuesta'!K277,1)),"")&gt;=3),"",IF(W303=1,VALUE(LEFT('Base Encuesta'!AH277,1)),""))</f>
        <v/>
      </c>
      <c r="AA303" t="str">
        <f>IF(OR('Base Encuesta'!AI277="",IFERROR(VALUE(LEFT('Base Encuesta'!K277,1)),"")&gt;=3),"",IF(W303=1,VALUE(LEFT('Base Encuesta'!AI277,1)),""))</f>
        <v/>
      </c>
      <c r="AB303" t="str">
        <f>IF(OR('Base Encuesta'!AJ277="",IFERROR(VALUE(LEFT('Base Encuesta'!K277,1)),"")&gt;=3),"",IF(W303=1,VALUE(LEFT('Base Encuesta'!AJ277,1)),""))</f>
        <v/>
      </c>
      <c r="AC303" t="str">
        <f>IF(OR('Base Encuesta'!AL277="",IFERROR(VALUE(LEFT('Base Encuesta'!K277,1)),"")&gt;=3),"",VALUE(LEFT('Base Encuesta'!AL277,1)))</f>
        <v/>
      </c>
      <c r="AD303" t="str">
        <f>IF(OR('Base Encuesta'!AM277="",IFERROR(VALUE(LEFT('Base Encuesta'!K277,1)),"")&gt;=3),"",VALUE(LEFT('Base Encuesta'!AM277,1)))</f>
        <v/>
      </c>
      <c r="AE303" t="str">
        <f>IF(OR('Base Encuesta'!AN277="",IFERROR(VALUE(LEFT('Base Encuesta'!K277,1)),"")&gt;=3),"",VALUE(LEFT('Base Encuesta'!AN277,1)))</f>
        <v/>
      </c>
      <c r="AF303" t="str">
        <f>IF(OR('Base Encuesta'!AO277="",IFERROR(VALUE(LEFT('Base Encuesta'!K277,1)),"")&gt;=3),"",VALUE(LEFT('Base Encuesta'!AO277,1)))</f>
        <v/>
      </c>
      <c r="AG303" t="str">
        <f>IF(OR('Base Encuesta'!AQ277="",IFERROR(VALUE(LEFT('Base Encuesta'!K277,1)),"")&gt;=3),"",VALUE(LEFT('Base Encuesta'!AQ277,1)))</f>
        <v/>
      </c>
      <c r="AH303" t="str">
        <f>IF(OR('Base Encuesta'!AR277="",IFERROR(VALUE(LEFT('Base Encuesta'!K277,1)),"")&gt;=3),"",VALUE(LEFT('Base Encuesta'!AR277,1)))</f>
        <v/>
      </c>
    </row>
    <row r="304" spans="1:34">
      <c r="A304" t="str">
        <f>IF('Base Encuesta'!C278="","",'Base Encuesta'!C278)</f>
        <v/>
      </c>
      <c r="B304" t="str">
        <f>IF('Base Encuesta'!D278="","",'Base Encuesta'!D278)</f>
        <v/>
      </c>
      <c r="C304" t="str">
        <f>IF('Base Encuesta'!E278="","",'Base Encuesta'!E278)</f>
        <v/>
      </c>
      <c r="D304" t="str">
        <f>IF('Base Encuesta'!F278="","",'Base Encuesta'!F278)</f>
        <v/>
      </c>
      <c r="E304" t="str">
        <f>IF('Base Encuesta'!G278="","",'Base Encuesta'!G278)</f>
        <v/>
      </c>
      <c r="F304" t="str">
        <f>IF('Base Encuesta'!H278="","",'Base Encuesta'!H278)</f>
        <v/>
      </c>
      <c r="G304" t="str">
        <f>IF('Base Encuesta'!I278="","",'Base Encuesta'!I278)</f>
        <v/>
      </c>
      <c r="H304" t="str">
        <f>IF('Base Encuesta'!J278="","",'Base Encuesta'!J278)</f>
        <v/>
      </c>
      <c r="I304" t="str">
        <f>IF('Base Encuesta'!K278="","",'Base Encuesta'!K278)</f>
        <v/>
      </c>
      <c r="J304" t="str">
        <f>IF(OR('Base Encuesta'!P278="",IFERROR(VALUE(LEFT('Base Encuesta'!K278,1)),"")&gt;=3),"",PROPER(TRIM('Base Encuesta'!P278)))</f>
        <v/>
      </c>
      <c r="K304" t="str">
        <f>IF(OR('Base Encuesta'!Q278="",IFERROR(VALUE(LEFT('Base Encuesta'!K278,1)),"")&gt;=3),"",'Base Encuesta'!Q278)</f>
        <v/>
      </c>
      <c r="L304" t="str">
        <f>IF(OR('Base Encuesta'!R278="",IFERROR(VALUE(LEFT('Base Encuesta'!K278,1)),"")&gt;=3),"",VALUE(LEFT('Base Encuesta'!R278,1)))</f>
        <v/>
      </c>
      <c r="M304" t="str">
        <f>IF(OR('Base Encuesta'!S278="",IFERROR(VALUE(LEFT('Base Encuesta'!K278,1)),"")&gt;=3),"",VALUE(LEFT('Base Encuesta'!S278,1)))</f>
        <v/>
      </c>
      <c r="N304" t="str">
        <f>IF(OR('Base Encuesta'!T278="",IFERROR(VALUE(LEFT('Base Encuesta'!K278,1)),"")&gt;=3),"",VALUE(LEFT('Base Encuesta'!T278,1)))</f>
        <v/>
      </c>
      <c r="O304" t="str">
        <f>IF(OR('Base Encuesta'!V278="",IFERROR(VALUE(LEFT('Base Encuesta'!K278,1)),"")&gt;=3),"",VALUE(LEFT('Base Encuesta'!V278,1)))</f>
        <v/>
      </c>
      <c r="P304" t="str">
        <f>IF(OR('Base Encuesta'!W278="",IFERROR(VALUE(LEFT('Base Encuesta'!K278,1)),"")&gt;=3),"",VALUE(LEFT('Base Encuesta'!W278,1)))</f>
        <v/>
      </c>
      <c r="Q304" t="str">
        <f>IF(OR('Base Encuesta'!X278="",IFERROR(VALUE(LEFT('Base Encuesta'!K278,1)),"")&gt;=3),"",VALUE(LEFT('Base Encuesta'!X278,1)))</f>
        <v/>
      </c>
      <c r="R304" t="str">
        <f>IF(OR('Base Encuesta'!Y278="",IFERROR(VALUE(LEFT('Base Encuesta'!K278,1)),"")&gt;=3),"",VALUE(LEFT('Base Encuesta'!Y278,1)))</f>
        <v/>
      </c>
      <c r="S304" t="str">
        <f>IF(OR('Base Encuesta'!Z278="",IFERROR(VALUE(LEFT('Base Encuesta'!K278,1)),"")&gt;=3),"",VALUE(LEFT('Base Encuesta'!Z278,1)))</f>
        <v/>
      </c>
      <c r="T304" t="str">
        <f>IF(OR('Base Encuesta'!AA278="",IFERROR(VALUE(LEFT('Base Encuesta'!K278,1)),"")&gt;=3),"",VALUE(LEFT('Base Encuesta'!AA278,1)))</f>
        <v/>
      </c>
      <c r="U304" t="str">
        <f>IF(OR('Base Encuesta'!AB278="",IFERROR(VALUE(LEFT('Base Encuesta'!K278,1)),"")&gt;=3),"",VALUE(LEFT('Base Encuesta'!AB278,1)))</f>
        <v/>
      </c>
      <c r="V304" t="str">
        <f>IF(OR('Base Encuesta'!AC278="",IFERROR(VALUE(LEFT('Base Encuesta'!K278,1)),"")&gt;=3),"",VALUE(LEFT('Base Encuesta'!AC278,1)))</f>
        <v/>
      </c>
      <c r="W304" t="str">
        <f>IF(OR('Base Encuesta'!AE278="",IFERROR(VALUE(LEFT('Base Encuesta'!K278,1)),"")&gt;=3),"",VALUE(LEFT('Base Encuesta'!AE278,1)))</f>
        <v/>
      </c>
      <c r="X304" t="str">
        <f>IF(OR('Base Encuesta'!AF278="",IFERROR(VALUE(LEFT('Base Encuesta'!K278,1)),"")&gt;=3),"",IF(W304=1,VALUE(LEFT('Base Encuesta'!AF278,1)),""))</f>
        <v/>
      </c>
      <c r="Y304" t="str">
        <f>IF(OR('Base Encuesta'!AG278="",IFERROR(VALUE(LEFT('Base Encuesta'!K278,1)),"")&gt;=3),"",IF(W304=1,VALUE(LEFT('Base Encuesta'!AG278,1)),""))</f>
        <v/>
      </c>
      <c r="Z304" t="str">
        <f>IF(OR('Base Encuesta'!AH278="",IFERROR(VALUE(LEFT('Base Encuesta'!K278,1)),"")&gt;=3),"",IF(W304=1,VALUE(LEFT('Base Encuesta'!AH278,1)),""))</f>
        <v/>
      </c>
      <c r="AA304" t="str">
        <f>IF(OR('Base Encuesta'!AI278="",IFERROR(VALUE(LEFT('Base Encuesta'!K278,1)),"")&gt;=3),"",IF(W304=1,VALUE(LEFT('Base Encuesta'!AI278,1)),""))</f>
        <v/>
      </c>
      <c r="AB304" t="str">
        <f>IF(OR('Base Encuesta'!AJ278="",IFERROR(VALUE(LEFT('Base Encuesta'!K278,1)),"")&gt;=3),"",IF(W304=1,VALUE(LEFT('Base Encuesta'!AJ278,1)),""))</f>
        <v/>
      </c>
      <c r="AC304" t="str">
        <f>IF(OR('Base Encuesta'!AL278="",IFERROR(VALUE(LEFT('Base Encuesta'!K278,1)),"")&gt;=3),"",VALUE(LEFT('Base Encuesta'!AL278,1)))</f>
        <v/>
      </c>
      <c r="AD304" t="str">
        <f>IF(OR('Base Encuesta'!AM278="",IFERROR(VALUE(LEFT('Base Encuesta'!K278,1)),"")&gt;=3),"",VALUE(LEFT('Base Encuesta'!AM278,1)))</f>
        <v/>
      </c>
      <c r="AE304" t="str">
        <f>IF(OR('Base Encuesta'!AN278="",IFERROR(VALUE(LEFT('Base Encuesta'!K278,1)),"")&gt;=3),"",VALUE(LEFT('Base Encuesta'!AN278,1)))</f>
        <v/>
      </c>
      <c r="AF304" t="str">
        <f>IF(OR('Base Encuesta'!AO278="",IFERROR(VALUE(LEFT('Base Encuesta'!K278,1)),"")&gt;=3),"",VALUE(LEFT('Base Encuesta'!AO278,1)))</f>
        <v/>
      </c>
      <c r="AG304" t="str">
        <f>IF(OR('Base Encuesta'!AQ278="",IFERROR(VALUE(LEFT('Base Encuesta'!K278,1)),"")&gt;=3),"",VALUE(LEFT('Base Encuesta'!AQ278,1)))</f>
        <v/>
      </c>
      <c r="AH304" t="str">
        <f>IF(OR('Base Encuesta'!AR278="",IFERROR(VALUE(LEFT('Base Encuesta'!K278,1)),"")&gt;=3),"",VALUE(LEFT('Base Encuesta'!AR278,1)))</f>
        <v/>
      </c>
    </row>
    <row r="305" spans="1:34">
      <c r="A305" t="str">
        <f>IF('Base Encuesta'!C279="","",'Base Encuesta'!C279)</f>
        <v/>
      </c>
      <c r="B305" t="str">
        <f>IF('Base Encuesta'!D279="","",'Base Encuesta'!D279)</f>
        <v/>
      </c>
      <c r="C305" t="str">
        <f>IF('Base Encuesta'!E279="","",'Base Encuesta'!E279)</f>
        <v/>
      </c>
      <c r="D305" t="str">
        <f>IF('Base Encuesta'!F279="","",'Base Encuesta'!F279)</f>
        <v/>
      </c>
      <c r="E305" t="str">
        <f>IF('Base Encuesta'!G279="","",'Base Encuesta'!G279)</f>
        <v/>
      </c>
      <c r="F305" t="str">
        <f>IF('Base Encuesta'!H279="","",'Base Encuesta'!H279)</f>
        <v/>
      </c>
      <c r="G305" t="str">
        <f>IF('Base Encuesta'!I279="","",'Base Encuesta'!I279)</f>
        <v/>
      </c>
      <c r="H305" t="str">
        <f>IF('Base Encuesta'!J279="","",'Base Encuesta'!J279)</f>
        <v/>
      </c>
      <c r="I305" t="str">
        <f>IF('Base Encuesta'!K279="","",'Base Encuesta'!K279)</f>
        <v/>
      </c>
      <c r="J305" t="str">
        <f>IF(OR('Base Encuesta'!P279="",IFERROR(VALUE(LEFT('Base Encuesta'!K279,1)),"")&gt;=3),"",PROPER(TRIM('Base Encuesta'!P279)))</f>
        <v/>
      </c>
      <c r="K305" t="str">
        <f>IF(OR('Base Encuesta'!Q279="",IFERROR(VALUE(LEFT('Base Encuesta'!K279,1)),"")&gt;=3),"",'Base Encuesta'!Q279)</f>
        <v/>
      </c>
      <c r="L305" t="str">
        <f>IF(OR('Base Encuesta'!R279="",IFERROR(VALUE(LEFT('Base Encuesta'!K279,1)),"")&gt;=3),"",VALUE(LEFT('Base Encuesta'!R279,1)))</f>
        <v/>
      </c>
      <c r="M305" t="str">
        <f>IF(OR('Base Encuesta'!S279="",IFERROR(VALUE(LEFT('Base Encuesta'!K279,1)),"")&gt;=3),"",VALUE(LEFT('Base Encuesta'!S279,1)))</f>
        <v/>
      </c>
      <c r="N305" t="str">
        <f>IF(OR('Base Encuesta'!T279="",IFERROR(VALUE(LEFT('Base Encuesta'!K279,1)),"")&gt;=3),"",VALUE(LEFT('Base Encuesta'!T279,1)))</f>
        <v/>
      </c>
      <c r="O305" t="str">
        <f>IF(OR('Base Encuesta'!V279="",IFERROR(VALUE(LEFT('Base Encuesta'!K279,1)),"")&gt;=3),"",VALUE(LEFT('Base Encuesta'!V279,1)))</f>
        <v/>
      </c>
      <c r="P305" t="str">
        <f>IF(OR('Base Encuesta'!W279="",IFERROR(VALUE(LEFT('Base Encuesta'!K279,1)),"")&gt;=3),"",VALUE(LEFT('Base Encuesta'!W279,1)))</f>
        <v/>
      </c>
      <c r="Q305" t="str">
        <f>IF(OR('Base Encuesta'!X279="",IFERROR(VALUE(LEFT('Base Encuesta'!K279,1)),"")&gt;=3),"",VALUE(LEFT('Base Encuesta'!X279,1)))</f>
        <v/>
      </c>
      <c r="R305" t="str">
        <f>IF(OR('Base Encuesta'!Y279="",IFERROR(VALUE(LEFT('Base Encuesta'!K279,1)),"")&gt;=3),"",VALUE(LEFT('Base Encuesta'!Y279,1)))</f>
        <v/>
      </c>
      <c r="S305" t="str">
        <f>IF(OR('Base Encuesta'!Z279="",IFERROR(VALUE(LEFT('Base Encuesta'!K279,1)),"")&gt;=3),"",VALUE(LEFT('Base Encuesta'!Z279,1)))</f>
        <v/>
      </c>
      <c r="T305" t="str">
        <f>IF(OR('Base Encuesta'!AA279="",IFERROR(VALUE(LEFT('Base Encuesta'!K279,1)),"")&gt;=3),"",VALUE(LEFT('Base Encuesta'!AA279,1)))</f>
        <v/>
      </c>
      <c r="U305" t="str">
        <f>IF(OR('Base Encuesta'!AB279="",IFERROR(VALUE(LEFT('Base Encuesta'!K279,1)),"")&gt;=3),"",VALUE(LEFT('Base Encuesta'!AB279,1)))</f>
        <v/>
      </c>
      <c r="V305" t="str">
        <f>IF(OR('Base Encuesta'!AC279="",IFERROR(VALUE(LEFT('Base Encuesta'!K279,1)),"")&gt;=3),"",VALUE(LEFT('Base Encuesta'!AC279,1)))</f>
        <v/>
      </c>
      <c r="W305" t="str">
        <f>IF(OR('Base Encuesta'!AE279="",IFERROR(VALUE(LEFT('Base Encuesta'!K279,1)),"")&gt;=3),"",VALUE(LEFT('Base Encuesta'!AE279,1)))</f>
        <v/>
      </c>
      <c r="X305" t="str">
        <f>IF(OR('Base Encuesta'!AF279="",IFERROR(VALUE(LEFT('Base Encuesta'!K279,1)),"")&gt;=3),"",IF(W305=1,VALUE(LEFT('Base Encuesta'!AF279,1)),""))</f>
        <v/>
      </c>
      <c r="Y305" t="str">
        <f>IF(OR('Base Encuesta'!AG279="",IFERROR(VALUE(LEFT('Base Encuesta'!K279,1)),"")&gt;=3),"",IF(W305=1,VALUE(LEFT('Base Encuesta'!AG279,1)),""))</f>
        <v/>
      </c>
      <c r="Z305" t="str">
        <f>IF(OR('Base Encuesta'!AH279="",IFERROR(VALUE(LEFT('Base Encuesta'!K279,1)),"")&gt;=3),"",IF(W305=1,VALUE(LEFT('Base Encuesta'!AH279,1)),""))</f>
        <v/>
      </c>
      <c r="AA305" t="str">
        <f>IF(OR('Base Encuesta'!AI279="",IFERROR(VALUE(LEFT('Base Encuesta'!K279,1)),"")&gt;=3),"",IF(W305=1,VALUE(LEFT('Base Encuesta'!AI279,1)),""))</f>
        <v/>
      </c>
      <c r="AB305" t="str">
        <f>IF(OR('Base Encuesta'!AJ279="",IFERROR(VALUE(LEFT('Base Encuesta'!K279,1)),"")&gt;=3),"",IF(W305=1,VALUE(LEFT('Base Encuesta'!AJ279,1)),""))</f>
        <v/>
      </c>
      <c r="AC305" t="str">
        <f>IF(OR('Base Encuesta'!AL279="",IFERROR(VALUE(LEFT('Base Encuesta'!K279,1)),"")&gt;=3),"",VALUE(LEFT('Base Encuesta'!AL279,1)))</f>
        <v/>
      </c>
      <c r="AD305" t="str">
        <f>IF(OR('Base Encuesta'!AM279="",IFERROR(VALUE(LEFT('Base Encuesta'!K279,1)),"")&gt;=3),"",VALUE(LEFT('Base Encuesta'!AM279,1)))</f>
        <v/>
      </c>
      <c r="AE305" t="str">
        <f>IF(OR('Base Encuesta'!AN279="",IFERROR(VALUE(LEFT('Base Encuesta'!K279,1)),"")&gt;=3),"",VALUE(LEFT('Base Encuesta'!AN279,1)))</f>
        <v/>
      </c>
      <c r="AF305" t="str">
        <f>IF(OR('Base Encuesta'!AO279="",IFERROR(VALUE(LEFT('Base Encuesta'!K279,1)),"")&gt;=3),"",VALUE(LEFT('Base Encuesta'!AO279,1)))</f>
        <v/>
      </c>
      <c r="AG305" t="str">
        <f>IF(OR('Base Encuesta'!AQ279="",IFERROR(VALUE(LEFT('Base Encuesta'!K279,1)),"")&gt;=3),"",VALUE(LEFT('Base Encuesta'!AQ279,1)))</f>
        <v/>
      </c>
      <c r="AH305" t="str">
        <f>IF(OR('Base Encuesta'!AR279="",IFERROR(VALUE(LEFT('Base Encuesta'!K279,1)),"")&gt;=3),"",VALUE(LEFT('Base Encuesta'!AR279,1)))</f>
        <v/>
      </c>
    </row>
    <row r="306" spans="1:34">
      <c r="A306" t="str">
        <f>IF('Base Encuesta'!C280="","",'Base Encuesta'!C280)</f>
        <v/>
      </c>
      <c r="B306" t="str">
        <f>IF('Base Encuesta'!D280="","",'Base Encuesta'!D280)</f>
        <v/>
      </c>
      <c r="C306" t="str">
        <f>IF('Base Encuesta'!E280="","",'Base Encuesta'!E280)</f>
        <v/>
      </c>
      <c r="D306" t="str">
        <f>IF('Base Encuesta'!F280="","",'Base Encuesta'!F280)</f>
        <v/>
      </c>
      <c r="E306" t="str">
        <f>IF('Base Encuesta'!G280="","",'Base Encuesta'!G280)</f>
        <v/>
      </c>
      <c r="F306" t="str">
        <f>IF('Base Encuesta'!H280="","",'Base Encuesta'!H280)</f>
        <v/>
      </c>
      <c r="G306" t="str">
        <f>IF('Base Encuesta'!I280="","",'Base Encuesta'!I280)</f>
        <v/>
      </c>
      <c r="H306" t="str">
        <f>IF('Base Encuesta'!J280="","",'Base Encuesta'!J280)</f>
        <v/>
      </c>
      <c r="I306" t="str">
        <f>IF('Base Encuesta'!K280="","",'Base Encuesta'!K280)</f>
        <v/>
      </c>
      <c r="J306" t="str">
        <f>IF(OR('Base Encuesta'!P280="",IFERROR(VALUE(LEFT('Base Encuesta'!K280,1)),"")&gt;=3),"",PROPER(TRIM('Base Encuesta'!P280)))</f>
        <v/>
      </c>
      <c r="K306" t="str">
        <f>IF(OR('Base Encuesta'!Q280="",IFERROR(VALUE(LEFT('Base Encuesta'!K280,1)),"")&gt;=3),"",'Base Encuesta'!Q280)</f>
        <v/>
      </c>
      <c r="L306" t="str">
        <f>IF(OR('Base Encuesta'!R280="",IFERROR(VALUE(LEFT('Base Encuesta'!K280,1)),"")&gt;=3),"",VALUE(LEFT('Base Encuesta'!R280,1)))</f>
        <v/>
      </c>
      <c r="M306" t="str">
        <f>IF(OR('Base Encuesta'!S280="",IFERROR(VALUE(LEFT('Base Encuesta'!K280,1)),"")&gt;=3),"",VALUE(LEFT('Base Encuesta'!S280,1)))</f>
        <v/>
      </c>
      <c r="N306" t="str">
        <f>IF(OR('Base Encuesta'!T280="",IFERROR(VALUE(LEFT('Base Encuesta'!K280,1)),"")&gt;=3),"",VALUE(LEFT('Base Encuesta'!T280,1)))</f>
        <v/>
      </c>
      <c r="O306" t="str">
        <f>IF(OR('Base Encuesta'!V280="",IFERROR(VALUE(LEFT('Base Encuesta'!K280,1)),"")&gt;=3),"",VALUE(LEFT('Base Encuesta'!V280,1)))</f>
        <v/>
      </c>
      <c r="P306" t="str">
        <f>IF(OR('Base Encuesta'!W280="",IFERROR(VALUE(LEFT('Base Encuesta'!K280,1)),"")&gt;=3),"",VALUE(LEFT('Base Encuesta'!W280,1)))</f>
        <v/>
      </c>
      <c r="Q306" t="str">
        <f>IF(OR('Base Encuesta'!X280="",IFERROR(VALUE(LEFT('Base Encuesta'!K280,1)),"")&gt;=3),"",VALUE(LEFT('Base Encuesta'!X280,1)))</f>
        <v/>
      </c>
      <c r="R306" t="str">
        <f>IF(OR('Base Encuesta'!Y280="",IFERROR(VALUE(LEFT('Base Encuesta'!K280,1)),"")&gt;=3),"",VALUE(LEFT('Base Encuesta'!Y280,1)))</f>
        <v/>
      </c>
      <c r="S306" t="str">
        <f>IF(OR('Base Encuesta'!Z280="",IFERROR(VALUE(LEFT('Base Encuesta'!K280,1)),"")&gt;=3),"",VALUE(LEFT('Base Encuesta'!Z280,1)))</f>
        <v/>
      </c>
      <c r="T306" t="str">
        <f>IF(OR('Base Encuesta'!AA280="",IFERROR(VALUE(LEFT('Base Encuesta'!K280,1)),"")&gt;=3),"",VALUE(LEFT('Base Encuesta'!AA280,1)))</f>
        <v/>
      </c>
      <c r="U306" t="str">
        <f>IF(OR('Base Encuesta'!AB280="",IFERROR(VALUE(LEFT('Base Encuesta'!K280,1)),"")&gt;=3),"",VALUE(LEFT('Base Encuesta'!AB280,1)))</f>
        <v/>
      </c>
      <c r="V306" t="str">
        <f>IF(OR('Base Encuesta'!AC280="",IFERROR(VALUE(LEFT('Base Encuesta'!K280,1)),"")&gt;=3),"",VALUE(LEFT('Base Encuesta'!AC280,1)))</f>
        <v/>
      </c>
      <c r="W306" t="str">
        <f>IF(OR('Base Encuesta'!AE280="",IFERROR(VALUE(LEFT('Base Encuesta'!K280,1)),"")&gt;=3),"",VALUE(LEFT('Base Encuesta'!AE280,1)))</f>
        <v/>
      </c>
      <c r="X306" t="str">
        <f>IF(OR('Base Encuesta'!AF280="",IFERROR(VALUE(LEFT('Base Encuesta'!K280,1)),"")&gt;=3),"",IF(W306=1,VALUE(LEFT('Base Encuesta'!AF280,1)),""))</f>
        <v/>
      </c>
      <c r="Y306" t="str">
        <f>IF(OR('Base Encuesta'!AG280="",IFERROR(VALUE(LEFT('Base Encuesta'!K280,1)),"")&gt;=3),"",IF(W306=1,VALUE(LEFT('Base Encuesta'!AG280,1)),""))</f>
        <v/>
      </c>
      <c r="Z306" t="str">
        <f>IF(OR('Base Encuesta'!AH280="",IFERROR(VALUE(LEFT('Base Encuesta'!K280,1)),"")&gt;=3),"",IF(W306=1,VALUE(LEFT('Base Encuesta'!AH280,1)),""))</f>
        <v/>
      </c>
      <c r="AA306" t="str">
        <f>IF(OR('Base Encuesta'!AI280="",IFERROR(VALUE(LEFT('Base Encuesta'!K280,1)),"")&gt;=3),"",IF(W306=1,VALUE(LEFT('Base Encuesta'!AI280,1)),""))</f>
        <v/>
      </c>
      <c r="AB306" t="str">
        <f>IF(OR('Base Encuesta'!AJ280="",IFERROR(VALUE(LEFT('Base Encuesta'!K280,1)),"")&gt;=3),"",IF(W306=1,VALUE(LEFT('Base Encuesta'!AJ280,1)),""))</f>
        <v/>
      </c>
      <c r="AC306" t="str">
        <f>IF(OR('Base Encuesta'!AL280="",IFERROR(VALUE(LEFT('Base Encuesta'!K280,1)),"")&gt;=3),"",VALUE(LEFT('Base Encuesta'!AL280,1)))</f>
        <v/>
      </c>
      <c r="AD306" t="str">
        <f>IF(OR('Base Encuesta'!AM280="",IFERROR(VALUE(LEFT('Base Encuesta'!K280,1)),"")&gt;=3),"",VALUE(LEFT('Base Encuesta'!AM280,1)))</f>
        <v/>
      </c>
      <c r="AE306" t="str">
        <f>IF(OR('Base Encuesta'!AN280="",IFERROR(VALUE(LEFT('Base Encuesta'!K280,1)),"")&gt;=3),"",VALUE(LEFT('Base Encuesta'!AN280,1)))</f>
        <v/>
      </c>
      <c r="AF306" t="str">
        <f>IF(OR('Base Encuesta'!AO280="",IFERROR(VALUE(LEFT('Base Encuesta'!K280,1)),"")&gt;=3),"",VALUE(LEFT('Base Encuesta'!AO280,1)))</f>
        <v/>
      </c>
      <c r="AG306" t="str">
        <f>IF(OR('Base Encuesta'!AQ280="",IFERROR(VALUE(LEFT('Base Encuesta'!K280,1)),"")&gt;=3),"",VALUE(LEFT('Base Encuesta'!AQ280,1)))</f>
        <v/>
      </c>
      <c r="AH306" t="str">
        <f>IF(OR('Base Encuesta'!AR280="",IFERROR(VALUE(LEFT('Base Encuesta'!K280,1)),"")&gt;=3),"",VALUE(LEFT('Base Encuesta'!AR280,1)))</f>
        <v/>
      </c>
    </row>
    <row r="307" spans="1:34">
      <c r="A307" t="str">
        <f>IF('Base Encuesta'!C281="","",'Base Encuesta'!C281)</f>
        <v/>
      </c>
      <c r="B307" t="str">
        <f>IF('Base Encuesta'!D281="","",'Base Encuesta'!D281)</f>
        <v/>
      </c>
      <c r="C307" t="str">
        <f>IF('Base Encuesta'!E281="","",'Base Encuesta'!E281)</f>
        <v/>
      </c>
      <c r="D307" t="str">
        <f>IF('Base Encuesta'!F281="","",'Base Encuesta'!F281)</f>
        <v/>
      </c>
      <c r="E307" t="str">
        <f>IF('Base Encuesta'!G281="","",'Base Encuesta'!G281)</f>
        <v/>
      </c>
      <c r="F307" t="str">
        <f>IF('Base Encuesta'!H281="","",'Base Encuesta'!H281)</f>
        <v/>
      </c>
      <c r="G307" t="str">
        <f>IF('Base Encuesta'!I281="","",'Base Encuesta'!I281)</f>
        <v/>
      </c>
      <c r="H307" t="str">
        <f>IF('Base Encuesta'!J281="","",'Base Encuesta'!J281)</f>
        <v/>
      </c>
      <c r="I307" t="str">
        <f>IF('Base Encuesta'!K281="","",'Base Encuesta'!K281)</f>
        <v/>
      </c>
      <c r="J307" t="str">
        <f>IF(OR('Base Encuesta'!P281="",IFERROR(VALUE(LEFT('Base Encuesta'!K281,1)),"")&gt;=3),"",PROPER(TRIM('Base Encuesta'!P281)))</f>
        <v/>
      </c>
      <c r="K307" t="str">
        <f>IF(OR('Base Encuesta'!Q281="",IFERROR(VALUE(LEFT('Base Encuesta'!K281,1)),"")&gt;=3),"",'Base Encuesta'!Q281)</f>
        <v/>
      </c>
      <c r="L307" t="str">
        <f>IF(OR('Base Encuesta'!R281="",IFERROR(VALUE(LEFT('Base Encuesta'!K281,1)),"")&gt;=3),"",VALUE(LEFT('Base Encuesta'!R281,1)))</f>
        <v/>
      </c>
      <c r="M307" t="str">
        <f>IF(OR('Base Encuesta'!S281="",IFERROR(VALUE(LEFT('Base Encuesta'!K281,1)),"")&gt;=3),"",VALUE(LEFT('Base Encuesta'!S281,1)))</f>
        <v/>
      </c>
      <c r="N307" t="str">
        <f>IF(OR('Base Encuesta'!T281="",IFERROR(VALUE(LEFT('Base Encuesta'!K281,1)),"")&gt;=3),"",VALUE(LEFT('Base Encuesta'!T281,1)))</f>
        <v/>
      </c>
      <c r="O307" t="str">
        <f>IF(OR('Base Encuesta'!V281="",IFERROR(VALUE(LEFT('Base Encuesta'!K281,1)),"")&gt;=3),"",VALUE(LEFT('Base Encuesta'!V281,1)))</f>
        <v/>
      </c>
      <c r="P307" t="str">
        <f>IF(OR('Base Encuesta'!W281="",IFERROR(VALUE(LEFT('Base Encuesta'!K281,1)),"")&gt;=3),"",VALUE(LEFT('Base Encuesta'!W281,1)))</f>
        <v/>
      </c>
      <c r="Q307" t="str">
        <f>IF(OR('Base Encuesta'!X281="",IFERROR(VALUE(LEFT('Base Encuesta'!K281,1)),"")&gt;=3),"",VALUE(LEFT('Base Encuesta'!X281,1)))</f>
        <v/>
      </c>
      <c r="R307" t="str">
        <f>IF(OR('Base Encuesta'!Y281="",IFERROR(VALUE(LEFT('Base Encuesta'!K281,1)),"")&gt;=3),"",VALUE(LEFT('Base Encuesta'!Y281,1)))</f>
        <v/>
      </c>
      <c r="S307" t="str">
        <f>IF(OR('Base Encuesta'!Z281="",IFERROR(VALUE(LEFT('Base Encuesta'!K281,1)),"")&gt;=3),"",VALUE(LEFT('Base Encuesta'!Z281,1)))</f>
        <v/>
      </c>
      <c r="T307" t="str">
        <f>IF(OR('Base Encuesta'!AA281="",IFERROR(VALUE(LEFT('Base Encuesta'!K281,1)),"")&gt;=3),"",VALUE(LEFT('Base Encuesta'!AA281,1)))</f>
        <v/>
      </c>
      <c r="U307" t="str">
        <f>IF(OR('Base Encuesta'!AB281="",IFERROR(VALUE(LEFT('Base Encuesta'!K281,1)),"")&gt;=3),"",VALUE(LEFT('Base Encuesta'!AB281,1)))</f>
        <v/>
      </c>
      <c r="V307" t="str">
        <f>IF(OR('Base Encuesta'!AC281="",IFERROR(VALUE(LEFT('Base Encuesta'!K281,1)),"")&gt;=3),"",VALUE(LEFT('Base Encuesta'!AC281,1)))</f>
        <v/>
      </c>
      <c r="W307" t="str">
        <f>IF(OR('Base Encuesta'!AE281="",IFERROR(VALUE(LEFT('Base Encuesta'!K281,1)),"")&gt;=3),"",VALUE(LEFT('Base Encuesta'!AE281,1)))</f>
        <v/>
      </c>
      <c r="X307" t="str">
        <f>IF(OR('Base Encuesta'!AF281="",IFERROR(VALUE(LEFT('Base Encuesta'!K281,1)),"")&gt;=3),"",IF(W307=1,VALUE(LEFT('Base Encuesta'!AF281,1)),""))</f>
        <v/>
      </c>
      <c r="Y307" t="str">
        <f>IF(OR('Base Encuesta'!AG281="",IFERROR(VALUE(LEFT('Base Encuesta'!K281,1)),"")&gt;=3),"",IF(W307=1,VALUE(LEFT('Base Encuesta'!AG281,1)),""))</f>
        <v/>
      </c>
      <c r="Z307" t="str">
        <f>IF(OR('Base Encuesta'!AH281="",IFERROR(VALUE(LEFT('Base Encuesta'!K281,1)),"")&gt;=3),"",IF(W307=1,VALUE(LEFT('Base Encuesta'!AH281,1)),""))</f>
        <v/>
      </c>
      <c r="AA307" t="str">
        <f>IF(OR('Base Encuesta'!AI281="",IFERROR(VALUE(LEFT('Base Encuesta'!K281,1)),"")&gt;=3),"",IF(W307=1,VALUE(LEFT('Base Encuesta'!AI281,1)),""))</f>
        <v/>
      </c>
      <c r="AB307" t="str">
        <f>IF(OR('Base Encuesta'!AJ281="",IFERROR(VALUE(LEFT('Base Encuesta'!K281,1)),"")&gt;=3),"",IF(W307=1,VALUE(LEFT('Base Encuesta'!AJ281,1)),""))</f>
        <v/>
      </c>
      <c r="AC307" t="str">
        <f>IF(OR('Base Encuesta'!AL281="",IFERROR(VALUE(LEFT('Base Encuesta'!K281,1)),"")&gt;=3),"",VALUE(LEFT('Base Encuesta'!AL281,1)))</f>
        <v/>
      </c>
      <c r="AD307" t="str">
        <f>IF(OR('Base Encuesta'!AM281="",IFERROR(VALUE(LEFT('Base Encuesta'!K281,1)),"")&gt;=3),"",VALUE(LEFT('Base Encuesta'!AM281,1)))</f>
        <v/>
      </c>
      <c r="AE307" t="str">
        <f>IF(OR('Base Encuesta'!AN281="",IFERROR(VALUE(LEFT('Base Encuesta'!K281,1)),"")&gt;=3),"",VALUE(LEFT('Base Encuesta'!AN281,1)))</f>
        <v/>
      </c>
      <c r="AF307" t="str">
        <f>IF(OR('Base Encuesta'!AO281="",IFERROR(VALUE(LEFT('Base Encuesta'!K281,1)),"")&gt;=3),"",VALUE(LEFT('Base Encuesta'!AO281,1)))</f>
        <v/>
      </c>
      <c r="AG307" t="str">
        <f>IF(OR('Base Encuesta'!AQ281="",IFERROR(VALUE(LEFT('Base Encuesta'!K281,1)),"")&gt;=3),"",VALUE(LEFT('Base Encuesta'!AQ281,1)))</f>
        <v/>
      </c>
      <c r="AH307" t="str">
        <f>IF(OR('Base Encuesta'!AR281="",IFERROR(VALUE(LEFT('Base Encuesta'!K281,1)),"")&gt;=3),"",VALUE(LEFT('Base Encuesta'!AR281,1)))</f>
        <v/>
      </c>
    </row>
    <row r="308" spans="1:34">
      <c r="A308" t="str">
        <f>IF('Base Encuesta'!C282="","",'Base Encuesta'!C282)</f>
        <v/>
      </c>
      <c r="B308" t="str">
        <f>IF('Base Encuesta'!D282="","",'Base Encuesta'!D282)</f>
        <v/>
      </c>
      <c r="C308" t="str">
        <f>IF('Base Encuesta'!E282="","",'Base Encuesta'!E282)</f>
        <v/>
      </c>
      <c r="D308" t="str">
        <f>IF('Base Encuesta'!F282="","",'Base Encuesta'!F282)</f>
        <v/>
      </c>
      <c r="E308" t="str">
        <f>IF('Base Encuesta'!G282="","",'Base Encuesta'!G282)</f>
        <v/>
      </c>
      <c r="F308" t="str">
        <f>IF('Base Encuesta'!H282="","",'Base Encuesta'!H282)</f>
        <v/>
      </c>
      <c r="G308" t="str">
        <f>IF('Base Encuesta'!I282="","",'Base Encuesta'!I282)</f>
        <v/>
      </c>
      <c r="H308" t="str">
        <f>IF('Base Encuesta'!J282="","",'Base Encuesta'!J282)</f>
        <v/>
      </c>
      <c r="I308" t="str">
        <f>IF('Base Encuesta'!K282="","",'Base Encuesta'!K282)</f>
        <v/>
      </c>
      <c r="J308" t="str">
        <f>IF(OR('Base Encuesta'!P282="",IFERROR(VALUE(LEFT('Base Encuesta'!K282,1)),"")&gt;=3),"",PROPER(TRIM('Base Encuesta'!P282)))</f>
        <v/>
      </c>
      <c r="K308" t="str">
        <f>IF(OR('Base Encuesta'!Q282="",IFERROR(VALUE(LEFT('Base Encuesta'!K282,1)),"")&gt;=3),"",'Base Encuesta'!Q282)</f>
        <v/>
      </c>
      <c r="L308" t="str">
        <f>IF(OR('Base Encuesta'!R282="",IFERROR(VALUE(LEFT('Base Encuesta'!K282,1)),"")&gt;=3),"",VALUE(LEFT('Base Encuesta'!R282,1)))</f>
        <v/>
      </c>
      <c r="M308" t="str">
        <f>IF(OR('Base Encuesta'!S282="",IFERROR(VALUE(LEFT('Base Encuesta'!K282,1)),"")&gt;=3),"",VALUE(LEFT('Base Encuesta'!S282,1)))</f>
        <v/>
      </c>
      <c r="N308" t="str">
        <f>IF(OR('Base Encuesta'!T282="",IFERROR(VALUE(LEFT('Base Encuesta'!K282,1)),"")&gt;=3),"",VALUE(LEFT('Base Encuesta'!T282,1)))</f>
        <v/>
      </c>
      <c r="O308" t="str">
        <f>IF(OR('Base Encuesta'!V282="",IFERROR(VALUE(LEFT('Base Encuesta'!K282,1)),"")&gt;=3),"",VALUE(LEFT('Base Encuesta'!V282,1)))</f>
        <v/>
      </c>
      <c r="P308" t="str">
        <f>IF(OR('Base Encuesta'!W282="",IFERROR(VALUE(LEFT('Base Encuesta'!K282,1)),"")&gt;=3),"",VALUE(LEFT('Base Encuesta'!W282,1)))</f>
        <v/>
      </c>
      <c r="Q308" t="str">
        <f>IF(OR('Base Encuesta'!X282="",IFERROR(VALUE(LEFT('Base Encuesta'!K282,1)),"")&gt;=3),"",VALUE(LEFT('Base Encuesta'!X282,1)))</f>
        <v/>
      </c>
      <c r="R308" t="str">
        <f>IF(OR('Base Encuesta'!Y282="",IFERROR(VALUE(LEFT('Base Encuesta'!K282,1)),"")&gt;=3),"",VALUE(LEFT('Base Encuesta'!Y282,1)))</f>
        <v/>
      </c>
      <c r="S308" t="str">
        <f>IF(OR('Base Encuesta'!Z282="",IFERROR(VALUE(LEFT('Base Encuesta'!K282,1)),"")&gt;=3),"",VALUE(LEFT('Base Encuesta'!Z282,1)))</f>
        <v/>
      </c>
      <c r="T308" t="str">
        <f>IF(OR('Base Encuesta'!AA282="",IFERROR(VALUE(LEFT('Base Encuesta'!K282,1)),"")&gt;=3),"",VALUE(LEFT('Base Encuesta'!AA282,1)))</f>
        <v/>
      </c>
      <c r="U308" t="str">
        <f>IF(OR('Base Encuesta'!AB282="",IFERROR(VALUE(LEFT('Base Encuesta'!K282,1)),"")&gt;=3),"",VALUE(LEFT('Base Encuesta'!AB282,1)))</f>
        <v/>
      </c>
      <c r="V308" t="str">
        <f>IF(OR('Base Encuesta'!AC282="",IFERROR(VALUE(LEFT('Base Encuesta'!K282,1)),"")&gt;=3),"",VALUE(LEFT('Base Encuesta'!AC282,1)))</f>
        <v/>
      </c>
      <c r="W308" t="str">
        <f>IF(OR('Base Encuesta'!AE282="",IFERROR(VALUE(LEFT('Base Encuesta'!K282,1)),"")&gt;=3),"",VALUE(LEFT('Base Encuesta'!AE282,1)))</f>
        <v/>
      </c>
      <c r="X308" t="str">
        <f>IF(OR('Base Encuesta'!AF282="",IFERROR(VALUE(LEFT('Base Encuesta'!K282,1)),"")&gt;=3),"",IF(W308=1,VALUE(LEFT('Base Encuesta'!AF282,1)),""))</f>
        <v/>
      </c>
      <c r="Y308" t="str">
        <f>IF(OR('Base Encuesta'!AG282="",IFERROR(VALUE(LEFT('Base Encuesta'!K282,1)),"")&gt;=3),"",IF(W308=1,VALUE(LEFT('Base Encuesta'!AG282,1)),""))</f>
        <v/>
      </c>
      <c r="Z308" t="str">
        <f>IF(OR('Base Encuesta'!AH282="",IFERROR(VALUE(LEFT('Base Encuesta'!K282,1)),"")&gt;=3),"",IF(W308=1,VALUE(LEFT('Base Encuesta'!AH282,1)),""))</f>
        <v/>
      </c>
      <c r="AA308" t="str">
        <f>IF(OR('Base Encuesta'!AI282="",IFERROR(VALUE(LEFT('Base Encuesta'!K282,1)),"")&gt;=3),"",IF(W308=1,VALUE(LEFT('Base Encuesta'!AI282,1)),""))</f>
        <v/>
      </c>
      <c r="AB308" t="str">
        <f>IF(OR('Base Encuesta'!AJ282="",IFERROR(VALUE(LEFT('Base Encuesta'!K282,1)),"")&gt;=3),"",IF(W308=1,VALUE(LEFT('Base Encuesta'!AJ282,1)),""))</f>
        <v/>
      </c>
      <c r="AC308" t="str">
        <f>IF(OR('Base Encuesta'!AL282="",IFERROR(VALUE(LEFT('Base Encuesta'!K282,1)),"")&gt;=3),"",VALUE(LEFT('Base Encuesta'!AL282,1)))</f>
        <v/>
      </c>
      <c r="AD308" t="str">
        <f>IF(OR('Base Encuesta'!AM282="",IFERROR(VALUE(LEFT('Base Encuesta'!K282,1)),"")&gt;=3),"",VALUE(LEFT('Base Encuesta'!AM282,1)))</f>
        <v/>
      </c>
      <c r="AE308" t="str">
        <f>IF(OR('Base Encuesta'!AN282="",IFERROR(VALUE(LEFT('Base Encuesta'!K282,1)),"")&gt;=3),"",VALUE(LEFT('Base Encuesta'!AN282,1)))</f>
        <v/>
      </c>
      <c r="AF308" t="str">
        <f>IF(OR('Base Encuesta'!AO282="",IFERROR(VALUE(LEFT('Base Encuesta'!K282,1)),"")&gt;=3),"",VALUE(LEFT('Base Encuesta'!AO282,1)))</f>
        <v/>
      </c>
      <c r="AG308" t="str">
        <f>IF(OR('Base Encuesta'!AQ282="",IFERROR(VALUE(LEFT('Base Encuesta'!K282,1)),"")&gt;=3),"",VALUE(LEFT('Base Encuesta'!AQ282,1)))</f>
        <v/>
      </c>
      <c r="AH308" t="str">
        <f>IF(OR('Base Encuesta'!AR282="",IFERROR(VALUE(LEFT('Base Encuesta'!K282,1)),"")&gt;=3),"",VALUE(LEFT('Base Encuesta'!AR282,1)))</f>
        <v/>
      </c>
    </row>
    <row r="309" spans="1:34">
      <c r="A309" t="str">
        <f>IF('Base Encuesta'!C283="","",'Base Encuesta'!C283)</f>
        <v/>
      </c>
      <c r="B309" t="str">
        <f>IF('Base Encuesta'!D283="","",'Base Encuesta'!D283)</f>
        <v/>
      </c>
      <c r="C309" t="str">
        <f>IF('Base Encuesta'!E283="","",'Base Encuesta'!E283)</f>
        <v/>
      </c>
      <c r="D309" t="str">
        <f>IF('Base Encuesta'!F283="","",'Base Encuesta'!F283)</f>
        <v/>
      </c>
      <c r="E309" t="str">
        <f>IF('Base Encuesta'!G283="","",'Base Encuesta'!G283)</f>
        <v/>
      </c>
      <c r="F309" t="str">
        <f>IF('Base Encuesta'!H283="","",'Base Encuesta'!H283)</f>
        <v/>
      </c>
      <c r="G309" t="str">
        <f>IF('Base Encuesta'!I283="","",'Base Encuesta'!I283)</f>
        <v/>
      </c>
      <c r="H309" t="str">
        <f>IF('Base Encuesta'!J283="","",'Base Encuesta'!J283)</f>
        <v/>
      </c>
      <c r="I309" t="str">
        <f>IF('Base Encuesta'!K283="","",'Base Encuesta'!K283)</f>
        <v/>
      </c>
      <c r="J309" t="str">
        <f>IF(OR('Base Encuesta'!P283="",IFERROR(VALUE(LEFT('Base Encuesta'!K283,1)),"")&gt;=3),"",PROPER(TRIM('Base Encuesta'!P283)))</f>
        <v/>
      </c>
      <c r="K309" t="str">
        <f>IF(OR('Base Encuesta'!Q283="",IFERROR(VALUE(LEFT('Base Encuesta'!K283,1)),"")&gt;=3),"",'Base Encuesta'!Q283)</f>
        <v/>
      </c>
      <c r="L309" t="str">
        <f>IF(OR('Base Encuesta'!R283="",IFERROR(VALUE(LEFT('Base Encuesta'!K283,1)),"")&gt;=3),"",VALUE(LEFT('Base Encuesta'!R283,1)))</f>
        <v/>
      </c>
      <c r="M309" t="str">
        <f>IF(OR('Base Encuesta'!S283="",IFERROR(VALUE(LEFT('Base Encuesta'!K283,1)),"")&gt;=3),"",VALUE(LEFT('Base Encuesta'!S283,1)))</f>
        <v/>
      </c>
      <c r="N309" t="str">
        <f>IF(OR('Base Encuesta'!T283="",IFERROR(VALUE(LEFT('Base Encuesta'!K283,1)),"")&gt;=3),"",VALUE(LEFT('Base Encuesta'!T283,1)))</f>
        <v/>
      </c>
      <c r="O309" t="str">
        <f>IF(OR('Base Encuesta'!V283="",IFERROR(VALUE(LEFT('Base Encuesta'!K283,1)),"")&gt;=3),"",VALUE(LEFT('Base Encuesta'!V283,1)))</f>
        <v/>
      </c>
      <c r="P309" t="str">
        <f>IF(OR('Base Encuesta'!W283="",IFERROR(VALUE(LEFT('Base Encuesta'!K283,1)),"")&gt;=3),"",VALUE(LEFT('Base Encuesta'!W283,1)))</f>
        <v/>
      </c>
      <c r="Q309" t="str">
        <f>IF(OR('Base Encuesta'!X283="",IFERROR(VALUE(LEFT('Base Encuesta'!K283,1)),"")&gt;=3),"",VALUE(LEFT('Base Encuesta'!X283,1)))</f>
        <v/>
      </c>
      <c r="R309" t="str">
        <f>IF(OR('Base Encuesta'!Y283="",IFERROR(VALUE(LEFT('Base Encuesta'!K283,1)),"")&gt;=3),"",VALUE(LEFT('Base Encuesta'!Y283,1)))</f>
        <v/>
      </c>
      <c r="S309" t="str">
        <f>IF(OR('Base Encuesta'!Z283="",IFERROR(VALUE(LEFT('Base Encuesta'!K283,1)),"")&gt;=3),"",VALUE(LEFT('Base Encuesta'!Z283,1)))</f>
        <v/>
      </c>
      <c r="T309" t="str">
        <f>IF(OR('Base Encuesta'!AA283="",IFERROR(VALUE(LEFT('Base Encuesta'!K283,1)),"")&gt;=3),"",VALUE(LEFT('Base Encuesta'!AA283,1)))</f>
        <v/>
      </c>
      <c r="U309" t="str">
        <f>IF(OR('Base Encuesta'!AB283="",IFERROR(VALUE(LEFT('Base Encuesta'!K283,1)),"")&gt;=3),"",VALUE(LEFT('Base Encuesta'!AB283,1)))</f>
        <v/>
      </c>
      <c r="V309" t="str">
        <f>IF(OR('Base Encuesta'!AC283="",IFERROR(VALUE(LEFT('Base Encuesta'!K283,1)),"")&gt;=3),"",VALUE(LEFT('Base Encuesta'!AC283,1)))</f>
        <v/>
      </c>
      <c r="W309" t="str">
        <f>IF(OR('Base Encuesta'!AE283="",IFERROR(VALUE(LEFT('Base Encuesta'!K283,1)),"")&gt;=3),"",VALUE(LEFT('Base Encuesta'!AE283,1)))</f>
        <v/>
      </c>
      <c r="X309" t="str">
        <f>IF(OR('Base Encuesta'!AF283="",IFERROR(VALUE(LEFT('Base Encuesta'!K283,1)),"")&gt;=3),"",IF(W309=1,VALUE(LEFT('Base Encuesta'!AF283,1)),""))</f>
        <v/>
      </c>
      <c r="Y309" t="str">
        <f>IF(OR('Base Encuesta'!AG283="",IFERROR(VALUE(LEFT('Base Encuesta'!K283,1)),"")&gt;=3),"",IF(W309=1,VALUE(LEFT('Base Encuesta'!AG283,1)),""))</f>
        <v/>
      </c>
      <c r="Z309" t="str">
        <f>IF(OR('Base Encuesta'!AH283="",IFERROR(VALUE(LEFT('Base Encuesta'!K283,1)),"")&gt;=3),"",IF(W309=1,VALUE(LEFT('Base Encuesta'!AH283,1)),""))</f>
        <v/>
      </c>
      <c r="AA309" t="str">
        <f>IF(OR('Base Encuesta'!AI283="",IFERROR(VALUE(LEFT('Base Encuesta'!K283,1)),"")&gt;=3),"",IF(W309=1,VALUE(LEFT('Base Encuesta'!AI283,1)),""))</f>
        <v/>
      </c>
      <c r="AB309" t="str">
        <f>IF(OR('Base Encuesta'!AJ283="",IFERROR(VALUE(LEFT('Base Encuesta'!K283,1)),"")&gt;=3),"",IF(W309=1,VALUE(LEFT('Base Encuesta'!AJ283,1)),""))</f>
        <v/>
      </c>
      <c r="AC309" t="str">
        <f>IF(OR('Base Encuesta'!AL283="",IFERROR(VALUE(LEFT('Base Encuesta'!K283,1)),"")&gt;=3),"",VALUE(LEFT('Base Encuesta'!AL283,1)))</f>
        <v/>
      </c>
      <c r="AD309" t="str">
        <f>IF(OR('Base Encuesta'!AM283="",IFERROR(VALUE(LEFT('Base Encuesta'!K283,1)),"")&gt;=3),"",VALUE(LEFT('Base Encuesta'!AM283,1)))</f>
        <v/>
      </c>
      <c r="AE309" t="str">
        <f>IF(OR('Base Encuesta'!AN283="",IFERROR(VALUE(LEFT('Base Encuesta'!K283,1)),"")&gt;=3),"",VALUE(LEFT('Base Encuesta'!AN283,1)))</f>
        <v/>
      </c>
      <c r="AF309" t="str">
        <f>IF(OR('Base Encuesta'!AO283="",IFERROR(VALUE(LEFT('Base Encuesta'!K283,1)),"")&gt;=3),"",VALUE(LEFT('Base Encuesta'!AO283,1)))</f>
        <v/>
      </c>
      <c r="AG309" t="str">
        <f>IF(OR('Base Encuesta'!AQ283="",IFERROR(VALUE(LEFT('Base Encuesta'!K283,1)),"")&gt;=3),"",VALUE(LEFT('Base Encuesta'!AQ283,1)))</f>
        <v/>
      </c>
      <c r="AH309" t="str">
        <f>IF(OR('Base Encuesta'!AR283="",IFERROR(VALUE(LEFT('Base Encuesta'!K283,1)),"")&gt;=3),"",VALUE(LEFT('Base Encuesta'!AR283,1)))</f>
        <v/>
      </c>
    </row>
    <row r="310" spans="1:34">
      <c r="A310" t="str">
        <f>IF('Base Encuesta'!C284="","",'Base Encuesta'!C284)</f>
        <v/>
      </c>
      <c r="B310" t="str">
        <f>IF('Base Encuesta'!D284="","",'Base Encuesta'!D284)</f>
        <v/>
      </c>
      <c r="C310" t="str">
        <f>IF('Base Encuesta'!E284="","",'Base Encuesta'!E284)</f>
        <v/>
      </c>
      <c r="D310" t="str">
        <f>IF('Base Encuesta'!F284="","",'Base Encuesta'!F284)</f>
        <v/>
      </c>
      <c r="E310" t="str">
        <f>IF('Base Encuesta'!G284="","",'Base Encuesta'!G284)</f>
        <v/>
      </c>
      <c r="F310" t="str">
        <f>IF('Base Encuesta'!H284="","",'Base Encuesta'!H284)</f>
        <v/>
      </c>
      <c r="G310" t="str">
        <f>IF('Base Encuesta'!I284="","",'Base Encuesta'!I284)</f>
        <v/>
      </c>
      <c r="H310" t="str">
        <f>IF('Base Encuesta'!J284="","",'Base Encuesta'!J284)</f>
        <v/>
      </c>
      <c r="I310" t="str">
        <f>IF('Base Encuesta'!K284="","",'Base Encuesta'!K284)</f>
        <v/>
      </c>
      <c r="J310" t="str">
        <f>IF(OR('Base Encuesta'!P284="",IFERROR(VALUE(LEFT('Base Encuesta'!K284,1)),"")&gt;=3),"",PROPER(TRIM('Base Encuesta'!P284)))</f>
        <v/>
      </c>
      <c r="K310" t="str">
        <f>IF(OR('Base Encuesta'!Q284="",IFERROR(VALUE(LEFT('Base Encuesta'!K284,1)),"")&gt;=3),"",'Base Encuesta'!Q284)</f>
        <v/>
      </c>
      <c r="L310" t="str">
        <f>IF(OR('Base Encuesta'!R284="",IFERROR(VALUE(LEFT('Base Encuesta'!K284,1)),"")&gt;=3),"",VALUE(LEFT('Base Encuesta'!R284,1)))</f>
        <v/>
      </c>
      <c r="M310" t="str">
        <f>IF(OR('Base Encuesta'!S284="",IFERROR(VALUE(LEFT('Base Encuesta'!K284,1)),"")&gt;=3),"",VALUE(LEFT('Base Encuesta'!S284,1)))</f>
        <v/>
      </c>
      <c r="N310" t="str">
        <f>IF(OR('Base Encuesta'!T284="",IFERROR(VALUE(LEFT('Base Encuesta'!K284,1)),"")&gt;=3),"",VALUE(LEFT('Base Encuesta'!T284,1)))</f>
        <v/>
      </c>
      <c r="O310" t="str">
        <f>IF(OR('Base Encuesta'!V284="",IFERROR(VALUE(LEFT('Base Encuesta'!K284,1)),"")&gt;=3),"",VALUE(LEFT('Base Encuesta'!V284,1)))</f>
        <v/>
      </c>
      <c r="P310" t="str">
        <f>IF(OR('Base Encuesta'!W284="",IFERROR(VALUE(LEFT('Base Encuesta'!K284,1)),"")&gt;=3),"",VALUE(LEFT('Base Encuesta'!W284,1)))</f>
        <v/>
      </c>
      <c r="Q310" t="str">
        <f>IF(OR('Base Encuesta'!X284="",IFERROR(VALUE(LEFT('Base Encuesta'!K284,1)),"")&gt;=3),"",VALUE(LEFT('Base Encuesta'!X284,1)))</f>
        <v/>
      </c>
      <c r="R310" t="str">
        <f>IF(OR('Base Encuesta'!Y284="",IFERROR(VALUE(LEFT('Base Encuesta'!K284,1)),"")&gt;=3),"",VALUE(LEFT('Base Encuesta'!Y284,1)))</f>
        <v/>
      </c>
      <c r="S310" t="str">
        <f>IF(OR('Base Encuesta'!Z284="",IFERROR(VALUE(LEFT('Base Encuesta'!K284,1)),"")&gt;=3),"",VALUE(LEFT('Base Encuesta'!Z284,1)))</f>
        <v/>
      </c>
      <c r="T310" t="str">
        <f>IF(OR('Base Encuesta'!AA284="",IFERROR(VALUE(LEFT('Base Encuesta'!K284,1)),"")&gt;=3),"",VALUE(LEFT('Base Encuesta'!AA284,1)))</f>
        <v/>
      </c>
      <c r="U310" t="str">
        <f>IF(OR('Base Encuesta'!AB284="",IFERROR(VALUE(LEFT('Base Encuesta'!K284,1)),"")&gt;=3),"",VALUE(LEFT('Base Encuesta'!AB284,1)))</f>
        <v/>
      </c>
      <c r="V310" t="str">
        <f>IF(OR('Base Encuesta'!AC284="",IFERROR(VALUE(LEFT('Base Encuesta'!K284,1)),"")&gt;=3),"",VALUE(LEFT('Base Encuesta'!AC284,1)))</f>
        <v/>
      </c>
      <c r="W310" t="str">
        <f>IF(OR('Base Encuesta'!AE284="",IFERROR(VALUE(LEFT('Base Encuesta'!K284,1)),"")&gt;=3),"",VALUE(LEFT('Base Encuesta'!AE284,1)))</f>
        <v/>
      </c>
      <c r="X310" t="str">
        <f>IF(OR('Base Encuesta'!AF284="",IFERROR(VALUE(LEFT('Base Encuesta'!K284,1)),"")&gt;=3),"",IF(W310=1,VALUE(LEFT('Base Encuesta'!AF284,1)),""))</f>
        <v/>
      </c>
      <c r="Y310" t="str">
        <f>IF(OR('Base Encuesta'!AG284="",IFERROR(VALUE(LEFT('Base Encuesta'!K284,1)),"")&gt;=3),"",IF(W310=1,VALUE(LEFT('Base Encuesta'!AG284,1)),""))</f>
        <v/>
      </c>
      <c r="Z310" t="str">
        <f>IF(OR('Base Encuesta'!AH284="",IFERROR(VALUE(LEFT('Base Encuesta'!K284,1)),"")&gt;=3),"",IF(W310=1,VALUE(LEFT('Base Encuesta'!AH284,1)),""))</f>
        <v/>
      </c>
      <c r="AA310" t="str">
        <f>IF(OR('Base Encuesta'!AI284="",IFERROR(VALUE(LEFT('Base Encuesta'!K284,1)),"")&gt;=3),"",IF(W310=1,VALUE(LEFT('Base Encuesta'!AI284,1)),""))</f>
        <v/>
      </c>
      <c r="AB310" t="str">
        <f>IF(OR('Base Encuesta'!AJ284="",IFERROR(VALUE(LEFT('Base Encuesta'!K284,1)),"")&gt;=3),"",IF(W310=1,VALUE(LEFT('Base Encuesta'!AJ284,1)),""))</f>
        <v/>
      </c>
      <c r="AC310" t="str">
        <f>IF(OR('Base Encuesta'!AL284="",IFERROR(VALUE(LEFT('Base Encuesta'!K284,1)),"")&gt;=3),"",VALUE(LEFT('Base Encuesta'!AL284,1)))</f>
        <v/>
      </c>
      <c r="AD310" t="str">
        <f>IF(OR('Base Encuesta'!AM284="",IFERROR(VALUE(LEFT('Base Encuesta'!K284,1)),"")&gt;=3),"",VALUE(LEFT('Base Encuesta'!AM284,1)))</f>
        <v/>
      </c>
      <c r="AE310" t="str">
        <f>IF(OR('Base Encuesta'!AN284="",IFERROR(VALUE(LEFT('Base Encuesta'!K284,1)),"")&gt;=3),"",VALUE(LEFT('Base Encuesta'!AN284,1)))</f>
        <v/>
      </c>
      <c r="AF310" t="str">
        <f>IF(OR('Base Encuesta'!AO284="",IFERROR(VALUE(LEFT('Base Encuesta'!K284,1)),"")&gt;=3),"",VALUE(LEFT('Base Encuesta'!AO284,1)))</f>
        <v/>
      </c>
      <c r="AG310" t="str">
        <f>IF(OR('Base Encuesta'!AQ284="",IFERROR(VALUE(LEFT('Base Encuesta'!K284,1)),"")&gt;=3),"",VALUE(LEFT('Base Encuesta'!AQ284,1)))</f>
        <v/>
      </c>
      <c r="AH310" t="str">
        <f>IF(OR('Base Encuesta'!AR284="",IFERROR(VALUE(LEFT('Base Encuesta'!K284,1)),"")&gt;=3),"",VALUE(LEFT('Base Encuesta'!AR284,1)))</f>
        <v/>
      </c>
    </row>
    <row r="311" spans="1:34">
      <c r="A311" t="str">
        <f>IF('Base Encuesta'!C285="","",'Base Encuesta'!C285)</f>
        <v/>
      </c>
      <c r="B311" t="str">
        <f>IF('Base Encuesta'!D285="","",'Base Encuesta'!D285)</f>
        <v/>
      </c>
      <c r="C311" t="str">
        <f>IF('Base Encuesta'!E285="","",'Base Encuesta'!E285)</f>
        <v/>
      </c>
      <c r="D311" t="str">
        <f>IF('Base Encuesta'!F285="","",'Base Encuesta'!F285)</f>
        <v/>
      </c>
      <c r="E311" t="str">
        <f>IF('Base Encuesta'!G285="","",'Base Encuesta'!G285)</f>
        <v/>
      </c>
      <c r="F311" t="str">
        <f>IF('Base Encuesta'!H285="","",'Base Encuesta'!H285)</f>
        <v/>
      </c>
      <c r="G311" t="str">
        <f>IF('Base Encuesta'!I285="","",'Base Encuesta'!I285)</f>
        <v/>
      </c>
      <c r="H311" t="str">
        <f>IF('Base Encuesta'!J285="","",'Base Encuesta'!J285)</f>
        <v/>
      </c>
      <c r="I311" t="str">
        <f>IF('Base Encuesta'!K285="","",'Base Encuesta'!K285)</f>
        <v/>
      </c>
      <c r="J311" t="str">
        <f>IF(OR('Base Encuesta'!P285="",IFERROR(VALUE(LEFT('Base Encuesta'!K285,1)),"")&gt;=3),"",PROPER(TRIM('Base Encuesta'!P285)))</f>
        <v/>
      </c>
      <c r="K311" t="str">
        <f>IF(OR('Base Encuesta'!Q285="",IFERROR(VALUE(LEFT('Base Encuesta'!K285,1)),"")&gt;=3),"",'Base Encuesta'!Q285)</f>
        <v/>
      </c>
      <c r="L311" t="str">
        <f>IF(OR('Base Encuesta'!R285="",IFERROR(VALUE(LEFT('Base Encuesta'!K285,1)),"")&gt;=3),"",VALUE(LEFT('Base Encuesta'!R285,1)))</f>
        <v/>
      </c>
      <c r="M311" t="str">
        <f>IF(OR('Base Encuesta'!S285="",IFERROR(VALUE(LEFT('Base Encuesta'!K285,1)),"")&gt;=3),"",VALUE(LEFT('Base Encuesta'!S285,1)))</f>
        <v/>
      </c>
      <c r="N311" t="str">
        <f>IF(OR('Base Encuesta'!T285="",IFERROR(VALUE(LEFT('Base Encuesta'!K285,1)),"")&gt;=3),"",VALUE(LEFT('Base Encuesta'!T285,1)))</f>
        <v/>
      </c>
      <c r="O311" t="str">
        <f>IF(OR('Base Encuesta'!V285="",IFERROR(VALUE(LEFT('Base Encuesta'!K285,1)),"")&gt;=3),"",VALUE(LEFT('Base Encuesta'!V285,1)))</f>
        <v/>
      </c>
      <c r="P311" t="str">
        <f>IF(OR('Base Encuesta'!W285="",IFERROR(VALUE(LEFT('Base Encuesta'!K285,1)),"")&gt;=3),"",VALUE(LEFT('Base Encuesta'!W285,1)))</f>
        <v/>
      </c>
      <c r="Q311" t="str">
        <f>IF(OR('Base Encuesta'!X285="",IFERROR(VALUE(LEFT('Base Encuesta'!K285,1)),"")&gt;=3),"",VALUE(LEFT('Base Encuesta'!X285,1)))</f>
        <v/>
      </c>
      <c r="R311" t="str">
        <f>IF(OR('Base Encuesta'!Y285="",IFERROR(VALUE(LEFT('Base Encuesta'!K285,1)),"")&gt;=3),"",VALUE(LEFT('Base Encuesta'!Y285,1)))</f>
        <v/>
      </c>
      <c r="S311" t="str">
        <f>IF(OR('Base Encuesta'!Z285="",IFERROR(VALUE(LEFT('Base Encuesta'!K285,1)),"")&gt;=3),"",VALUE(LEFT('Base Encuesta'!Z285,1)))</f>
        <v/>
      </c>
      <c r="T311" t="str">
        <f>IF(OR('Base Encuesta'!AA285="",IFERROR(VALUE(LEFT('Base Encuesta'!K285,1)),"")&gt;=3),"",VALUE(LEFT('Base Encuesta'!AA285,1)))</f>
        <v/>
      </c>
      <c r="U311" t="str">
        <f>IF(OR('Base Encuesta'!AB285="",IFERROR(VALUE(LEFT('Base Encuesta'!K285,1)),"")&gt;=3),"",VALUE(LEFT('Base Encuesta'!AB285,1)))</f>
        <v/>
      </c>
      <c r="V311" t="str">
        <f>IF(OR('Base Encuesta'!AC285="",IFERROR(VALUE(LEFT('Base Encuesta'!K285,1)),"")&gt;=3),"",VALUE(LEFT('Base Encuesta'!AC285,1)))</f>
        <v/>
      </c>
      <c r="W311" t="str">
        <f>IF(OR('Base Encuesta'!AE285="",IFERROR(VALUE(LEFT('Base Encuesta'!K285,1)),"")&gt;=3),"",VALUE(LEFT('Base Encuesta'!AE285,1)))</f>
        <v/>
      </c>
      <c r="X311" t="str">
        <f>IF(OR('Base Encuesta'!AF285="",IFERROR(VALUE(LEFT('Base Encuesta'!K285,1)),"")&gt;=3),"",IF(W311=1,VALUE(LEFT('Base Encuesta'!AF285,1)),""))</f>
        <v/>
      </c>
      <c r="Y311" t="str">
        <f>IF(OR('Base Encuesta'!AG285="",IFERROR(VALUE(LEFT('Base Encuesta'!K285,1)),"")&gt;=3),"",IF(W311=1,VALUE(LEFT('Base Encuesta'!AG285,1)),""))</f>
        <v/>
      </c>
      <c r="Z311" t="str">
        <f>IF(OR('Base Encuesta'!AH285="",IFERROR(VALUE(LEFT('Base Encuesta'!K285,1)),"")&gt;=3),"",IF(W311=1,VALUE(LEFT('Base Encuesta'!AH285,1)),""))</f>
        <v/>
      </c>
      <c r="AA311" t="str">
        <f>IF(OR('Base Encuesta'!AI285="",IFERROR(VALUE(LEFT('Base Encuesta'!K285,1)),"")&gt;=3),"",IF(W311=1,VALUE(LEFT('Base Encuesta'!AI285,1)),""))</f>
        <v/>
      </c>
      <c r="AB311" t="str">
        <f>IF(OR('Base Encuesta'!AJ285="",IFERROR(VALUE(LEFT('Base Encuesta'!K285,1)),"")&gt;=3),"",IF(W311=1,VALUE(LEFT('Base Encuesta'!AJ285,1)),""))</f>
        <v/>
      </c>
      <c r="AC311" t="str">
        <f>IF(OR('Base Encuesta'!AL285="",IFERROR(VALUE(LEFT('Base Encuesta'!K285,1)),"")&gt;=3),"",VALUE(LEFT('Base Encuesta'!AL285,1)))</f>
        <v/>
      </c>
      <c r="AD311" t="str">
        <f>IF(OR('Base Encuesta'!AM285="",IFERROR(VALUE(LEFT('Base Encuesta'!K285,1)),"")&gt;=3),"",VALUE(LEFT('Base Encuesta'!AM285,1)))</f>
        <v/>
      </c>
      <c r="AE311" t="str">
        <f>IF(OR('Base Encuesta'!AN285="",IFERROR(VALUE(LEFT('Base Encuesta'!K285,1)),"")&gt;=3),"",VALUE(LEFT('Base Encuesta'!AN285,1)))</f>
        <v/>
      </c>
      <c r="AF311" t="str">
        <f>IF(OR('Base Encuesta'!AO285="",IFERROR(VALUE(LEFT('Base Encuesta'!K285,1)),"")&gt;=3),"",VALUE(LEFT('Base Encuesta'!AO285,1)))</f>
        <v/>
      </c>
      <c r="AG311" t="str">
        <f>IF(OR('Base Encuesta'!AQ285="",IFERROR(VALUE(LEFT('Base Encuesta'!K285,1)),"")&gt;=3),"",VALUE(LEFT('Base Encuesta'!AQ285,1)))</f>
        <v/>
      </c>
      <c r="AH311" t="str">
        <f>IF(OR('Base Encuesta'!AR285="",IFERROR(VALUE(LEFT('Base Encuesta'!K285,1)),"")&gt;=3),"",VALUE(LEFT('Base Encuesta'!AR285,1)))</f>
        <v/>
      </c>
    </row>
    <row r="312" spans="1:34">
      <c r="A312" t="str">
        <f>IF('Base Encuesta'!C286="","",'Base Encuesta'!C286)</f>
        <v/>
      </c>
      <c r="B312" t="str">
        <f>IF('Base Encuesta'!D286="","",'Base Encuesta'!D286)</f>
        <v/>
      </c>
      <c r="C312" t="str">
        <f>IF('Base Encuesta'!E286="","",'Base Encuesta'!E286)</f>
        <v/>
      </c>
      <c r="D312" t="str">
        <f>IF('Base Encuesta'!F286="","",'Base Encuesta'!F286)</f>
        <v/>
      </c>
      <c r="E312" t="str">
        <f>IF('Base Encuesta'!G286="","",'Base Encuesta'!G286)</f>
        <v/>
      </c>
      <c r="F312" t="str">
        <f>IF('Base Encuesta'!H286="","",'Base Encuesta'!H286)</f>
        <v/>
      </c>
      <c r="G312" t="str">
        <f>IF('Base Encuesta'!I286="","",'Base Encuesta'!I286)</f>
        <v/>
      </c>
      <c r="H312" t="str">
        <f>IF('Base Encuesta'!J286="","",'Base Encuesta'!J286)</f>
        <v/>
      </c>
      <c r="I312" t="str">
        <f>IF('Base Encuesta'!K286="","",'Base Encuesta'!K286)</f>
        <v/>
      </c>
      <c r="J312" t="str">
        <f>IF(OR('Base Encuesta'!P286="",IFERROR(VALUE(LEFT('Base Encuesta'!K286,1)),"")&gt;=3),"",PROPER(TRIM('Base Encuesta'!P286)))</f>
        <v/>
      </c>
      <c r="K312" t="str">
        <f>IF(OR('Base Encuesta'!Q286="",IFERROR(VALUE(LEFT('Base Encuesta'!K286,1)),"")&gt;=3),"",'Base Encuesta'!Q286)</f>
        <v/>
      </c>
      <c r="L312" t="str">
        <f>IF(OR('Base Encuesta'!R286="",IFERROR(VALUE(LEFT('Base Encuesta'!K286,1)),"")&gt;=3),"",VALUE(LEFT('Base Encuesta'!R286,1)))</f>
        <v/>
      </c>
      <c r="M312" t="str">
        <f>IF(OR('Base Encuesta'!S286="",IFERROR(VALUE(LEFT('Base Encuesta'!K286,1)),"")&gt;=3),"",VALUE(LEFT('Base Encuesta'!S286,1)))</f>
        <v/>
      </c>
      <c r="N312" t="str">
        <f>IF(OR('Base Encuesta'!T286="",IFERROR(VALUE(LEFT('Base Encuesta'!K286,1)),"")&gt;=3),"",VALUE(LEFT('Base Encuesta'!T286,1)))</f>
        <v/>
      </c>
      <c r="O312" t="str">
        <f>IF(OR('Base Encuesta'!V286="",IFERROR(VALUE(LEFT('Base Encuesta'!K286,1)),"")&gt;=3),"",VALUE(LEFT('Base Encuesta'!V286,1)))</f>
        <v/>
      </c>
      <c r="P312" t="str">
        <f>IF(OR('Base Encuesta'!W286="",IFERROR(VALUE(LEFT('Base Encuesta'!K286,1)),"")&gt;=3),"",VALUE(LEFT('Base Encuesta'!W286,1)))</f>
        <v/>
      </c>
      <c r="Q312" t="str">
        <f>IF(OR('Base Encuesta'!X286="",IFERROR(VALUE(LEFT('Base Encuesta'!K286,1)),"")&gt;=3),"",VALUE(LEFT('Base Encuesta'!X286,1)))</f>
        <v/>
      </c>
      <c r="R312" t="str">
        <f>IF(OR('Base Encuesta'!Y286="",IFERROR(VALUE(LEFT('Base Encuesta'!K286,1)),"")&gt;=3),"",VALUE(LEFT('Base Encuesta'!Y286,1)))</f>
        <v/>
      </c>
      <c r="S312" t="str">
        <f>IF(OR('Base Encuesta'!Z286="",IFERROR(VALUE(LEFT('Base Encuesta'!K286,1)),"")&gt;=3),"",VALUE(LEFT('Base Encuesta'!Z286,1)))</f>
        <v/>
      </c>
      <c r="T312" t="str">
        <f>IF(OR('Base Encuesta'!AA286="",IFERROR(VALUE(LEFT('Base Encuesta'!K286,1)),"")&gt;=3),"",VALUE(LEFT('Base Encuesta'!AA286,1)))</f>
        <v/>
      </c>
      <c r="U312" t="str">
        <f>IF(OR('Base Encuesta'!AB286="",IFERROR(VALUE(LEFT('Base Encuesta'!K286,1)),"")&gt;=3),"",VALUE(LEFT('Base Encuesta'!AB286,1)))</f>
        <v/>
      </c>
      <c r="V312" t="str">
        <f>IF(OR('Base Encuesta'!AC286="",IFERROR(VALUE(LEFT('Base Encuesta'!K286,1)),"")&gt;=3),"",VALUE(LEFT('Base Encuesta'!AC286,1)))</f>
        <v/>
      </c>
      <c r="W312" t="str">
        <f>IF(OR('Base Encuesta'!AE286="",IFERROR(VALUE(LEFT('Base Encuesta'!K286,1)),"")&gt;=3),"",VALUE(LEFT('Base Encuesta'!AE286,1)))</f>
        <v/>
      </c>
      <c r="X312" t="str">
        <f>IF(OR('Base Encuesta'!AF286="",IFERROR(VALUE(LEFT('Base Encuesta'!K286,1)),"")&gt;=3),"",IF(W312=1,VALUE(LEFT('Base Encuesta'!AF286,1)),""))</f>
        <v/>
      </c>
      <c r="Y312" t="str">
        <f>IF(OR('Base Encuesta'!AG286="",IFERROR(VALUE(LEFT('Base Encuesta'!K286,1)),"")&gt;=3),"",IF(W312=1,VALUE(LEFT('Base Encuesta'!AG286,1)),""))</f>
        <v/>
      </c>
      <c r="Z312" t="str">
        <f>IF(OR('Base Encuesta'!AH286="",IFERROR(VALUE(LEFT('Base Encuesta'!K286,1)),"")&gt;=3),"",IF(W312=1,VALUE(LEFT('Base Encuesta'!AH286,1)),""))</f>
        <v/>
      </c>
      <c r="AA312" t="str">
        <f>IF(OR('Base Encuesta'!AI286="",IFERROR(VALUE(LEFT('Base Encuesta'!K286,1)),"")&gt;=3),"",IF(W312=1,VALUE(LEFT('Base Encuesta'!AI286,1)),""))</f>
        <v/>
      </c>
      <c r="AB312" t="str">
        <f>IF(OR('Base Encuesta'!AJ286="",IFERROR(VALUE(LEFT('Base Encuesta'!K286,1)),"")&gt;=3),"",IF(W312=1,VALUE(LEFT('Base Encuesta'!AJ286,1)),""))</f>
        <v/>
      </c>
      <c r="AC312" t="str">
        <f>IF(OR('Base Encuesta'!AL286="",IFERROR(VALUE(LEFT('Base Encuesta'!K286,1)),"")&gt;=3),"",VALUE(LEFT('Base Encuesta'!AL286,1)))</f>
        <v/>
      </c>
      <c r="AD312" t="str">
        <f>IF(OR('Base Encuesta'!AM286="",IFERROR(VALUE(LEFT('Base Encuesta'!K286,1)),"")&gt;=3),"",VALUE(LEFT('Base Encuesta'!AM286,1)))</f>
        <v/>
      </c>
      <c r="AE312" t="str">
        <f>IF(OR('Base Encuesta'!AN286="",IFERROR(VALUE(LEFT('Base Encuesta'!K286,1)),"")&gt;=3),"",VALUE(LEFT('Base Encuesta'!AN286,1)))</f>
        <v/>
      </c>
      <c r="AF312" t="str">
        <f>IF(OR('Base Encuesta'!AO286="",IFERROR(VALUE(LEFT('Base Encuesta'!K286,1)),"")&gt;=3),"",VALUE(LEFT('Base Encuesta'!AO286,1)))</f>
        <v/>
      </c>
      <c r="AG312" t="str">
        <f>IF(OR('Base Encuesta'!AQ286="",IFERROR(VALUE(LEFT('Base Encuesta'!K286,1)),"")&gt;=3),"",VALUE(LEFT('Base Encuesta'!AQ286,1)))</f>
        <v/>
      </c>
      <c r="AH312" t="str">
        <f>IF(OR('Base Encuesta'!AR286="",IFERROR(VALUE(LEFT('Base Encuesta'!K286,1)),"")&gt;=3),"",VALUE(LEFT('Base Encuesta'!AR286,1)))</f>
        <v/>
      </c>
    </row>
    <row r="313" spans="1:34">
      <c r="A313" t="str">
        <f>IF('Base Encuesta'!C287="","",'Base Encuesta'!C287)</f>
        <v/>
      </c>
      <c r="B313" t="str">
        <f>IF('Base Encuesta'!D287="","",'Base Encuesta'!D287)</f>
        <v/>
      </c>
      <c r="C313" t="str">
        <f>IF('Base Encuesta'!E287="","",'Base Encuesta'!E287)</f>
        <v/>
      </c>
      <c r="D313" t="str">
        <f>IF('Base Encuesta'!F287="","",'Base Encuesta'!F287)</f>
        <v/>
      </c>
      <c r="E313" t="str">
        <f>IF('Base Encuesta'!G287="","",'Base Encuesta'!G287)</f>
        <v/>
      </c>
      <c r="F313" t="str">
        <f>IF('Base Encuesta'!H287="","",'Base Encuesta'!H287)</f>
        <v/>
      </c>
      <c r="G313" t="str">
        <f>IF('Base Encuesta'!I287="","",'Base Encuesta'!I287)</f>
        <v/>
      </c>
      <c r="H313" t="str">
        <f>IF('Base Encuesta'!J287="","",'Base Encuesta'!J287)</f>
        <v/>
      </c>
      <c r="I313" t="str">
        <f>IF('Base Encuesta'!K287="","",'Base Encuesta'!K287)</f>
        <v/>
      </c>
      <c r="J313" t="str">
        <f>IF(OR('Base Encuesta'!P287="",IFERROR(VALUE(LEFT('Base Encuesta'!K287,1)),"")&gt;=3),"",PROPER(TRIM('Base Encuesta'!P287)))</f>
        <v/>
      </c>
      <c r="K313" t="str">
        <f>IF(OR('Base Encuesta'!Q287="",IFERROR(VALUE(LEFT('Base Encuesta'!K287,1)),"")&gt;=3),"",'Base Encuesta'!Q287)</f>
        <v/>
      </c>
      <c r="L313" t="str">
        <f>IF(OR('Base Encuesta'!R287="",IFERROR(VALUE(LEFT('Base Encuesta'!K287,1)),"")&gt;=3),"",VALUE(LEFT('Base Encuesta'!R287,1)))</f>
        <v/>
      </c>
      <c r="M313" t="str">
        <f>IF(OR('Base Encuesta'!S287="",IFERROR(VALUE(LEFT('Base Encuesta'!K287,1)),"")&gt;=3),"",VALUE(LEFT('Base Encuesta'!S287,1)))</f>
        <v/>
      </c>
      <c r="N313" t="str">
        <f>IF(OR('Base Encuesta'!T287="",IFERROR(VALUE(LEFT('Base Encuesta'!K287,1)),"")&gt;=3),"",VALUE(LEFT('Base Encuesta'!T287,1)))</f>
        <v/>
      </c>
      <c r="O313" t="str">
        <f>IF(OR('Base Encuesta'!V287="",IFERROR(VALUE(LEFT('Base Encuesta'!K287,1)),"")&gt;=3),"",VALUE(LEFT('Base Encuesta'!V287,1)))</f>
        <v/>
      </c>
      <c r="P313" t="str">
        <f>IF(OR('Base Encuesta'!W287="",IFERROR(VALUE(LEFT('Base Encuesta'!K287,1)),"")&gt;=3),"",VALUE(LEFT('Base Encuesta'!W287,1)))</f>
        <v/>
      </c>
      <c r="Q313" t="str">
        <f>IF(OR('Base Encuesta'!X287="",IFERROR(VALUE(LEFT('Base Encuesta'!K287,1)),"")&gt;=3),"",VALUE(LEFT('Base Encuesta'!X287,1)))</f>
        <v/>
      </c>
      <c r="R313" t="str">
        <f>IF(OR('Base Encuesta'!Y287="",IFERROR(VALUE(LEFT('Base Encuesta'!K287,1)),"")&gt;=3),"",VALUE(LEFT('Base Encuesta'!Y287,1)))</f>
        <v/>
      </c>
      <c r="S313" t="str">
        <f>IF(OR('Base Encuesta'!Z287="",IFERROR(VALUE(LEFT('Base Encuesta'!K287,1)),"")&gt;=3),"",VALUE(LEFT('Base Encuesta'!Z287,1)))</f>
        <v/>
      </c>
      <c r="T313" t="str">
        <f>IF(OR('Base Encuesta'!AA287="",IFERROR(VALUE(LEFT('Base Encuesta'!K287,1)),"")&gt;=3),"",VALUE(LEFT('Base Encuesta'!AA287,1)))</f>
        <v/>
      </c>
      <c r="U313" t="str">
        <f>IF(OR('Base Encuesta'!AB287="",IFERROR(VALUE(LEFT('Base Encuesta'!K287,1)),"")&gt;=3),"",VALUE(LEFT('Base Encuesta'!AB287,1)))</f>
        <v/>
      </c>
      <c r="V313" t="str">
        <f>IF(OR('Base Encuesta'!AC287="",IFERROR(VALUE(LEFT('Base Encuesta'!K287,1)),"")&gt;=3),"",VALUE(LEFT('Base Encuesta'!AC287,1)))</f>
        <v/>
      </c>
      <c r="W313" t="str">
        <f>IF(OR('Base Encuesta'!AE287="",IFERROR(VALUE(LEFT('Base Encuesta'!K287,1)),"")&gt;=3),"",VALUE(LEFT('Base Encuesta'!AE287,1)))</f>
        <v/>
      </c>
      <c r="X313" t="str">
        <f>IF(OR('Base Encuesta'!AF287="",IFERROR(VALUE(LEFT('Base Encuesta'!K287,1)),"")&gt;=3),"",IF(W313=1,VALUE(LEFT('Base Encuesta'!AF287,1)),""))</f>
        <v/>
      </c>
      <c r="Y313" t="str">
        <f>IF(OR('Base Encuesta'!AG287="",IFERROR(VALUE(LEFT('Base Encuesta'!K287,1)),"")&gt;=3),"",IF(W313=1,VALUE(LEFT('Base Encuesta'!AG287,1)),""))</f>
        <v/>
      </c>
      <c r="Z313" t="str">
        <f>IF(OR('Base Encuesta'!AH287="",IFERROR(VALUE(LEFT('Base Encuesta'!K287,1)),"")&gt;=3),"",IF(W313=1,VALUE(LEFT('Base Encuesta'!AH287,1)),""))</f>
        <v/>
      </c>
      <c r="AA313" t="str">
        <f>IF(OR('Base Encuesta'!AI287="",IFERROR(VALUE(LEFT('Base Encuesta'!K287,1)),"")&gt;=3),"",IF(W313=1,VALUE(LEFT('Base Encuesta'!AI287,1)),""))</f>
        <v/>
      </c>
      <c r="AB313" t="str">
        <f>IF(OR('Base Encuesta'!AJ287="",IFERROR(VALUE(LEFT('Base Encuesta'!K287,1)),"")&gt;=3),"",IF(W313=1,VALUE(LEFT('Base Encuesta'!AJ287,1)),""))</f>
        <v/>
      </c>
      <c r="AC313" t="str">
        <f>IF(OR('Base Encuesta'!AL287="",IFERROR(VALUE(LEFT('Base Encuesta'!K287,1)),"")&gt;=3),"",VALUE(LEFT('Base Encuesta'!AL287,1)))</f>
        <v/>
      </c>
      <c r="AD313" t="str">
        <f>IF(OR('Base Encuesta'!AM287="",IFERROR(VALUE(LEFT('Base Encuesta'!K287,1)),"")&gt;=3),"",VALUE(LEFT('Base Encuesta'!AM287,1)))</f>
        <v/>
      </c>
      <c r="AE313" t="str">
        <f>IF(OR('Base Encuesta'!AN287="",IFERROR(VALUE(LEFT('Base Encuesta'!K287,1)),"")&gt;=3),"",VALUE(LEFT('Base Encuesta'!AN287,1)))</f>
        <v/>
      </c>
      <c r="AF313" t="str">
        <f>IF(OR('Base Encuesta'!AO287="",IFERROR(VALUE(LEFT('Base Encuesta'!K287,1)),"")&gt;=3),"",VALUE(LEFT('Base Encuesta'!AO287,1)))</f>
        <v/>
      </c>
      <c r="AG313" t="str">
        <f>IF(OR('Base Encuesta'!AQ287="",IFERROR(VALUE(LEFT('Base Encuesta'!K287,1)),"")&gt;=3),"",VALUE(LEFT('Base Encuesta'!AQ287,1)))</f>
        <v/>
      </c>
      <c r="AH313" t="str">
        <f>IF(OR('Base Encuesta'!AR287="",IFERROR(VALUE(LEFT('Base Encuesta'!K287,1)),"")&gt;=3),"",VALUE(LEFT('Base Encuesta'!AR287,1)))</f>
        <v/>
      </c>
    </row>
    <row r="314" spans="1:34">
      <c r="A314" t="str">
        <f>IF('Base Encuesta'!C288="","",'Base Encuesta'!C288)</f>
        <v/>
      </c>
      <c r="B314" t="str">
        <f>IF('Base Encuesta'!D288="","",'Base Encuesta'!D288)</f>
        <v/>
      </c>
      <c r="C314" t="str">
        <f>IF('Base Encuesta'!E288="","",'Base Encuesta'!E288)</f>
        <v/>
      </c>
      <c r="D314" t="str">
        <f>IF('Base Encuesta'!F288="","",'Base Encuesta'!F288)</f>
        <v/>
      </c>
      <c r="E314" t="str">
        <f>IF('Base Encuesta'!G288="","",'Base Encuesta'!G288)</f>
        <v/>
      </c>
      <c r="F314" t="str">
        <f>IF('Base Encuesta'!H288="","",'Base Encuesta'!H288)</f>
        <v/>
      </c>
      <c r="G314" t="str">
        <f>IF('Base Encuesta'!I288="","",'Base Encuesta'!I288)</f>
        <v/>
      </c>
      <c r="H314" t="str">
        <f>IF('Base Encuesta'!J288="","",'Base Encuesta'!J288)</f>
        <v/>
      </c>
      <c r="I314" t="str">
        <f>IF('Base Encuesta'!K288="","",'Base Encuesta'!K288)</f>
        <v/>
      </c>
      <c r="J314" t="str">
        <f>IF(OR('Base Encuesta'!P288="",IFERROR(VALUE(LEFT('Base Encuesta'!K288,1)),"")&gt;=3),"",PROPER(TRIM('Base Encuesta'!P288)))</f>
        <v/>
      </c>
      <c r="K314" t="str">
        <f>IF(OR('Base Encuesta'!Q288="",IFERROR(VALUE(LEFT('Base Encuesta'!K288,1)),"")&gt;=3),"",'Base Encuesta'!Q288)</f>
        <v/>
      </c>
      <c r="L314" t="str">
        <f>IF(OR('Base Encuesta'!R288="",IFERROR(VALUE(LEFT('Base Encuesta'!K288,1)),"")&gt;=3),"",VALUE(LEFT('Base Encuesta'!R288,1)))</f>
        <v/>
      </c>
      <c r="M314" t="str">
        <f>IF(OR('Base Encuesta'!S288="",IFERROR(VALUE(LEFT('Base Encuesta'!K288,1)),"")&gt;=3),"",VALUE(LEFT('Base Encuesta'!S288,1)))</f>
        <v/>
      </c>
      <c r="N314" t="str">
        <f>IF(OR('Base Encuesta'!T288="",IFERROR(VALUE(LEFT('Base Encuesta'!K288,1)),"")&gt;=3),"",VALUE(LEFT('Base Encuesta'!T288,1)))</f>
        <v/>
      </c>
      <c r="O314" t="str">
        <f>IF(OR('Base Encuesta'!V288="",IFERROR(VALUE(LEFT('Base Encuesta'!K288,1)),"")&gt;=3),"",VALUE(LEFT('Base Encuesta'!V288,1)))</f>
        <v/>
      </c>
      <c r="P314" t="str">
        <f>IF(OR('Base Encuesta'!W288="",IFERROR(VALUE(LEFT('Base Encuesta'!K288,1)),"")&gt;=3),"",VALUE(LEFT('Base Encuesta'!W288,1)))</f>
        <v/>
      </c>
      <c r="Q314" t="str">
        <f>IF(OR('Base Encuesta'!X288="",IFERROR(VALUE(LEFT('Base Encuesta'!K288,1)),"")&gt;=3),"",VALUE(LEFT('Base Encuesta'!X288,1)))</f>
        <v/>
      </c>
      <c r="R314" t="str">
        <f>IF(OR('Base Encuesta'!Y288="",IFERROR(VALUE(LEFT('Base Encuesta'!K288,1)),"")&gt;=3),"",VALUE(LEFT('Base Encuesta'!Y288,1)))</f>
        <v/>
      </c>
      <c r="S314" t="str">
        <f>IF(OR('Base Encuesta'!Z288="",IFERROR(VALUE(LEFT('Base Encuesta'!K288,1)),"")&gt;=3),"",VALUE(LEFT('Base Encuesta'!Z288,1)))</f>
        <v/>
      </c>
      <c r="T314" t="str">
        <f>IF(OR('Base Encuesta'!AA288="",IFERROR(VALUE(LEFT('Base Encuesta'!K288,1)),"")&gt;=3),"",VALUE(LEFT('Base Encuesta'!AA288,1)))</f>
        <v/>
      </c>
      <c r="U314" t="str">
        <f>IF(OR('Base Encuesta'!AB288="",IFERROR(VALUE(LEFT('Base Encuesta'!K288,1)),"")&gt;=3),"",VALUE(LEFT('Base Encuesta'!AB288,1)))</f>
        <v/>
      </c>
      <c r="V314" t="str">
        <f>IF(OR('Base Encuesta'!AC288="",IFERROR(VALUE(LEFT('Base Encuesta'!K288,1)),"")&gt;=3),"",VALUE(LEFT('Base Encuesta'!AC288,1)))</f>
        <v/>
      </c>
      <c r="W314" t="str">
        <f>IF(OR('Base Encuesta'!AE288="",IFERROR(VALUE(LEFT('Base Encuesta'!K288,1)),"")&gt;=3),"",VALUE(LEFT('Base Encuesta'!AE288,1)))</f>
        <v/>
      </c>
      <c r="X314" t="str">
        <f>IF(OR('Base Encuesta'!AF288="",IFERROR(VALUE(LEFT('Base Encuesta'!K288,1)),"")&gt;=3),"",IF(W314=1,VALUE(LEFT('Base Encuesta'!AF288,1)),""))</f>
        <v/>
      </c>
      <c r="Y314" t="str">
        <f>IF(OR('Base Encuesta'!AG288="",IFERROR(VALUE(LEFT('Base Encuesta'!K288,1)),"")&gt;=3),"",IF(W314=1,VALUE(LEFT('Base Encuesta'!AG288,1)),""))</f>
        <v/>
      </c>
      <c r="Z314" t="str">
        <f>IF(OR('Base Encuesta'!AH288="",IFERROR(VALUE(LEFT('Base Encuesta'!K288,1)),"")&gt;=3),"",IF(W314=1,VALUE(LEFT('Base Encuesta'!AH288,1)),""))</f>
        <v/>
      </c>
      <c r="AA314" t="str">
        <f>IF(OR('Base Encuesta'!AI288="",IFERROR(VALUE(LEFT('Base Encuesta'!K288,1)),"")&gt;=3),"",IF(W314=1,VALUE(LEFT('Base Encuesta'!AI288,1)),""))</f>
        <v/>
      </c>
      <c r="AB314" t="str">
        <f>IF(OR('Base Encuesta'!AJ288="",IFERROR(VALUE(LEFT('Base Encuesta'!K288,1)),"")&gt;=3),"",IF(W314=1,VALUE(LEFT('Base Encuesta'!AJ288,1)),""))</f>
        <v/>
      </c>
      <c r="AC314" t="str">
        <f>IF(OR('Base Encuesta'!AL288="",IFERROR(VALUE(LEFT('Base Encuesta'!K288,1)),"")&gt;=3),"",VALUE(LEFT('Base Encuesta'!AL288,1)))</f>
        <v/>
      </c>
      <c r="AD314" t="str">
        <f>IF(OR('Base Encuesta'!AM288="",IFERROR(VALUE(LEFT('Base Encuesta'!K288,1)),"")&gt;=3),"",VALUE(LEFT('Base Encuesta'!AM288,1)))</f>
        <v/>
      </c>
      <c r="AE314" t="str">
        <f>IF(OR('Base Encuesta'!AN288="",IFERROR(VALUE(LEFT('Base Encuesta'!K288,1)),"")&gt;=3),"",VALUE(LEFT('Base Encuesta'!AN288,1)))</f>
        <v/>
      </c>
      <c r="AF314" t="str">
        <f>IF(OR('Base Encuesta'!AO288="",IFERROR(VALUE(LEFT('Base Encuesta'!K288,1)),"")&gt;=3),"",VALUE(LEFT('Base Encuesta'!AO288,1)))</f>
        <v/>
      </c>
      <c r="AG314" t="str">
        <f>IF(OR('Base Encuesta'!AQ288="",IFERROR(VALUE(LEFT('Base Encuesta'!K288,1)),"")&gt;=3),"",VALUE(LEFT('Base Encuesta'!AQ288,1)))</f>
        <v/>
      </c>
      <c r="AH314" t="str">
        <f>IF(OR('Base Encuesta'!AR288="",IFERROR(VALUE(LEFT('Base Encuesta'!K288,1)),"")&gt;=3),"",VALUE(LEFT('Base Encuesta'!AR288,1)))</f>
        <v/>
      </c>
    </row>
    <row r="315" spans="1:34">
      <c r="A315" t="str">
        <f>IF('Base Encuesta'!C289="","",'Base Encuesta'!C289)</f>
        <v/>
      </c>
      <c r="B315" t="str">
        <f>IF('Base Encuesta'!D289="","",'Base Encuesta'!D289)</f>
        <v/>
      </c>
      <c r="C315" t="str">
        <f>IF('Base Encuesta'!E289="","",'Base Encuesta'!E289)</f>
        <v/>
      </c>
      <c r="D315" t="str">
        <f>IF('Base Encuesta'!F289="","",'Base Encuesta'!F289)</f>
        <v/>
      </c>
      <c r="E315" t="str">
        <f>IF('Base Encuesta'!G289="","",'Base Encuesta'!G289)</f>
        <v/>
      </c>
      <c r="F315" t="str">
        <f>IF('Base Encuesta'!H289="","",'Base Encuesta'!H289)</f>
        <v/>
      </c>
      <c r="G315" t="str">
        <f>IF('Base Encuesta'!I289="","",'Base Encuesta'!I289)</f>
        <v/>
      </c>
      <c r="H315" t="str">
        <f>IF('Base Encuesta'!J289="","",'Base Encuesta'!J289)</f>
        <v/>
      </c>
      <c r="I315" t="str">
        <f>IF('Base Encuesta'!K289="","",'Base Encuesta'!K289)</f>
        <v/>
      </c>
      <c r="J315" t="str">
        <f>IF(OR('Base Encuesta'!P289="",IFERROR(VALUE(LEFT('Base Encuesta'!K289,1)),"")&gt;=3),"",PROPER(TRIM('Base Encuesta'!P289)))</f>
        <v/>
      </c>
      <c r="K315" t="str">
        <f>IF(OR('Base Encuesta'!Q289="",IFERROR(VALUE(LEFT('Base Encuesta'!K289,1)),"")&gt;=3),"",'Base Encuesta'!Q289)</f>
        <v/>
      </c>
      <c r="L315" t="str">
        <f>IF(OR('Base Encuesta'!R289="",IFERROR(VALUE(LEFT('Base Encuesta'!K289,1)),"")&gt;=3),"",VALUE(LEFT('Base Encuesta'!R289,1)))</f>
        <v/>
      </c>
      <c r="M315" t="str">
        <f>IF(OR('Base Encuesta'!S289="",IFERROR(VALUE(LEFT('Base Encuesta'!K289,1)),"")&gt;=3),"",VALUE(LEFT('Base Encuesta'!S289,1)))</f>
        <v/>
      </c>
      <c r="N315" t="str">
        <f>IF(OR('Base Encuesta'!T289="",IFERROR(VALUE(LEFT('Base Encuesta'!K289,1)),"")&gt;=3),"",VALUE(LEFT('Base Encuesta'!T289,1)))</f>
        <v/>
      </c>
      <c r="O315" t="str">
        <f>IF(OR('Base Encuesta'!V289="",IFERROR(VALUE(LEFT('Base Encuesta'!K289,1)),"")&gt;=3),"",VALUE(LEFT('Base Encuesta'!V289,1)))</f>
        <v/>
      </c>
      <c r="P315" t="str">
        <f>IF(OR('Base Encuesta'!W289="",IFERROR(VALUE(LEFT('Base Encuesta'!K289,1)),"")&gt;=3),"",VALUE(LEFT('Base Encuesta'!W289,1)))</f>
        <v/>
      </c>
      <c r="Q315" t="str">
        <f>IF(OR('Base Encuesta'!X289="",IFERROR(VALUE(LEFT('Base Encuesta'!K289,1)),"")&gt;=3),"",VALUE(LEFT('Base Encuesta'!X289,1)))</f>
        <v/>
      </c>
      <c r="R315" t="str">
        <f>IF(OR('Base Encuesta'!Y289="",IFERROR(VALUE(LEFT('Base Encuesta'!K289,1)),"")&gt;=3),"",VALUE(LEFT('Base Encuesta'!Y289,1)))</f>
        <v/>
      </c>
      <c r="S315" t="str">
        <f>IF(OR('Base Encuesta'!Z289="",IFERROR(VALUE(LEFT('Base Encuesta'!K289,1)),"")&gt;=3),"",VALUE(LEFT('Base Encuesta'!Z289,1)))</f>
        <v/>
      </c>
      <c r="T315" t="str">
        <f>IF(OR('Base Encuesta'!AA289="",IFERROR(VALUE(LEFT('Base Encuesta'!K289,1)),"")&gt;=3),"",VALUE(LEFT('Base Encuesta'!AA289,1)))</f>
        <v/>
      </c>
      <c r="U315" t="str">
        <f>IF(OR('Base Encuesta'!AB289="",IFERROR(VALUE(LEFT('Base Encuesta'!K289,1)),"")&gt;=3),"",VALUE(LEFT('Base Encuesta'!AB289,1)))</f>
        <v/>
      </c>
      <c r="V315" t="str">
        <f>IF(OR('Base Encuesta'!AC289="",IFERROR(VALUE(LEFT('Base Encuesta'!K289,1)),"")&gt;=3),"",VALUE(LEFT('Base Encuesta'!AC289,1)))</f>
        <v/>
      </c>
      <c r="W315" t="str">
        <f>IF(OR('Base Encuesta'!AE289="",IFERROR(VALUE(LEFT('Base Encuesta'!K289,1)),"")&gt;=3),"",VALUE(LEFT('Base Encuesta'!AE289,1)))</f>
        <v/>
      </c>
      <c r="X315" t="str">
        <f>IF(OR('Base Encuesta'!AF289="",IFERROR(VALUE(LEFT('Base Encuesta'!K289,1)),"")&gt;=3),"",IF(W315=1,VALUE(LEFT('Base Encuesta'!AF289,1)),""))</f>
        <v/>
      </c>
      <c r="Y315" t="str">
        <f>IF(OR('Base Encuesta'!AG289="",IFERROR(VALUE(LEFT('Base Encuesta'!K289,1)),"")&gt;=3),"",IF(W315=1,VALUE(LEFT('Base Encuesta'!AG289,1)),""))</f>
        <v/>
      </c>
      <c r="Z315" t="str">
        <f>IF(OR('Base Encuesta'!AH289="",IFERROR(VALUE(LEFT('Base Encuesta'!K289,1)),"")&gt;=3),"",IF(W315=1,VALUE(LEFT('Base Encuesta'!AH289,1)),""))</f>
        <v/>
      </c>
      <c r="AA315" t="str">
        <f>IF(OR('Base Encuesta'!AI289="",IFERROR(VALUE(LEFT('Base Encuesta'!K289,1)),"")&gt;=3),"",IF(W315=1,VALUE(LEFT('Base Encuesta'!AI289,1)),""))</f>
        <v/>
      </c>
      <c r="AB315" t="str">
        <f>IF(OR('Base Encuesta'!AJ289="",IFERROR(VALUE(LEFT('Base Encuesta'!K289,1)),"")&gt;=3),"",IF(W315=1,VALUE(LEFT('Base Encuesta'!AJ289,1)),""))</f>
        <v/>
      </c>
      <c r="AC315" t="str">
        <f>IF(OR('Base Encuesta'!AL289="",IFERROR(VALUE(LEFT('Base Encuesta'!K289,1)),"")&gt;=3),"",VALUE(LEFT('Base Encuesta'!AL289,1)))</f>
        <v/>
      </c>
      <c r="AD315" t="str">
        <f>IF(OR('Base Encuesta'!AM289="",IFERROR(VALUE(LEFT('Base Encuesta'!K289,1)),"")&gt;=3),"",VALUE(LEFT('Base Encuesta'!AM289,1)))</f>
        <v/>
      </c>
      <c r="AE315" t="str">
        <f>IF(OR('Base Encuesta'!AN289="",IFERROR(VALUE(LEFT('Base Encuesta'!K289,1)),"")&gt;=3),"",VALUE(LEFT('Base Encuesta'!AN289,1)))</f>
        <v/>
      </c>
      <c r="AF315" t="str">
        <f>IF(OR('Base Encuesta'!AO289="",IFERROR(VALUE(LEFT('Base Encuesta'!K289,1)),"")&gt;=3),"",VALUE(LEFT('Base Encuesta'!AO289,1)))</f>
        <v/>
      </c>
      <c r="AG315" t="str">
        <f>IF(OR('Base Encuesta'!AQ289="",IFERROR(VALUE(LEFT('Base Encuesta'!K289,1)),"")&gt;=3),"",VALUE(LEFT('Base Encuesta'!AQ289,1)))</f>
        <v/>
      </c>
      <c r="AH315" t="str">
        <f>IF(OR('Base Encuesta'!AR289="",IFERROR(VALUE(LEFT('Base Encuesta'!K289,1)),"")&gt;=3),"",VALUE(LEFT('Base Encuesta'!AR289,1)))</f>
        <v/>
      </c>
    </row>
    <row r="316" spans="1:34">
      <c r="A316" t="str">
        <f>IF('Base Encuesta'!C290="","",'Base Encuesta'!C290)</f>
        <v/>
      </c>
      <c r="B316" t="str">
        <f>IF('Base Encuesta'!D290="","",'Base Encuesta'!D290)</f>
        <v/>
      </c>
      <c r="C316" t="str">
        <f>IF('Base Encuesta'!E290="","",'Base Encuesta'!E290)</f>
        <v/>
      </c>
      <c r="D316" t="str">
        <f>IF('Base Encuesta'!F290="","",'Base Encuesta'!F290)</f>
        <v/>
      </c>
      <c r="E316" t="str">
        <f>IF('Base Encuesta'!G290="","",'Base Encuesta'!G290)</f>
        <v/>
      </c>
      <c r="F316" t="str">
        <f>IF('Base Encuesta'!H290="","",'Base Encuesta'!H290)</f>
        <v/>
      </c>
      <c r="G316" t="str">
        <f>IF('Base Encuesta'!I290="","",'Base Encuesta'!I290)</f>
        <v/>
      </c>
      <c r="H316" t="str">
        <f>IF('Base Encuesta'!J290="","",'Base Encuesta'!J290)</f>
        <v/>
      </c>
      <c r="I316" t="str">
        <f>IF('Base Encuesta'!K290="","",'Base Encuesta'!K290)</f>
        <v/>
      </c>
      <c r="J316" t="str">
        <f>IF(OR('Base Encuesta'!P290="",IFERROR(VALUE(LEFT('Base Encuesta'!K290,1)),"")&gt;=3),"",PROPER(TRIM('Base Encuesta'!P290)))</f>
        <v/>
      </c>
      <c r="K316" t="str">
        <f>IF(OR('Base Encuesta'!Q290="",IFERROR(VALUE(LEFT('Base Encuesta'!K290,1)),"")&gt;=3),"",'Base Encuesta'!Q290)</f>
        <v/>
      </c>
      <c r="L316" t="str">
        <f>IF(OR('Base Encuesta'!R290="",IFERROR(VALUE(LEFT('Base Encuesta'!K290,1)),"")&gt;=3),"",VALUE(LEFT('Base Encuesta'!R290,1)))</f>
        <v/>
      </c>
      <c r="M316" t="str">
        <f>IF(OR('Base Encuesta'!S290="",IFERROR(VALUE(LEFT('Base Encuesta'!K290,1)),"")&gt;=3),"",VALUE(LEFT('Base Encuesta'!S290,1)))</f>
        <v/>
      </c>
      <c r="N316" t="str">
        <f>IF(OR('Base Encuesta'!T290="",IFERROR(VALUE(LEFT('Base Encuesta'!K290,1)),"")&gt;=3),"",VALUE(LEFT('Base Encuesta'!T290,1)))</f>
        <v/>
      </c>
      <c r="O316" t="str">
        <f>IF(OR('Base Encuesta'!V290="",IFERROR(VALUE(LEFT('Base Encuesta'!K290,1)),"")&gt;=3),"",VALUE(LEFT('Base Encuesta'!V290,1)))</f>
        <v/>
      </c>
      <c r="P316" t="str">
        <f>IF(OR('Base Encuesta'!W290="",IFERROR(VALUE(LEFT('Base Encuesta'!K290,1)),"")&gt;=3),"",VALUE(LEFT('Base Encuesta'!W290,1)))</f>
        <v/>
      </c>
      <c r="Q316" t="str">
        <f>IF(OR('Base Encuesta'!X290="",IFERROR(VALUE(LEFT('Base Encuesta'!K290,1)),"")&gt;=3),"",VALUE(LEFT('Base Encuesta'!X290,1)))</f>
        <v/>
      </c>
      <c r="R316" t="str">
        <f>IF(OR('Base Encuesta'!Y290="",IFERROR(VALUE(LEFT('Base Encuesta'!K290,1)),"")&gt;=3),"",VALUE(LEFT('Base Encuesta'!Y290,1)))</f>
        <v/>
      </c>
      <c r="S316" t="str">
        <f>IF(OR('Base Encuesta'!Z290="",IFERROR(VALUE(LEFT('Base Encuesta'!K290,1)),"")&gt;=3),"",VALUE(LEFT('Base Encuesta'!Z290,1)))</f>
        <v/>
      </c>
      <c r="T316" t="str">
        <f>IF(OR('Base Encuesta'!AA290="",IFERROR(VALUE(LEFT('Base Encuesta'!K290,1)),"")&gt;=3),"",VALUE(LEFT('Base Encuesta'!AA290,1)))</f>
        <v/>
      </c>
      <c r="U316" t="str">
        <f>IF(OR('Base Encuesta'!AB290="",IFERROR(VALUE(LEFT('Base Encuesta'!K290,1)),"")&gt;=3),"",VALUE(LEFT('Base Encuesta'!AB290,1)))</f>
        <v/>
      </c>
      <c r="V316" t="str">
        <f>IF(OR('Base Encuesta'!AC290="",IFERROR(VALUE(LEFT('Base Encuesta'!K290,1)),"")&gt;=3),"",VALUE(LEFT('Base Encuesta'!AC290,1)))</f>
        <v/>
      </c>
      <c r="W316" t="str">
        <f>IF(OR('Base Encuesta'!AE290="",IFERROR(VALUE(LEFT('Base Encuesta'!K290,1)),"")&gt;=3),"",VALUE(LEFT('Base Encuesta'!AE290,1)))</f>
        <v/>
      </c>
      <c r="X316" t="str">
        <f>IF(OR('Base Encuesta'!AF290="",IFERROR(VALUE(LEFT('Base Encuesta'!K290,1)),"")&gt;=3),"",IF(W316=1,VALUE(LEFT('Base Encuesta'!AF290,1)),""))</f>
        <v/>
      </c>
      <c r="Y316" t="str">
        <f>IF(OR('Base Encuesta'!AG290="",IFERROR(VALUE(LEFT('Base Encuesta'!K290,1)),"")&gt;=3),"",IF(W316=1,VALUE(LEFT('Base Encuesta'!AG290,1)),""))</f>
        <v/>
      </c>
      <c r="Z316" t="str">
        <f>IF(OR('Base Encuesta'!AH290="",IFERROR(VALUE(LEFT('Base Encuesta'!K290,1)),"")&gt;=3),"",IF(W316=1,VALUE(LEFT('Base Encuesta'!AH290,1)),""))</f>
        <v/>
      </c>
      <c r="AA316" t="str">
        <f>IF(OR('Base Encuesta'!AI290="",IFERROR(VALUE(LEFT('Base Encuesta'!K290,1)),"")&gt;=3),"",IF(W316=1,VALUE(LEFT('Base Encuesta'!AI290,1)),""))</f>
        <v/>
      </c>
      <c r="AB316" t="str">
        <f>IF(OR('Base Encuesta'!AJ290="",IFERROR(VALUE(LEFT('Base Encuesta'!K290,1)),"")&gt;=3),"",IF(W316=1,VALUE(LEFT('Base Encuesta'!AJ290,1)),""))</f>
        <v/>
      </c>
      <c r="AC316" t="str">
        <f>IF(OR('Base Encuesta'!AL290="",IFERROR(VALUE(LEFT('Base Encuesta'!K290,1)),"")&gt;=3),"",VALUE(LEFT('Base Encuesta'!AL290,1)))</f>
        <v/>
      </c>
      <c r="AD316" t="str">
        <f>IF(OR('Base Encuesta'!AM290="",IFERROR(VALUE(LEFT('Base Encuesta'!K290,1)),"")&gt;=3),"",VALUE(LEFT('Base Encuesta'!AM290,1)))</f>
        <v/>
      </c>
      <c r="AE316" t="str">
        <f>IF(OR('Base Encuesta'!AN290="",IFERROR(VALUE(LEFT('Base Encuesta'!K290,1)),"")&gt;=3),"",VALUE(LEFT('Base Encuesta'!AN290,1)))</f>
        <v/>
      </c>
      <c r="AF316" t="str">
        <f>IF(OR('Base Encuesta'!AO290="",IFERROR(VALUE(LEFT('Base Encuesta'!K290,1)),"")&gt;=3),"",VALUE(LEFT('Base Encuesta'!AO290,1)))</f>
        <v/>
      </c>
      <c r="AG316" t="str">
        <f>IF(OR('Base Encuesta'!AQ290="",IFERROR(VALUE(LEFT('Base Encuesta'!K290,1)),"")&gt;=3),"",VALUE(LEFT('Base Encuesta'!AQ290,1)))</f>
        <v/>
      </c>
      <c r="AH316" t="str">
        <f>IF(OR('Base Encuesta'!AR290="",IFERROR(VALUE(LEFT('Base Encuesta'!K290,1)),"")&gt;=3),"",VALUE(LEFT('Base Encuesta'!AR290,1)))</f>
        <v/>
      </c>
    </row>
    <row r="317" spans="1:34">
      <c r="A317" t="str">
        <f>IF('Base Encuesta'!C291="","",'Base Encuesta'!C291)</f>
        <v/>
      </c>
      <c r="B317" t="str">
        <f>IF('Base Encuesta'!D291="","",'Base Encuesta'!D291)</f>
        <v/>
      </c>
      <c r="C317" t="str">
        <f>IF('Base Encuesta'!E291="","",'Base Encuesta'!E291)</f>
        <v/>
      </c>
      <c r="D317" t="str">
        <f>IF('Base Encuesta'!F291="","",'Base Encuesta'!F291)</f>
        <v/>
      </c>
      <c r="E317" t="str">
        <f>IF('Base Encuesta'!G291="","",'Base Encuesta'!G291)</f>
        <v/>
      </c>
      <c r="F317" t="str">
        <f>IF('Base Encuesta'!H291="","",'Base Encuesta'!H291)</f>
        <v/>
      </c>
      <c r="G317" t="str">
        <f>IF('Base Encuesta'!I291="","",'Base Encuesta'!I291)</f>
        <v/>
      </c>
      <c r="H317" t="str">
        <f>IF('Base Encuesta'!J291="","",'Base Encuesta'!J291)</f>
        <v/>
      </c>
      <c r="I317" t="str">
        <f>IF('Base Encuesta'!K291="","",'Base Encuesta'!K291)</f>
        <v/>
      </c>
      <c r="J317" t="str">
        <f>IF(OR('Base Encuesta'!P291="",IFERROR(VALUE(LEFT('Base Encuesta'!K291,1)),"")&gt;=3),"",PROPER(TRIM('Base Encuesta'!P291)))</f>
        <v/>
      </c>
      <c r="K317" t="str">
        <f>IF(OR('Base Encuesta'!Q291="",IFERROR(VALUE(LEFT('Base Encuesta'!K291,1)),"")&gt;=3),"",'Base Encuesta'!Q291)</f>
        <v/>
      </c>
      <c r="L317" t="str">
        <f>IF(OR('Base Encuesta'!R291="",IFERROR(VALUE(LEFT('Base Encuesta'!K291,1)),"")&gt;=3),"",VALUE(LEFT('Base Encuesta'!R291,1)))</f>
        <v/>
      </c>
      <c r="M317" t="str">
        <f>IF(OR('Base Encuesta'!S291="",IFERROR(VALUE(LEFT('Base Encuesta'!K291,1)),"")&gt;=3),"",VALUE(LEFT('Base Encuesta'!S291,1)))</f>
        <v/>
      </c>
      <c r="N317" t="str">
        <f>IF(OR('Base Encuesta'!T291="",IFERROR(VALUE(LEFT('Base Encuesta'!K291,1)),"")&gt;=3),"",VALUE(LEFT('Base Encuesta'!T291,1)))</f>
        <v/>
      </c>
      <c r="O317" t="str">
        <f>IF(OR('Base Encuesta'!V291="",IFERROR(VALUE(LEFT('Base Encuesta'!K291,1)),"")&gt;=3),"",VALUE(LEFT('Base Encuesta'!V291,1)))</f>
        <v/>
      </c>
      <c r="P317" t="str">
        <f>IF(OR('Base Encuesta'!W291="",IFERROR(VALUE(LEFT('Base Encuesta'!K291,1)),"")&gt;=3),"",VALUE(LEFT('Base Encuesta'!W291,1)))</f>
        <v/>
      </c>
      <c r="Q317" t="str">
        <f>IF(OR('Base Encuesta'!X291="",IFERROR(VALUE(LEFT('Base Encuesta'!K291,1)),"")&gt;=3),"",VALUE(LEFT('Base Encuesta'!X291,1)))</f>
        <v/>
      </c>
      <c r="R317" t="str">
        <f>IF(OR('Base Encuesta'!Y291="",IFERROR(VALUE(LEFT('Base Encuesta'!K291,1)),"")&gt;=3),"",VALUE(LEFT('Base Encuesta'!Y291,1)))</f>
        <v/>
      </c>
      <c r="S317" t="str">
        <f>IF(OR('Base Encuesta'!Z291="",IFERROR(VALUE(LEFT('Base Encuesta'!K291,1)),"")&gt;=3),"",VALUE(LEFT('Base Encuesta'!Z291,1)))</f>
        <v/>
      </c>
      <c r="T317" t="str">
        <f>IF(OR('Base Encuesta'!AA291="",IFERROR(VALUE(LEFT('Base Encuesta'!K291,1)),"")&gt;=3),"",VALUE(LEFT('Base Encuesta'!AA291,1)))</f>
        <v/>
      </c>
      <c r="U317" t="str">
        <f>IF(OR('Base Encuesta'!AB291="",IFERROR(VALUE(LEFT('Base Encuesta'!K291,1)),"")&gt;=3),"",VALUE(LEFT('Base Encuesta'!AB291,1)))</f>
        <v/>
      </c>
      <c r="V317" t="str">
        <f>IF(OR('Base Encuesta'!AC291="",IFERROR(VALUE(LEFT('Base Encuesta'!K291,1)),"")&gt;=3),"",VALUE(LEFT('Base Encuesta'!AC291,1)))</f>
        <v/>
      </c>
      <c r="W317" t="str">
        <f>IF(OR('Base Encuesta'!AE291="",IFERROR(VALUE(LEFT('Base Encuesta'!K291,1)),"")&gt;=3),"",VALUE(LEFT('Base Encuesta'!AE291,1)))</f>
        <v/>
      </c>
      <c r="X317" t="str">
        <f>IF(OR('Base Encuesta'!AF291="",IFERROR(VALUE(LEFT('Base Encuesta'!K291,1)),"")&gt;=3),"",IF(W317=1,VALUE(LEFT('Base Encuesta'!AF291,1)),""))</f>
        <v/>
      </c>
      <c r="Y317" t="str">
        <f>IF(OR('Base Encuesta'!AG291="",IFERROR(VALUE(LEFT('Base Encuesta'!K291,1)),"")&gt;=3),"",IF(W317=1,VALUE(LEFT('Base Encuesta'!AG291,1)),""))</f>
        <v/>
      </c>
      <c r="Z317" t="str">
        <f>IF(OR('Base Encuesta'!AH291="",IFERROR(VALUE(LEFT('Base Encuesta'!K291,1)),"")&gt;=3),"",IF(W317=1,VALUE(LEFT('Base Encuesta'!AH291,1)),""))</f>
        <v/>
      </c>
      <c r="AA317" t="str">
        <f>IF(OR('Base Encuesta'!AI291="",IFERROR(VALUE(LEFT('Base Encuesta'!K291,1)),"")&gt;=3),"",IF(W317=1,VALUE(LEFT('Base Encuesta'!AI291,1)),""))</f>
        <v/>
      </c>
      <c r="AB317" t="str">
        <f>IF(OR('Base Encuesta'!AJ291="",IFERROR(VALUE(LEFT('Base Encuesta'!K291,1)),"")&gt;=3),"",IF(W317=1,VALUE(LEFT('Base Encuesta'!AJ291,1)),""))</f>
        <v/>
      </c>
      <c r="AC317" t="str">
        <f>IF(OR('Base Encuesta'!AL291="",IFERROR(VALUE(LEFT('Base Encuesta'!K291,1)),"")&gt;=3),"",VALUE(LEFT('Base Encuesta'!AL291,1)))</f>
        <v/>
      </c>
      <c r="AD317" t="str">
        <f>IF(OR('Base Encuesta'!AM291="",IFERROR(VALUE(LEFT('Base Encuesta'!K291,1)),"")&gt;=3),"",VALUE(LEFT('Base Encuesta'!AM291,1)))</f>
        <v/>
      </c>
      <c r="AE317" t="str">
        <f>IF(OR('Base Encuesta'!AN291="",IFERROR(VALUE(LEFT('Base Encuesta'!K291,1)),"")&gt;=3),"",VALUE(LEFT('Base Encuesta'!AN291,1)))</f>
        <v/>
      </c>
      <c r="AF317" t="str">
        <f>IF(OR('Base Encuesta'!AO291="",IFERROR(VALUE(LEFT('Base Encuesta'!K291,1)),"")&gt;=3),"",VALUE(LEFT('Base Encuesta'!AO291,1)))</f>
        <v/>
      </c>
      <c r="AG317" t="str">
        <f>IF(OR('Base Encuesta'!AQ291="",IFERROR(VALUE(LEFT('Base Encuesta'!K291,1)),"")&gt;=3),"",VALUE(LEFT('Base Encuesta'!AQ291,1)))</f>
        <v/>
      </c>
      <c r="AH317" t="str">
        <f>IF(OR('Base Encuesta'!AR291="",IFERROR(VALUE(LEFT('Base Encuesta'!K291,1)),"")&gt;=3),"",VALUE(LEFT('Base Encuesta'!AR291,1)))</f>
        <v/>
      </c>
    </row>
    <row r="318" spans="1:34">
      <c r="A318" t="str">
        <f>IF('Base Encuesta'!C292="","",'Base Encuesta'!C292)</f>
        <v/>
      </c>
      <c r="B318" t="str">
        <f>IF('Base Encuesta'!D292="","",'Base Encuesta'!D292)</f>
        <v/>
      </c>
      <c r="C318" t="str">
        <f>IF('Base Encuesta'!E292="","",'Base Encuesta'!E292)</f>
        <v/>
      </c>
      <c r="D318" t="str">
        <f>IF('Base Encuesta'!F292="","",'Base Encuesta'!F292)</f>
        <v/>
      </c>
      <c r="E318" t="str">
        <f>IF('Base Encuesta'!G292="","",'Base Encuesta'!G292)</f>
        <v/>
      </c>
      <c r="F318" t="str">
        <f>IF('Base Encuesta'!H292="","",'Base Encuesta'!H292)</f>
        <v/>
      </c>
      <c r="G318" t="str">
        <f>IF('Base Encuesta'!I292="","",'Base Encuesta'!I292)</f>
        <v/>
      </c>
      <c r="H318" t="str">
        <f>IF('Base Encuesta'!J292="","",'Base Encuesta'!J292)</f>
        <v/>
      </c>
      <c r="I318" t="str">
        <f>IF('Base Encuesta'!K292="","",'Base Encuesta'!K292)</f>
        <v/>
      </c>
      <c r="J318" t="str">
        <f>IF(OR('Base Encuesta'!P292="",IFERROR(VALUE(LEFT('Base Encuesta'!K292,1)),"")&gt;=3),"",PROPER(TRIM('Base Encuesta'!P292)))</f>
        <v/>
      </c>
      <c r="K318" t="str">
        <f>IF(OR('Base Encuesta'!Q292="",IFERROR(VALUE(LEFT('Base Encuesta'!K292,1)),"")&gt;=3),"",'Base Encuesta'!Q292)</f>
        <v/>
      </c>
      <c r="L318" t="str">
        <f>IF(OR('Base Encuesta'!R292="",IFERROR(VALUE(LEFT('Base Encuesta'!K292,1)),"")&gt;=3),"",VALUE(LEFT('Base Encuesta'!R292,1)))</f>
        <v/>
      </c>
      <c r="M318" t="str">
        <f>IF(OR('Base Encuesta'!S292="",IFERROR(VALUE(LEFT('Base Encuesta'!K292,1)),"")&gt;=3),"",VALUE(LEFT('Base Encuesta'!S292,1)))</f>
        <v/>
      </c>
      <c r="N318" t="str">
        <f>IF(OR('Base Encuesta'!T292="",IFERROR(VALUE(LEFT('Base Encuesta'!K292,1)),"")&gt;=3),"",VALUE(LEFT('Base Encuesta'!T292,1)))</f>
        <v/>
      </c>
      <c r="O318" t="str">
        <f>IF(OR('Base Encuesta'!V292="",IFERROR(VALUE(LEFT('Base Encuesta'!K292,1)),"")&gt;=3),"",VALUE(LEFT('Base Encuesta'!V292,1)))</f>
        <v/>
      </c>
      <c r="P318" t="str">
        <f>IF(OR('Base Encuesta'!W292="",IFERROR(VALUE(LEFT('Base Encuesta'!K292,1)),"")&gt;=3),"",VALUE(LEFT('Base Encuesta'!W292,1)))</f>
        <v/>
      </c>
      <c r="Q318" t="str">
        <f>IF(OR('Base Encuesta'!X292="",IFERROR(VALUE(LEFT('Base Encuesta'!K292,1)),"")&gt;=3),"",VALUE(LEFT('Base Encuesta'!X292,1)))</f>
        <v/>
      </c>
      <c r="R318" t="str">
        <f>IF(OR('Base Encuesta'!Y292="",IFERROR(VALUE(LEFT('Base Encuesta'!K292,1)),"")&gt;=3),"",VALUE(LEFT('Base Encuesta'!Y292,1)))</f>
        <v/>
      </c>
      <c r="S318" t="str">
        <f>IF(OR('Base Encuesta'!Z292="",IFERROR(VALUE(LEFT('Base Encuesta'!K292,1)),"")&gt;=3),"",VALUE(LEFT('Base Encuesta'!Z292,1)))</f>
        <v/>
      </c>
      <c r="T318" t="str">
        <f>IF(OR('Base Encuesta'!AA292="",IFERROR(VALUE(LEFT('Base Encuesta'!K292,1)),"")&gt;=3),"",VALUE(LEFT('Base Encuesta'!AA292,1)))</f>
        <v/>
      </c>
      <c r="U318" t="str">
        <f>IF(OR('Base Encuesta'!AB292="",IFERROR(VALUE(LEFT('Base Encuesta'!K292,1)),"")&gt;=3),"",VALUE(LEFT('Base Encuesta'!AB292,1)))</f>
        <v/>
      </c>
      <c r="V318" t="str">
        <f>IF(OR('Base Encuesta'!AC292="",IFERROR(VALUE(LEFT('Base Encuesta'!K292,1)),"")&gt;=3),"",VALUE(LEFT('Base Encuesta'!AC292,1)))</f>
        <v/>
      </c>
      <c r="W318" t="str">
        <f>IF(OR('Base Encuesta'!AE292="",IFERROR(VALUE(LEFT('Base Encuesta'!K292,1)),"")&gt;=3),"",VALUE(LEFT('Base Encuesta'!AE292,1)))</f>
        <v/>
      </c>
      <c r="X318" t="str">
        <f>IF(OR('Base Encuesta'!AF292="",IFERROR(VALUE(LEFT('Base Encuesta'!K292,1)),"")&gt;=3),"",IF(W318=1,VALUE(LEFT('Base Encuesta'!AF292,1)),""))</f>
        <v/>
      </c>
      <c r="Y318" t="str">
        <f>IF(OR('Base Encuesta'!AG292="",IFERROR(VALUE(LEFT('Base Encuesta'!K292,1)),"")&gt;=3),"",IF(W318=1,VALUE(LEFT('Base Encuesta'!AG292,1)),""))</f>
        <v/>
      </c>
      <c r="Z318" t="str">
        <f>IF(OR('Base Encuesta'!AH292="",IFERROR(VALUE(LEFT('Base Encuesta'!K292,1)),"")&gt;=3),"",IF(W318=1,VALUE(LEFT('Base Encuesta'!AH292,1)),""))</f>
        <v/>
      </c>
      <c r="AA318" t="str">
        <f>IF(OR('Base Encuesta'!AI292="",IFERROR(VALUE(LEFT('Base Encuesta'!K292,1)),"")&gt;=3),"",IF(W318=1,VALUE(LEFT('Base Encuesta'!AI292,1)),""))</f>
        <v/>
      </c>
      <c r="AB318" t="str">
        <f>IF(OR('Base Encuesta'!AJ292="",IFERROR(VALUE(LEFT('Base Encuesta'!K292,1)),"")&gt;=3),"",IF(W318=1,VALUE(LEFT('Base Encuesta'!AJ292,1)),""))</f>
        <v/>
      </c>
      <c r="AC318" t="str">
        <f>IF(OR('Base Encuesta'!AL292="",IFERROR(VALUE(LEFT('Base Encuesta'!K292,1)),"")&gt;=3),"",VALUE(LEFT('Base Encuesta'!AL292,1)))</f>
        <v/>
      </c>
      <c r="AD318" t="str">
        <f>IF(OR('Base Encuesta'!AM292="",IFERROR(VALUE(LEFT('Base Encuesta'!K292,1)),"")&gt;=3),"",VALUE(LEFT('Base Encuesta'!AM292,1)))</f>
        <v/>
      </c>
      <c r="AE318" t="str">
        <f>IF(OR('Base Encuesta'!AN292="",IFERROR(VALUE(LEFT('Base Encuesta'!K292,1)),"")&gt;=3),"",VALUE(LEFT('Base Encuesta'!AN292,1)))</f>
        <v/>
      </c>
      <c r="AF318" t="str">
        <f>IF(OR('Base Encuesta'!AO292="",IFERROR(VALUE(LEFT('Base Encuesta'!K292,1)),"")&gt;=3),"",VALUE(LEFT('Base Encuesta'!AO292,1)))</f>
        <v/>
      </c>
      <c r="AG318" t="str">
        <f>IF(OR('Base Encuesta'!AQ292="",IFERROR(VALUE(LEFT('Base Encuesta'!K292,1)),"")&gt;=3),"",VALUE(LEFT('Base Encuesta'!AQ292,1)))</f>
        <v/>
      </c>
      <c r="AH318" t="str">
        <f>IF(OR('Base Encuesta'!AR292="",IFERROR(VALUE(LEFT('Base Encuesta'!K292,1)),"")&gt;=3),"",VALUE(LEFT('Base Encuesta'!AR292,1)))</f>
        <v/>
      </c>
    </row>
    <row r="319" spans="1:34">
      <c r="A319" t="str">
        <f>IF('Base Encuesta'!C293="","",'Base Encuesta'!C293)</f>
        <v/>
      </c>
      <c r="B319" t="str">
        <f>IF('Base Encuesta'!D293="","",'Base Encuesta'!D293)</f>
        <v/>
      </c>
      <c r="C319" t="str">
        <f>IF('Base Encuesta'!E293="","",'Base Encuesta'!E293)</f>
        <v/>
      </c>
      <c r="D319" t="str">
        <f>IF('Base Encuesta'!F293="","",'Base Encuesta'!F293)</f>
        <v/>
      </c>
      <c r="E319" t="str">
        <f>IF('Base Encuesta'!G293="","",'Base Encuesta'!G293)</f>
        <v/>
      </c>
      <c r="F319" t="str">
        <f>IF('Base Encuesta'!H293="","",'Base Encuesta'!H293)</f>
        <v/>
      </c>
      <c r="G319" t="str">
        <f>IF('Base Encuesta'!I293="","",'Base Encuesta'!I293)</f>
        <v/>
      </c>
      <c r="H319" t="str">
        <f>IF('Base Encuesta'!J293="","",'Base Encuesta'!J293)</f>
        <v/>
      </c>
      <c r="I319" t="str">
        <f>IF('Base Encuesta'!K293="","",'Base Encuesta'!K293)</f>
        <v/>
      </c>
      <c r="J319" t="str">
        <f>IF(OR('Base Encuesta'!P293="",IFERROR(VALUE(LEFT('Base Encuesta'!K293,1)),"")&gt;=3),"",PROPER(TRIM('Base Encuesta'!P293)))</f>
        <v/>
      </c>
      <c r="K319" t="str">
        <f>IF(OR('Base Encuesta'!Q293="",IFERROR(VALUE(LEFT('Base Encuesta'!K293,1)),"")&gt;=3),"",'Base Encuesta'!Q293)</f>
        <v/>
      </c>
      <c r="L319" t="str">
        <f>IF(OR('Base Encuesta'!R293="",IFERROR(VALUE(LEFT('Base Encuesta'!K293,1)),"")&gt;=3),"",VALUE(LEFT('Base Encuesta'!R293,1)))</f>
        <v/>
      </c>
      <c r="M319" t="str">
        <f>IF(OR('Base Encuesta'!S293="",IFERROR(VALUE(LEFT('Base Encuesta'!K293,1)),"")&gt;=3),"",VALUE(LEFT('Base Encuesta'!S293,1)))</f>
        <v/>
      </c>
      <c r="N319" t="str">
        <f>IF(OR('Base Encuesta'!T293="",IFERROR(VALUE(LEFT('Base Encuesta'!K293,1)),"")&gt;=3),"",VALUE(LEFT('Base Encuesta'!T293,1)))</f>
        <v/>
      </c>
      <c r="O319" t="str">
        <f>IF(OR('Base Encuesta'!V293="",IFERROR(VALUE(LEFT('Base Encuesta'!K293,1)),"")&gt;=3),"",VALUE(LEFT('Base Encuesta'!V293,1)))</f>
        <v/>
      </c>
      <c r="P319" t="str">
        <f>IF(OR('Base Encuesta'!W293="",IFERROR(VALUE(LEFT('Base Encuesta'!K293,1)),"")&gt;=3),"",VALUE(LEFT('Base Encuesta'!W293,1)))</f>
        <v/>
      </c>
      <c r="Q319" t="str">
        <f>IF(OR('Base Encuesta'!X293="",IFERROR(VALUE(LEFT('Base Encuesta'!K293,1)),"")&gt;=3),"",VALUE(LEFT('Base Encuesta'!X293,1)))</f>
        <v/>
      </c>
      <c r="R319" t="str">
        <f>IF(OR('Base Encuesta'!Y293="",IFERROR(VALUE(LEFT('Base Encuesta'!K293,1)),"")&gt;=3),"",VALUE(LEFT('Base Encuesta'!Y293,1)))</f>
        <v/>
      </c>
      <c r="S319" t="str">
        <f>IF(OR('Base Encuesta'!Z293="",IFERROR(VALUE(LEFT('Base Encuesta'!K293,1)),"")&gt;=3),"",VALUE(LEFT('Base Encuesta'!Z293,1)))</f>
        <v/>
      </c>
      <c r="T319" t="str">
        <f>IF(OR('Base Encuesta'!AA293="",IFERROR(VALUE(LEFT('Base Encuesta'!K293,1)),"")&gt;=3),"",VALUE(LEFT('Base Encuesta'!AA293,1)))</f>
        <v/>
      </c>
      <c r="U319" t="str">
        <f>IF(OR('Base Encuesta'!AB293="",IFERROR(VALUE(LEFT('Base Encuesta'!K293,1)),"")&gt;=3),"",VALUE(LEFT('Base Encuesta'!AB293,1)))</f>
        <v/>
      </c>
      <c r="V319" t="str">
        <f>IF(OR('Base Encuesta'!AC293="",IFERROR(VALUE(LEFT('Base Encuesta'!K293,1)),"")&gt;=3),"",VALUE(LEFT('Base Encuesta'!AC293,1)))</f>
        <v/>
      </c>
      <c r="W319" t="str">
        <f>IF(OR('Base Encuesta'!AE293="",IFERROR(VALUE(LEFT('Base Encuesta'!K293,1)),"")&gt;=3),"",VALUE(LEFT('Base Encuesta'!AE293,1)))</f>
        <v/>
      </c>
      <c r="X319" t="str">
        <f>IF(OR('Base Encuesta'!AF293="",IFERROR(VALUE(LEFT('Base Encuesta'!K293,1)),"")&gt;=3),"",IF(W319=1,VALUE(LEFT('Base Encuesta'!AF293,1)),""))</f>
        <v/>
      </c>
      <c r="Y319" t="str">
        <f>IF(OR('Base Encuesta'!AG293="",IFERROR(VALUE(LEFT('Base Encuesta'!K293,1)),"")&gt;=3),"",IF(W319=1,VALUE(LEFT('Base Encuesta'!AG293,1)),""))</f>
        <v/>
      </c>
      <c r="Z319" t="str">
        <f>IF(OR('Base Encuesta'!AH293="",IFERROR(VALUE(LEFT('Base Encuesta'!K293,1)),"")&gt;=3),"",IF(W319=1,VALUE(LEFT('Base Encuesta'!AH293,1)),""))</f>
        <v/>
      </c>
      <c r="AA319" t="str">
        <f>IF(OR('Base Encuesta'!AI293="",IFERROR(VALUE(LEFT('Base Encuesta'!K293,1)),"")&gt;=3),"",IF(W319=1,VALUE(LEFT('Base Encuesta'!AI293,1)),""))</f>
        <v/>
      </c>
      <c r="AB319" t="str">
        <f>IF(OR('Base Encuesta'!AJ293="",IFERROR(VALUE(LEFT('Base Encuesta'!K293,1)),"")&gt;=3),"",IF(W319=1,VALUE(LEFT('Base Encuesta'!AJ293,1)),""))</f>
        <v/>
      </c>
      <c r="AC319" t="str">
        <f>IF(OR('Base Encuesta'!AL293="",IFERROR(VALUE(LEFT('Base Encuesta'!K293,1)),"")&gt;=3),"",VALUE(LEFT('Base Encuesta'!AL293,1)))</f>
        <v/>
      </c>
      <c r="AD319" t="str">
        <f>IF(OR('Base Encuesta'!AM293="",IFERROR(VALUE(LEFT('Base Encuesta'!K293,1)),"")&gt;=3),"",VALUE(LEFT('Base Encuesta'!AM293,1)))</f>
        <v/>
      </c>
      <c r="AE319" t="str">
        <f>IF(OR('Base Encuesta'!AN293="",IFERROR(VALUE(LEFT('Base Encuesta'!K293,1)),"")&gt;=3),"",VALUE(LEFT('Base Encuesta'!AN293,1)))</f>
        <v/>
      </c>
      <c r="AF319" t="str">
        <f>IF(OR('Base Encuesta'!AO293="",IFERROR(VALUE(LEFT('Base Encuesta'!K293,1)),"")&gt;=3),"",VALUE(LEFT('Base Encuesta'!AO293,1)))</f>
        <v/>
      </c>
      <c r="AG319" t="str">
        <f>IF(OR('Base Encuesta'!AQ293="",IFERROR(VALUE(LEFT('Base Encuesta'!K293,1)),"")&gt;=3),"",VALUE(LEFT('Base Encuesta'!AQ293,1)))</f>
        <v/>
      </c>
      <c r="AH319" t="str">
        <f>IF(OR('Base Encuesta'!AR293="",IFERROR(VALUE(LEFT('Base Encuesta'!K293,1)),"")&gt;=3),"",VALUE(LEFT('Base Encuesta'!AR293,1)))</f>
        <v/>
      </c>
    </row>
    <row r="320" spans="1:34">
      <c r="A320" t="str">
        <f>IF('Base Encuesta'!C294="","",'Base Encuesta'!C294)</f>
        <v/>
      </c>
      <c r="B320" t="str">
        <f>IF('Base Encuesta'!D294="","",'Base Encuesta'!D294)</f>
        <v/>
      </c>
      <c r="C320" t="str">
        <f>IF('Base Encuesta'!E294="","",'Base Encuesta'!E294)</f>
        <v/>
      </c>
      <c r="D320" t="str">
        <f>IF('Base Encuesta'!F294="","",'Base Encuesta'!F294)</f>
        <v/>
      </c>
      <c r="E320" t="str">
        <f>IF('Base Encuesta'!G294="","",'Base Encuesta'!G294)</f>
        <v/>
      </c>
      <c r="F320" t="str">
        <f>IF('Base Encuesta'!H294="","",'Base Encuesta'!H294)</f>
        <v/>
      </c>
      <c r="G320" t="str">
        <f>IF('Base Encuesta'!I294="","",'Base Encuesta'!I294)</f>
        <v/>
      </c>
      <c r="H320" t="str">
        <f>IF('Base Encuesta'!J294="","",'Base Encuesta'!J294)</f>
        <v/>
      </c>
      <c r="I320" t="str">
        <f>IF('Base Encuesta'!K294="","",'Base Encuesta'!K294)</f>
        <v/>
      </c>
      <c r="J320" t="str">
        <f>IF(OR('Base Encuesta'!P294="",IFERROR(VALUE(LEFT('Base Encuesta'!K294,1)),"")&gt;=3),"",PROPER(TRIM('Base Encuesta'!P294)))</f>
        <v/>
      </c>
      <c r="K320" t="str">
        <f>IF(OR('Base Encuesta'!Q294="",IFERROR(VALUE(LEFT('Base Encuesta'!K294,1)),"")&gt;=3),"",'Base Encuesta'!Q294)</f>
        <v/>
      </c>
      <c r="L320" t="str">
        <f>IF(OR('Base Encuesta'!R294="",IFERROR(VALUE(LEFT('Base Encuesta'!K294,1)),"")&gt;=3),"",VALUE(LEFT('Base Encuesta'!R294,1)))</f>
        <v/>
      </c>
      <c r="M320" t="str">
        <f>IF(OR('Base Encuesta'!S294="",IFERROR(VALUE(LEFT('Base Encuesta'!K294,1)),"")&gt;=3),"",VALUE(LEFT('Base Encuesta'!S294,1)))</f>
        <v/>
      </c>
      <c r="N320" t="str">
        <f>IF(OR('Base Encuesta'!T294="",IFERROR(VALUE(LEFT('Base Encuesta'!K294,1)),"")&gt;=3),"",VALUE(LEFT('Base Encuesta'!T294,1)))</f>
        <v/>
      </c>
      <c r="O320" t="str">
        <f>IF(OR('Base Encuesta'!V294="",IFERROR(VALUE(LEFT('Base Encuesta'!K294,1)),"")&gt;=3),"",VALUE(LEFT('Base Encuesta'!V294,1)))</f>
        <v/>
      </c>
      <c r="P320" t="str">
        <f>IF(OR('Base Encuesta'!W294="",IFERROR(VALUE(LEFT('Base Encuesta'!K294,1)),"")&gt;=3),"",VALUE(LEFT('Base Encuesta'!W294,1)))</f>
        <v/>
      </c>
      <c r="Q320" t="str">
        <f>IF(OR('Base Encuesta'!X294="",IFERROR(VALUE(LEFT('Base Encuesta'!K294,1)),"")&gt;=3),"",VALUE(LEFT('Base Encuesta'!X294,1)))</f>
        <v/>
      </c>
      <c r="R320" t="str">
        <f>IF(OR('Base Encuesta'!Y294="",IFERROR(VALUE(LEFT('Base Encuesta'!K294,1)),"")&gt;=3),"",VALUE(LEFT('Base Encuesta'!Y294,1)))</f>
        <v/>
      </c>
      <c r="S320" t="str">
        <f>IF(OR('Base Encuesta'!Z294="",IFERROR(VALUE(LEFT('Base Encuesta'!K294,1)),"")&gt;=3),"",VALUE(LEFT('Base Encuesta'!Z294,1)))</f>
        <v/>
      </c>
      <c r="T320" t="str">
        <f>IF(OR('Base Encuesta'!AA294="",IFERROR(VALUE(LEFT('Base Encuesta'!K294,1)),"")&gt;=3),"",VALUE(LEFT('Base Encuesta'!AA294,1)))</f>
        <v/>
      </c>
      <c r="U320" t="str">
        <f>IF(OR('Base Encuesta'!AB294="",IFERROR(VALUE(LEFT('Base Encuesta'!K294,1)),"")&gt;=3),"",VALUE(LEFT('Base Encuesta'!AB294,1)))</f>
        <v/>
      </c>
      <c r="V320" t="str">
        <f>IF(OR('Base Encuesta'!AC294="",IFERROR(VALUE(LEFT('Base Encuesta'!K294,1)),"")&gt;=3),"",VALUE(LEFT('Base Encuesta'!AC294,1)))</f>
        <v/>
      </c>
      <c r="W320" t="str">
        <f>IF(OR('Base Encuesta'!AE294="",IFERROR(VALUE(LEFT('Base Encuesta'!K294,1)),"")&gt;=3),"",VALUE(LEFT('Base Encuesta'!AE294,1)))</f>
        <v/>
      </c>
      <c r="X320" t="str">
        <f>IF(OR('Base Encuesta'!AF294="",IFERROR(VALUE(LEFT('Base Encuesta'!K294,1)),"")&gt;=3),"",IF(W320=1,VALUE(LEFT('Base Encuesta'!AF294,1)),""))</f>
        <v/>
      </c>
      <c r="Y320" t="str">
        <f>IF(OR('Base Encuesta'!AG294="",IFERROR(VALUE(LEFT('Base Encuesta'!K294,1)),"")&gt;=3),"",IF(W320=1,VALUE(LEFT('Base Encuesta'!AG294,1)),""))</f>
        <v/>
      </c>
      <c r="Z320" t="str">
        <f>IF(OR('Base Encuesta'!AH294="",IFERROR(VALUE(LEFT('Base Encuesta'!K294,1)),"")&gt;=3),"",IF(W320=1,VALUE(LEFT('Base Encuesta'!AH294,1)),""))</f>
        <v/>
      </c>
      <c r="AA320" t="str">
        <f>IF(OR('Base Encuesta'!AI294="",IFERROR(VALUE(LEFT('Base Encuesta'!K294,1)),"")&gt;=3),"",IF(W320=1,VALUE(LEFT('Base Encuesta'!AI294,1)),""))</f>
        <v/>
      </c>
      <c r="AB320" t="str">
        <f>IF(OR('Base Encuesta'!AJ294="",IFERROR(VALUE(LEFT('Base Encuesta'!K294,1)),"")&gt;=3),"",IF(W320=1,VALUE(LEFT('Base Encuesta'!AJ294,1)),""))</f>
        <v/>
      </c>
      <c r="AC320" t="str">
        <f>IF(OR('Base Encuesta'!AL294="",IFERROR(VALUE(LEFT('Base Encuesta'!K294,1)),"")&gt;=3),"",VALUE(LEFT('Base Encuesta'!AL294,1)))</f>
        <v/>
      </c>
      <c r="AD320" t="str">
        <f>IF(OR('Base Encuesta'!AM294="",IFERROR(VALUE(LEFT('Base Encuesta'!K294,1)),"")&gt;=3),"",VALUE(LEFT('Base Encuesta'!AM294,1)))</f>
        <v/>
      </c>
      <c r="AE320" t="str">
        <f>IF(OR('Base Encuesta'!AN294="",IFERROR(VALUE(LEFT('Base Encuesta'!K294,1)),"")&gt;=3),"",VALUE(LEFT('Base Encuesta'!AN294,1)))</f>
        <v/>
      </c>
      <c r="AF320" t="str">
        <f>IF(OR('Base Encuesta'!AO294="",IFERROR(VALUE(LEFT('Base Encuesta'!K294,1)),"")&gt;=3),"",VALUE(LEFT('Base Encuesta'!AO294,1)))</f>
        <v/>
      </c>
      <c r="AG320" t="str">
        <f>IF(OR('Base Encuesta'!AQ294="",IFERROR(VALUE(LEFT('Base Encuesta'!K294,1)),"")&gt;=3),"",VALUE(LEFT('Base Encuesta'!AQ294,1)))</f>
        <v/>
      </c>
      <c r="AH320" t="str">
        <f>IF(OR('Base Encuesta'!AR294="",IFERROR(VALUE(LEFT('Base Encuesta'!K294,1)),"")&gt;=3),"",VALUE(LEFT('Base Encuesta'!AR294,1)))</f>
        <v/>
      </c>
    </row>
    <row r="321" spans="1:34">
      <c r="A321" t="str">
        <f>IF('Base Encuesta'!C295="","",'Base Encuesta'!C295)</f>
        <v/>
      </c>
      <c r="B321" t="str">
        <f>IF('Base Encuesta'!D295="","",'Base Encuesta'!D295)</f>
        <v/>
      </c>
      <c r="C321" t="str">
        <f>IF('Base Encuesta'!E295="","",'Base Encuesta'!E295)</f>
        <v/>
      </c>
      <c r="D321" t="str">
        <f>IF('Base Encuesta'!F295="","",'Base Encuesta'!F295)</f>
        <v/>
      </c>
      <c r="E321" t="str">
        <f>IF('Base Encuesta'!G295="","",'Base Encuesta'!G295)</f>
        <v/>
      </c>
      <c r="F321" t="str">
        <f>IF('Base Encuesta'!H295="","",'Base Encuesta'!H295)</f>
        <v/>
      </c>
      <c r="G321" t="str">
        <f>IF('Base Encuesta'!I295="","",'Base Encuesta'!I295)</f>
        <v/>
      </c>
      <c r="H321" t="str">
        <f>IF('Base Encuesta'!J295="","",'Base Encuesta'!J295)</f>
        <v/>
      </c>
      <c r="I321" t="str">
        <f>IF('Base Encuesta'!K295="","",'Base Encuesta'!K295)</f>
        <v/>
      </c>
      <c r="J321" t="str">
        <f>IF(OR('Base Encuesta'!P295="",IFERROR(VALUE(LEFT('Base Encuesta'!K295,1)),"")&gt;=3),"",PROPER(TRIM('Base Encuesta'!P295)))</f>
        <v/>
      </c>
      <c r="K321" t="str">
        <f>IF(OR('Base Encuesta'!Q295="",IFERROR(VALUE(LEFT('Base Encuesta'!K295,1)),"")&gt;=3),"",'Base Encuesta'!Q295)</f>
        <v/>
      </c>
      <c r="L321" t="str">
        <f>IF(OR('Base Encuesta'!R295="",IFERROR(VALUE(LEFT('Base Encuesta'!K295,1)),"")&gt;=3),"",VALUE(LEFT('Base Encuesta'!R295,1)))</f>
        <v/>
      </c>
      <c r="M321" t="str">
        <f>IF(OR('Base Encuesta'!S295="",IFERROR(VALUE(LEFT('Base Encuesta'!K295,1)),"")&gt;=3),"",VALUE(LEFT('Base Encuesta'!S295,1)))</f>
        <v/>
      </c>
      <c r="N321" t="str">
        <f>IF(OR('Base Encuesta'!T295="",IFERROR(VALUE(LEFT('Base Encuesta'!K295,1)),"")&gt;=3),"",VALUE(LEFT('Base Encuesta'!T295,1)))</f>
        <v/>
      </c>
      <c r="O321" t="str">
        <f>IF(OR('Base Encuesta'!V295="",IFERROR(VALUE(LEFT('Base Encuesta'!K295,1)),"")&gt;=3),"",VALUE(LEFT('Base Encuesta'!V295,1)))</f>
        <v/>
      </c>
      <c r="P321" t="str">
        <f>IF(OR('Base Encuesta'!W295="",IFERROR(VALUE(LEFT('Base Encuesta'!K295,1)),"")&gt;=3),"",VALUE(LEFT('Base Encuesta'!W295,1)))</f>
        <v/>
      </c>
      <c r="Q321" t="str">
        <f>IF(OR('Base Encuesta'!X295="",IFERROR(VALUE(LEFT('Base Encuesta'!K295,1)),"")&gt;=3),"",VALUE(LEFT('Base Encuesta'!X295,1)))</f>
        <v/>
      </c>
      <c r="R321" t="str">
        <f>IF(OR('Base Encuesta'!Y295="",IFERROR(VALUE(LEFT('Base Encuesta'!K295,1)),"")&gt;=3),"",VALUE(LEFT('Base Encuesta'!Y295,1)))</f>
        <v/>
      </c>
      <c r="S321" t="str">
        <f>IF(OR('Base Encuesta'!Z295="",IFERROR(VALUE(LEFT('Base Encuesta'!K295,1)),"")&gt;=3),"",VALUE(LEFT('Base Encuesta'!Z295,1)))</f>
        <v/>
      </c>
      <c r="T321" t="str">
        <f>IF(OR('Base Encuesta'!AA295="",IFERROR(VALUE(LEFT('Base Encuesta'!K295,1)),"")&gt;=3),"",VALUE(LEFT('Base Encuesta'!AA295,1)))</f>
        <v/>
      </c>
      <c r="U321" t="str">
        <f>IF(OR('Base Encuesta'!AB295="",IFERROR(VALUE(LEFT('Base Encuesta'!K295,1)),"")&gt;=3),"",VALUE(LEFT('Base Encuesta'!AB295,1)))</f>
        <v/>
      </c>
      <c r="V321" t="str">
        <f>IF(OR('Base Encuesta'!AC295="",IFERROR(VALUE(LEFT('Base Encuesta'!K295,1)),"")&gt;=3),"",VALUE(LEFT('Base Encuesta'!AC295,1)))</f>
        <v/>
      </c>
      <c r="W321" t="str">
        <f>IF(OR('Base Encuesta'!AE295="",IFERROR(VALUE(LEFT('Base Encuesta'!K295,1)),"")&gt;=3),"",VALUE(LEFT('Base Encuesta'!AE295,1)))</f>
        <v/>
      </c>
      <c r="X321" t="str">
        <f>IF(OR('Base Encuesta'!AF295="",IFERROR(VALUE(LEFT('Base Encuesta'!K295,1)),"")&gt;=3),"",IF(W321=1,VALUE(LEFT('Base Encuesta'!AF295,1)),""))</f>
        <v/>
      </c>
      <c r="Y321" t="str">
        <f>IF(OR('Base Encuesta'!AG295="",IFERROR(VALUE(LEFT('Base Encuesta'!K295,1)),"")&gt;=3),"",IF(W321=1,VALUE(LEFT('Base Encuesta'!AG295,1)),""))</f>
        <v/>
      </c>
      <c r="Z321" t="str">
        <f>IF(OR('Base Encuesta'!AH295="",IFERROR(VALUE(LEFT('Base Encuesta'!K295,1)),"")&gt;=3),"",IF(W321=1,VALUE(LEFT('Base Encuesta'!AH295,1)),""))</f>
        <v/>
      </c>
      <c r="AA321" t="str">
        <f>IF(OR('Base Encuesta'!AI295="",IFERROR(VALUE(LEFT('Base Encuesta'!K295,1)),"")&gt;=3),"",IF(W321=1,VALUE(LEFT('Base Encuesta'!AI295,1)),""))</f>
        <v/>
      </c>
      <c r="AB321" t="str">
        <f>IF(OR('Base Encuesta'!AJ295="",IFERROR(VALUE(LEFT('Base Encuesta'!K295,1)),"")&gt;=3),"",IF(W321=1,VALUE(LEFT('Base Encuesta'!AJ295,1)),""))</f>
        <v/>
      </c>
      <c r="AC321" t="str">
        <f>IF(OR('Base Encuesta'!AL295="",IFERROR(VALUE(LEFT('Base Encuesta'!K295,1)),"")&gt;=3),"",VALUE(LEFT('Base Encuesta'!AL295,1)))</f>
        <v/>
      </c>
      <c r="AD321" t="str">
        <f>IF(OR('Base Encuesta'!AM295="",IFERROR(VALUE(LEFT('Base Encuesta'!K295,1)),"")&gt;=3),"",VALUE(LEFT('Base Encuesta'!AM295,1)))</f>
        <v/>
      </c>
      <c r="AE321" t="str">
        <f>IF(OR('Base Encuesta'!AN295="",IFERROR(VALUE(LEFT('Base Encuesta'!K295,1)),"")&gt;=3),"",VALUE(LEFT('Base Encuesta'!AN295,1)))</f>
        <v/>
      </c>
      <c r="AF321" t="str">
        <f>IF(OR('Base Encuesta'!AO295="",IFERROR(VALUE(LEFT('Base Encuesta'!K295,1)),"")&gt;=3),"",VALUE(LEFT('Base Encuesta'!AO295,1)))</f>
        <v/>
      </c>
      <c r="AG321" t="str">
        <f>IF(OR('Base Encuesta'!AQ295="",IFERROR(VALUE(LEFT('Base Encuesta'!K295,1)),"")&gt;=3),"",VALUE(LEFT('Base Encuesta'!AQ295,1)))</f>
        <v/>
      </c>
      <c r="AH321" t="str">
        <f>IF(OR('Base Encuesta'!AR295="",IFERROR(VALUE(LEFT('Base Encuesta'!K295,1)),"")&gt;=3),"",VALUE(LEFT('Base Encuesta'!AR295,1)))</f>
        <v/>
      </c>
    </row>
    <row r="322" spans="1:34">
      <c r="A322" t="str">
        <f>IF('Base Encuesta'!C296="","",'Base Encuesta'!C296)</f>
        <v/>
      </c>
      <c r="B322" t="str">
        <f>IF('Base Encuesta'!D296="","",'Base Encuesta'!D296)</f>
        <v/>
      </c>
      <c r="C322" t="str">
        <f>IF('Base Encuesta'!E296="","",'Base Encuesta'!E296)</f>
        <v/>
      </c>
      <c r="D322" t="str">
        <f>IF('Base Encuesta'!F296="","",'Base Encuesta'!F296)</f>
        <v/>
      </c>
      <c r="E322" t="str">
        <f>IF('Base Encuesta'!G296="","",'Base Encuesta'!G296)</f>
        <v/>
      </c>
      <c r="F322" t="str">
        <f>IF('Base Encuesta'!H296="","",'Base Encuesta'!H296)</f>
        <v/>
      </c>
      <c r="G322" t="str">
        <f>IF('Base Encuesta'!I296="","",'Base Encuesta'!I296)</f>
        <v/>
      </c>
      <c r="H322" t="str">
        <f>IF('Base Encuesta'!J296="","",'Base Encuesta'!J296)</f>
        <v/>
      </c>
      <c r="I322" t="str">
        <f>IF('Base Encuesta'!K296="","",'Base Encuesta'!K296)</f>
        <v/>
      </c>
      <c r="J322" t="str">
        <f>IF(OR('Base Encuesta'!P296="",IFERROR(VALUE(LEFT('Base Encuesta'!K296,1)),"")&gt;=3),"",PROPER(TRIM('Base Encuesta'!P296)))</f>
        <v/>
      </c>
      <c r="K322" t="str">
        <f>IF(OR('Base Encuesta'!Q296="",IFERROR(VALUE(LEFT('Base Encuesta'!K296,1)),"")&gt;=3),"",'Base Encuesta'!Q296)</f>
        <v/>
      </c>
      <c r="L322" t="str">
        <f>IF(OR('Base Encuesta'!R296="",IFERROR(VALUE(LEFT('Base Encuesta'!K296,1)),"")&gt;=3),"",VALUE(LEFT('Base Encuesta'!R296,1)))</f>
        <v/>
      </c>
      <c r="M322" t="str">
        <f>IF(OR('Base Encuesta'!S296="",IFERROR(VALUE(LEFT('Base Encuesta'!K296,1)),"")&gt;=3),"",VALUE(LEFT('Base Encuesta'!S296,1)))</f>
        <v/>
      </c>
      <c r="N322" t="str">
        <f>IF(OR('Base Encuesta'!T296="",IFERROR(VALUE(LEFT('Base Encuesta'!K296,1)),"")&gt;=3),"",VALUE(LEFT('Base Encuesta'!T296,1)))</f>
        <v/>
      </c>
      <c r="O322" t="str">
        <f>IF(OR('Base Encuesta'!V296="",IFERROR(VALUE(LEFT('Base Encuesta'!K296,1)),"")&gt;=3),"",VALUE(LEFT('Base Encuesta'!V296,1)))</f>
        <v/>
      </c>
      <c r="P322" t="str">
        <f>IF(OR('Base Encuesta'!W296="",IFERROR(VALUE(LEFT('Base Encuesta'!K296,1)),"")&gt;=3),"",VALUE(LEFT('Base Encuesta'!W296,1)))</f>
        <v/>
      </c>
      <c r="Q322" t="str">
        <f>IF(OR('Base Encuesta'!X296="",IFERROR(VALUE(LEFT('Base Encuesta'!K296,1)),"")&gt;=3),"",VALUE(LEFT('Base Encuesta'!X296,1)))</f>
        <v/>
      </c>
      <c r="R322" t="str">
        <f>IF(OR('Base Encuesta'!Y296="",IFERROR(VALUE(LEFT('Base Encuesta'!K296,1)),"")&gt;=3),"",VALUE(LEFT('Base Encuesta'!Y296,1)))</f>
        <v/>
      </c>
      <c r="S322" t="str">
        <f>IF(OR('Base Encuesta'!Z296="",IFERROR(VALUE(LEFT('Base Encuesta'!K296,1)),"")&gt;=3),"",VALUE(LEFT('Base Encuesta'!Z296,1)))</f>
        <v/>
      </c>
      <c r="T322" t="str">
        <f>IF(OR('Base Encuesta'!AA296="",IFERROR(VALUE(LEFT('Base Encuesta'!K296,1)),"")&gt;=3),"",VALUE(LEFT('Base Encuesta'!AA296,1)))</f>
        <v/>
      </c>
      <c r="U322" t="str">
        <f>IF(OR('Base Encuesta'!AB296="",IFERROR(VALUE(LEFT('Base Encuesta'!K296,1)),"")&gt;=3),"",VALUE(LEFT('Base Encuesta'!AB296,1)))</f>
        <v/>
      </c>
      <c r="V322" t="str">
        <f>IF(OR('Base Encuesta'!AC296="",IFERROR(VALUE(LEFT('Base Encuesta'!K296,1)),"")&gt;=3),"",VALUE(LEFT('Base Encuesta'!AC296,1)))</f>
        <v/>
      </c>
      <c r="W322" t="str">
        <f>IF(OR('Base Encuesta'!AE296="",IFERROR(VALUE(LEFT('Base Encuesta'!K296,1)),"")&gt;=3),"",VALUE(LEFT('Base Encuesta'!AE296,1)))</f>
        <v/>
      </c>
      <c r="X322" t="str">
        <f>IF(OR('Base Encuesta'!AF296="",IFERROR(VALUE(LEFT('Base Encuesta'!K296,1)),"")&gt;=3),"",IF(W322=1,VALUE(LEFT('Base Encuesta'!AF296,1)),""))</f>
        <v/>
      </c>
      <c r="Y322" t="str">
        <f>IF(OR('Base Encuesta'!AG296="",IFERROR(VALUE(LEFT('Base Encuesta'!K296,1)),"")&gt;=3),"",IF(W322=1,VALUE(LEFT('Base Encuesta'!AG296,1)),""))</f>
        <v/>
      </c>
      <c r="Z322" t="str">
        <f>IF(OR('Base Encuesta'!AH296="",IFERROR(VALUE(LEFT('Base Encuesta'!K296,1)),"")&gt;=3),"",IF(W322=1,VALUE(LEFT('Base Encuesta'!AH296,1)),""))</f>
        <v/>
      </c>
      <c r="AA322" t="str">
        <f>IF(OR('Base Encuesta'!AI296="",IFERROR(VALUE(LEFT('Base Encuesta'!K296,1)),"")&gt;=3),"",IF(W322=1,VALUE(LEFT('Base Encuesta'!AI296,1)),""))</f>
        <v/>
      </c>
      <c r="AB322" t="str">
        <f>IF(OR('Base Encuesta'!AJ296="",IFERROR(VALUE(LEFT('Base Encuesta'!K296,1)),"")&gt;=3),"",IF(W322=1,VALUE(LEFT('Base Encuesta'!AJ296,1)),""))</f>
        <v/>
      </c>
      <c r="AC322" t="str">
        <f>IF(OR('Base Encuesta'!AL296="",IFERROR(VALUE(LEFT('Base Encuesta'!K296,1)),"")&gt;=3),"",VALUE(LEFT('Base Encuesta'!AL296,1)))</f>
        <v/>
      </c>
      <c r="AD322" t="str">
        <f>IF(OR('Base Encuesta'!AM296="",IFERROR(VALUE(LEFT('Base Encuesta'!K296,1)),"")&gt;=3),"",VALUE(LEFT('Base Encuesta'!AM296,1)))</f>
        <v/>
      </c>
      <c r="AE322" t="str">
        <f>IF(OR('Base Encuesta'!AN296="",IFERROR(VALUE(LEFT('Base Encuesta'!K296,1)),"")&gt;=3),"",VALUE(LEFT('Base Encuesta'!AN296,1)))</f>
        <v/>
      </c>
      <c r="AF322" t="str">
        <f>IF(OR('Base Encuesta'!AO296="",IFERROR(VALUE(LEFT('Base Encuesta'!K296,1)),"")&gt;=3),"",VALUE(LEFT('Base Encuesta'!AO296,1)))</f>
        <v/>
      </c>
      <c r="AG322" t="str">
        <f>IF(OR('Base Encuesta'!AQ296="",IFERROR(VALUE(LEFT('Base Encuesta'!K296,1)),"")&gt;=3),"",VALUE(LEFT('Base Encuesta'!AQ296,1)))</f>
        <v/>
      </c>
      <c r="AH322" t="str">
        <f>IF(OR('Base Encuesta'!AR296="",IFERROR(VALUE(LEFT('Base Encuesta'!K296,1)),"")&gt;=3),"",VALUE(LEFT('Base Encuesta'!AR296,1)))</f>
        <v/>
      </c>
    </row>
    <row r="323" spans="1:34">
      <c r="A323" t="str">
        <f>IF('Base Encuesta'!C297="","",'Base Encuesta'!C297)</f>
        <v/>
      </c>
      <c r="B323" t="str">
        <f>IF('Base Encuesta'!D297="","",'Base Encuesta'!D297)</f>
        <v/>
      </c>
      <c r="C323" t="str">
        <f>IF('Base Encuesta'!E297="","",'Base Encuesta'!E297)</f>
        <v/>
      </c>
      <c r="D323" t="str">
        <f>IF('Base Encuesta'!F297="","",'Base Encuesta'!F297)</f>
        <v/>
      </c>
      <c r="E323" t="str">
        <f>IF('Base Encuesta'!G297="","",'Base Encuesta'!G297)</f>
        <v/>
      </c>
      <c r="F323" t="str">
        <f>IF('Base Encuesta'!H297="","",'Base Encuesta'!H297)</f>
        <v/>
      </c>
      <c r="G323" t="str">
        <f>IF('Base Encuesta'!I297="","",'Base Encuesta'!I297)</f>
        <v/>
      </c>
      <c r="H323" t="str">
        <f>IF('Base Encuesta'!J297="","",'Base Encuesta'!J297)</f>
        <v/>
      </c>
      <c r="I323" t="str">
        <f>IF('Base Encuesta'!K297="","",'Base Encuesta'!K297)</f>
        <v/>
      </c>
      <c r="J323" t="str">
        <f>IF(OR('Base Encuesta'!P297="",IFERROR(VALUE(LEFT('Base Encuesta'!K297,1)),"")&gt;=3),"",PROPER(TRIM('Base Encuesta'!P297)))</f>
        <v/>
      </c>
      <c r="K323" t="str">
        <f>IF(OR('Base Encuesta'!Q297="",IFERROR(VALUE(LEFT('Base Encuesta'!K297,1)),"")&gt;=3),"",'Base Encuesta'!Q297)</f>
        <v/>
      </c>
      <c r="L323" t="str">
        <f>IF(OR('Base Encuesta'!R297="",IFERROR(VALUE(LEFT('Base Encuesta'!K297,1)),"")&gt;=3),"",VALUE(LEFT('Base Encuesta'!R297,1)))</f>
        <v/>
      </c>
      <c r="M323" t="str">
        <f>IF(OR('Base Encuesta'!S297="",IFERROR(VALUE(LEFT('Base Encuesta'!K297,1)),"")&gt;=3),"",VALUE(LEFT('Base Encuesta'!S297,1)))</f>
        <v/>
      </c>
      <c r="N323" t="str">
        <f>IF(OR('Base Encuesta'!T297="",IFERROR(VALUE(LEFT('Base Encuesta'!K297,1)),"")&gt;=3),"",VALUE(LEFT('Base Encuesta'!T297,1)))</f>
        <v/>
      </c>
      <c r="O323" t="str">
        <f>IF(OR('Base Encuesta'!V297="",IFERROR(VALUE(LEFT('Base Encuesta'!K297,1)),"")&gt;=3),"",VALUE(LEFT('Base Encuesta'!V297,1)))</f>
        <v/>
      </c>
      <c r="P323" t="str">
        <f>IF(OR('Base Encuesta'!W297="",IFERROR(VALUE(LEFT('Base Encuesta'!K297,1)),"")&gt;=3),"",VALUE(LEFT('Base Encuesta'!W297,1)))</f>
        <v/>
      </c>
      <c r="Q323" t="str">
        <f>IF(OR('Base Encuesta'!X297="",IFERROR(VALUE(LEFT('Base Encuesta'!K297,1)),"")&gt;=3),"",VALUE(LEFT('Base Encuesta'!X297,1)))</f>
        <v/>
      </c>
      <c r="R323" t="str">
        <f>IF(OR('Base Encuesta'!Y297="",IFERROR(VALUE(LEFT('Base Encuesta'!K297,1)),"")&gt;=3),"",VALUE(LEFT('Base Encuesta'!Y297,1)))</f>
        <v/>
      </c>
      <c r="S323" t="str">
        <f>IF(OR('Base Encuesta'!Z297="",IFERROR(VALUE(LEFT('Base Encuesta'!K297,1)),"")&gt;=3),"",VALUE(LEFT('Base Encuesta'!Z297,1)))</f>
        <v/>
      </c>
      <c r="T323" t="str">
        <f>IF(OR('Base Encuesta'!AA297="",IFERROR(VALUE(LEFT('Base Encuesta'!K297,1)),"")&gt;=3),"",VALUE(LEFT('Base Encuesta'!AA297,1)))</f>
        <v/>
      </c>
      <c r="U323" t="str">
        <f>IF(OR('Base Encuesta'!AB297="",IFERROR(VALUE(LEFT('Base Encuesta'!K297,1)),"")&gt;=3),"",VALUE(LEFT('Base Encuesta'!AB297,1)))</f>
        <v/>
      </c>
      <c r="V323" t="str">
        <f>IF(OR('Base Encuesta'!AC297="",IFERROR(VALUE(LEFT('Base Encuesta'!K297,1)),"")&gt;=3),"",VALUE(LEFT('Base Encuesta'!AC297,1)))</f>
        <v/>
      </c>
      <c r="W323" t="str">
        <f>IF(OR('Base Encuesta'!AE297="",IFERROR(VALUE(LEFT('Base Encuesta'!K297,1)),"")&gt;=3),"",VALUE(LEFT('Base Encuesta'!AE297,1)))</f>
        <v/>
      </c>
      <c r="X323" t="str">
        <f>IF(OR('Base Encuesta'!AF297="",IFERROR(VALUE(LEFT('Base Encuesta'!K297,1)),"")&gt;=3),"",IF(W323=1,VALUE(LEFT('Base Encuesta'!AF297,1)),""))</f>
        <v/>
      </c>
      <c r="Y323" t="str">
        <f>IF(OR('Base Encuesta'!AG297="",IFERROR(VALUE(LEFT('Base Encuesta'!K297,1)),"")&gt;=3),"",IF(W323=1,VALUE(LEFT('Base Encuesta'!AG297,1)),""))</f>
        <v/>
      </c>
      <c r="Z323" t="str">
        <f>IF(OR('Base Encuesta'!AH297="",IFERROR(VALUE(LEFT('Base Encuesta'!K297,1)),"")&gt;=3),"",IF(W323=1,VALUE(LEFT('Base Encuesta'!AH297,1)),""))</f>
        <v/>
      </c>
      <c r="AA323" t="str">
        <f>IF(OR('Base Encuesta'!AI297="",IFERROR(VALUE(LEFT('Base Encuesta'!K297,1)),"")&gt;=3),"",IF(W323=1,VALUE(LEFT('Base Encuesta'!AI297,1)),""))</f>
        <v/>
      </c>
      <c r="AB323" t="str">
        <f>IF(OR('Base Encuesta'!AJ297="",IFERROR(VALUE(LEFT('Base Encuesta'!K297,1)),"")&gt;=3),"",IF(W323=1,VALUE(LEFT('Base Encuesta'!AJ297,1)),""))</f>
        <v/>
      </c>
      <c r="AC323" t="str">
        <f>IF(OR('Base Encuesta'!AL297="",IFERROR(VALUE(LEFT('Base Encuesta'!K297,1)),"")&gt;=3),"",VALUE(LEFT('Base Encuesta'!AL297,1)))</f>
        <v/>
      </c>
      <c r="AD323" t="str">
        <f>IF(OR('Base Encuesta'!AM297="",IFERROR(VALUE(LEFT('Base Encuesta'!K297,1)),"")&gt;=3),"",VALUE(LEFT('Base Encuesta'!AM297,1)))</f>
        <v/>
      </c>
      <c r="AE323" t="str">
        <f>IF(OR('Base Encuesta'!AN297="",IFERROR(VALUE(LEFT('Base Encuesta'!K297,1)),"")&gt;=3),"",VALUE(LEFT('Base Encuesta'!AN297,1)))</f>
        <v/>
      </c>
      <c r="AF323" t="str">
        <f>IF(OR('Base Encuesta'!AO297="",IFERROR(VALUE(LEFT('Base Encuesta'!K297,1)),"")&gt;=3),"",VALUE(LEFT('Base Encuesta'!AO297,1)))</f>
        <v/>
      </c>
      <c r="AG323" t="str">
        <f>IF(OR('Base Encuesta'!AQ297="",IFERROR(VALUE(LEFT('Base Encuesta'!K297,1)),"")&gt;=3),"",VALUE(LEFT('Base Encuesta'!AQ297,1)))</f>
        <v/>
      </c>
      <c r="AH323" t="str">
        <f>IF(OR('Base Encuesta'!AR297="",IFERROR(VALUE(LEFT('Base Encuesta'!K297,1)),"")&gt;=3),"",VALUE(LEFT('Base Encuesta'!AR297,1)))</f>
        <v/>
      </c>
    </row>
    <row r="324" spans="1:34">
      <c r="A324" t="str">
        <f>IF('Base Encuesta'!C298="","",'Base Encuesta'!C298)</f>
        <v/>
      </c>
      <c r="B324" t="str">
        <f>IF('Base Encuesta'!D298="","",'Base Encuesta'!D298)</f>
        <v/>
      </c>
      <c r="C324" t="str">
        <f>IF('Base Encuesta'!E298="","",'Base Encuesta'!E298)</f>
        <v/>
      </c>
      <c r="D324" t="str">
        <f>IF('Base Encuesta'!F298="","",'Base Encuesta'!F298)</f>
        <v/>
      </c>
      <c r="E324" t="str">
        <f>IF('Base Encuesta'!G298="","",'Base Encuesta'!G298)</f>
        <v/>
      </c>
      <c r="F324" t="str">
        <f>IF('Base Encuesta'!H298="","",'Base Encuesta'!H298)</f>
        <v/>
      </c>
      <c r="G324" t="str">
        <f>IF('Base Encuesta'!I298="","",'Base Encuesta'!I298)</f>
        <v/>
      </c>
      <c r="H324" t="str">
        <f>IF('Base Encuesta'!J298="","",'Base Encuesta'!J298)</f>
        <v/>
      </c>
      <c r="I324" t="str">
        <f>IF('Base Encuesta'!K298="","",'Base Encuesta'!K298)</f>
        <v/>
      </c>
      <c r="J324" t="str">
        <f>IF(OR('Base Encuesta'!P298="",IFERROR(VALUE(LEFT('Base Encuesta'!K298,1)),"")&gt;=3),"",PROPER(TRIM('Base Encuesta'!P298)))</f>
        <v/>
      </c>
      <c r="K324" t="str">
        <f>IF(OR('Base Encuesta'!Q298="",IFERROR(VALUE(LEFT('Base Encuesta'!K298,1)),"")&gt;=3),"",'Base Encuesta'!Q298)</f>
        <v/>
      </c>
      <c r="L324" t="str">
        <f>IF(OR('Base Encuesta'!R298="",IFERROR(VALUE(LEFT('Base Encuesta'!K298,1)),"")&gt;=3),"",VALUE(LEFT('Base Encuesta'!R298,1)))</f>
        <v/>
      </c>
      <c r="M324" t="str">
        <f>IF(OR('Base Encuesta'!S298="",IFERROR(VALUE(LEFT('Base Encuesta'!K298,1)),"")&gt;=3),"",VALUE(LEFT('Base Encuesta'!S298,1)))</f>
        <v/>
      </c>
      <c r="N324" t="str">
        <f>IF(OR('Base Encuesta'!T298="",IFERROR(VALUE(LEFT('Base Encuesta'!K298,1)),"")&gt;=3),"",VALUE(LEFT('Base Encuesta'!T298,1)))</f>
        <v/>
      </c>
      <c r="O324" t="str">
        <f>IF(OR('Base Encuesta'!V298="",IFERROR(VALUE(LEFT('Base Encuesta'!K298,1)),"")&gt;=3),"",VALUE(LEFT('Base Encuesta'!V298,1)))</f>
        <v/>
      </c>
      <c r="P324" t="str">
        <f>IF(OR('Base Encuesta'!W298="",IFERROR(VALUE(LEFT('Base Encuesta'!K298,1)),"")&gt;=3),"",VALUE(LEFT('Base Encuesta'!W298,1)))</f>
        <v/>
      </c>
      <c r="Q324" t="str">
        <f>IF(OR('Base Encuesta'!X298="",IFERROR(VALUE(LEFT('Base Encuesta'!K298,1)),"")&gt;=3),"",VALUE(LEFT('Base Encuesta'!X298,1)))</f>
        <v/>
      </c>
      <c r="R324" t="str">
        <f>IF(OR('Base Encuesta'!Y298="",IFERROR(VALUE(LEFT('Base Encuesta'!K298,1)),"")&gt;=3),"",VALUE(LEFT('Base Encuesta'!Y298,1)))</f>
        <v/>
      </c>
      <c r="S324" t="str">
        <f>IF(OR('Base Encuesta'!Z298="",IFERROR(VALUE(LEFT('Base Encuesta'!K298,1)),"")&gt;=3),"",VALUE(LEFT('Base Encuesta'!Z298,1)))</f>
        <v/>
      </c>
      <c r="T324" t="str">
        <f>IF(OR('Base Encuesta'!AA298="",IFERROR(VALUE(LEFT('Base Encuesta'!K298,1)),"")&gt;=3),"",VALUE(LEFT('Base Encuesta'!AA298,1)))</f>
        <v/>
      </c>
      <c r="U324" t="str">
        <f>IF(OR('Base Encuesta'!AB298="",IFERROR(VALUE(LEFT('Base Encuesta'!K298,1)),"")&gt;=3),"",VALUE(LEFT('Base Encuesta'!AB298,1)))</f>
        <v/>
      </c>
      <c r="V324" t="str">
        <f>IF(OR('Base Encuesta'!AC298="",IFERROR(VALUE(LEFT('Base Encuesta'!K298,1)),"")&gt;=3),"",VALUE(LEFT('Base Encuesta'!AC298,1)))</f>
        <v/>
      </c>
      <c r="W324" t="str">
        <f>IF(OR('Base Encuesta'!AE298="",IFERROR(VALUE(LEFT('Base Encuesta'!K298,1)),"")&gt;=3),"",VALUE(LEFT('Base Encuesta'!AE298,1)))</f>
        <v/>
      </c>
      <c r="X324" t="str">
        <f>IF(OR('Base Encuesta'!AF298="",IFERROR(VALUE(LEFT('Base Encuesta'!K298,1)),"")&gt;=3),"",IF(W324=1,VALUE(LEFT('Base Encuesta'!AF298,1)),""))</f>
        <v/>
      </c>
      <c r="Y324" t="str">
        <f>IF(OR('Base Encuesta'!AG298="",IFERROR(VALUE(LEFT('Base Encuesta'!K298,1)),"")&gt;=3),"",IF(W324=1,VALUE(LEFT('Base Encuesta'!AG298,1)),""))</f>
        <v/>
      </c>
      <c r="Z324" t="str">
        <f>IF(OR('Base Encuesta'!AH298="",IFERROR(VALUE(LEFT('Base Encuesta'!K298,1)),"")&gt;=3),"",IF(W324=1,VALUE(LEFT('Base Encuesta'!AH298,1)),""))</f>
        <v/>
      </c>
      <c r="AA324" t="str">
        <f>IF(OR('Base Encuesta'!AI298="",IFERROR(VALUE(LEFT('Base Encuesta'!K298,1)),"")&gt;=3),"",IF(W324=1,VALUE(LEFT('Base Encuesta'!AI298,1)),""))</f>
        <v/>
      </c>
      <c r="AB324" t="str">
        <f>IF(OR('Base Encuesta'!AJ298="",IFERROR(VALUE(LEFT('Base Encuesta'!K298,1)),"")&gt;=3),"",IF(W324=1,VALUE(LEFT('Base Encuesta'!AJ298,1)),""))</f>
        <v/>
      </c>
      <c r="AC324" t="str">
        <f>IF(OR('Base Encuesta'!AL298="",IFERROR(VALUE(LEFT('Base Encuesta'!K298,1)),"")&gt;=3),"",VALUE(LEFT('Base Encuesta'!AL298,1)))</f>
        <v/>
      </c>
      <c r="AD324" t="str">
        <f>IF(OR('Base Encuesta'!AM298="",IFERROR(VALUE(LEFT('Base Encuesta'!K298,1)),"")&gt;=3),"",VALUE(LEFT('Base Encuesta'!AM298,1)))</f>
        <v/>
      </c>
      <c r="AE324" t="str">
        <f>IF(OR('Base Encuesta'!AN298="",IFERROR(VALUE(LEFT('Base Encuesta'!K298,1)),"")&gt;=3),"",VALUE(LEFT('Base Encuesta'!AN298,1)))</f>
        <v/>
      </c>
      <c r="AF324" t="str">
        <f>IF(OR('Base Encuesta'!AO298="",IFERROR(VALUE(LEFT('Base Encuesta'!K298,1)),"")&gt;=3),"",VALUE(LEFT('Base Encuesta'!AO298,1)))</f>
        <v/>
      </c>
      <c r="AG324" t="str">
        <f>IF(OR('Base Encuesta'!AQ298="",IFERROR(VALUE(LEFT('Base Encuesta'!K298,1)),"")&gt;=3),"",VALUE(LEFT('Base Encuesta'!AQ298,1)))</f>
        <v/>
      </c>
      <c r="AH324" t="str">
        <f>IF(OR('Base Encuesta'!AR298="",IFERROR(VALUE(LEFT('Base Encuesta'!K298,1)),"")&gt;=3),"",VALUE(LEFT('Base Encuesta'!AR298,1)))</f>
        <v/>
      </c>
    </row>
    <row r="325" spans="1:34">
      <c r="A325" t="str">
        <f>IF('Base Encuesta'!C299="","",'Base Encuesta'!C299)</f>
        <v/>
      </c>
      <c r="B325" t="str">
        <f>IF('Base Encuesta'!D299="","",'Base Encuesta'!D299)</f>
        <v/>
      </c>
      <c r="C325" t="str">
        <f>IF('Base Encuesta'!E299="","",'Base Encuesta'!E299)</f>
        <v/>
      </c>
      <c r="D325" t="str">
        <f>IF('Base Encuesta'!F299="","",'Base Encuesta'!F299)</f>
        <v/>
      </c>
      <c r="E325" t="str">
        <f>IF('Base Encuesta'!G299="","",'Base Encuesta'!G299)</f>
        <v/>
      </c>
      <c r="F325" t="str">
        <f>IF('Base Encuesta'!H299="","",'Base Encuesta'!H299)</f>
        <v/>
      </c>
      <c r="G325" t="str">
        <f>IF('Base Encuesta'!I299="","",'Base Encuesta'!I299)</f>
        <v/>
      </c>
      <c r="H325" t="str">
        <f>IF('Base Encuesta'!J299="","",'Base Encuesta'!J299)</f>
        <v/>
      </c>
      <c r="I325" t="str">
        <f>IF('Base Encuesta'!K299="","",'Base Encuesta'!K299)</f>
        <v/>
      </c>
      <c r="J325" t="str">
        <f>IF(OR('Base Encuesta'!P299="",IFERROR(VALUE(LEFT('Base Encuesta'!K299,1)),"")&gt;=3),"",PROPER(TRIM('Base Encuesta'!P299)))</f>
        <v/>
      </c>
      <c r="K325" t="str">
        <f>IF(OR('Base Encuesta'!Q299="",IFERROR(VALUE(LEFT('Base Encuesta'!K299,1)),"")&gt;=3),"",'Base Encuesta'!Q299)</f>
        <v/>
      </c>
      <c r="L325" t="str">
        <f>IF(OR('Base Encuesta'!R299="",IFERROR(VALUE(LEFT('Base Encuesta'!K299,1)),"")&gt;=3),"",VALUE(LEFT('Base Encuesta'!R299,1)))</f>
        <v/>
      </c>
      <c r="M325" t="str">
        <f>IF(OR('Base Encuesta'!S299="",IFERROR(VALUE(LEFT('Base Encuesta'!K299,1)),"")&gt;=3),"",VALUE(LEFT('Base Encuesta'!S299,1)))</f>
        <v/>
      </c>
      <c r="N325" t="str">
        <f>IF(OR('Base Encuesta'!T299="",IFERROR(VALUE(LEFT('Base Encuesta'!K299,1)),"")&gt;=3),"",VALUE(LEFT('Base Encuesta'!T299,1)))</f>
        <v/>
      </c>
      <c r="O325" t="str">
        <f>IF(OR('Base Encuesta'!V299="",IFERROR(VALUE(LEFT('Base Encuesta'!K299,1)),"")&gt;=3),"",VALUE(LEFT('Base Encuesta'!V299,1)))</f>
        <v/>
      </c>
      <c r="P325" t="str">
        <f>IF(OR('Base Encuesta'!W299="",IFERROR(VALUE(LEFT('Base Encuesta'!K299,1)),"")&gt;=3),"",VALUE(LEFT('Base Encuesta'!W299,1)))</f>
        <v/>
      </c>
      <c r="Q325" t="str">
        <f>IF(OR('Base Encuesta'!X299="",IFERROR(VALUE(LEFT('Base Encuesta'!K299,1)),"")&gt;=3),"",VALUE(LEFT('Base Encuesta'!X299,1)))</f>
        <v/>
      </c>
      <c r="R325" t="str">
        <f>IF(OR('Base Encuesta'!Y299="",IFERROR(VALUE(LEFT('Base Encuesta'!K299,1)),"")&gt;=3),"",VALUE(LEFT('Base Encuesta'!Y299,1)))</f>
        <v/>
      </c>
      <c r="S325" t="str">
        <f>IF(OR('Base Encuesta'!Z299="",IFERROR(VALUE(LEFT('Base Encuesta'!K299,1)),"")&gt;=3),"",VALUE(LEFT('Base Encuesta'!Z299,1)))</f>
        <v/>
      </c>
      <c r="T325" t="str">
        <f>IF(OR('Base Encuesta'!AA299="",IFERROR(VALUE(LEFT('Base Encuesta'!K299,1)),"")&gt;=3),"",VALUE(LEFT('Base Encuesta'!AA299,1)))</f>
        <v/>
      </c>
      <c r="U325" t="str">
        <f>IF(OR('Base Encuesta'!AB299="",IFERROR(VALUE(LEFT('Base Encuesta'!K299,1)),"")&gt;=3),"",VALUE(LEFT('Base Encuesta'!AB299,1)))</f>
        <v/>
      </c>
      <c r="V325" t="str">
        <f>IF(OR('Base Encuesta'!AC299="",IFERROR(VALUE(LEFT('Base Encuesta'!K299,1)),"")&gt;=3),"",VALUE(LEFT('Base Encuesta'!AC299,1)))</f>
        <v/>
      </c>
      <c r="W325" t="str">
        <f>IF(OR('Base Encuesta'!AE299="",IFERROR(VALUE(LEFT('Base Encuesta'!K299,1)),"")&gt;=3),"",VALUE(LEFT('Base Encuesta'!AE299,1)))</f>
        <v/>
      </c>
      <c r="X325" t="str">
        <f>IF(OR('Base Encuesta'!AF299="",IFERROR(VALUE(LEFT('Base Encuesta'!K299,1)),"")&gt;=3),"",IF(W325=1,VALUE(LEFT('Base Encuesta'!AF299,1)),""))</f>
        <v/>
      </c>
      <c r="Y325" t="str">
        <f>IF(OR('Base Encuesta'!AG299="",IFERROR(VALUE(LEFT('Base Encuesta'!K299,1)),"")&gt;=3),"",IF(W325=1,VALUE(LEFT('Base Encuesta'!AG299,1)),""))</f>
        <v/>
      </c>
      <c r="Z325" t="str">
        <f>IF(OR('Base Encuesta'!AH299="",IFERROR(VALUE(LEFT('Base Encuesta'!K299,1)),"")&gt;=3),"",IF(W325=1,VALUE(LEFT('Base Encuesta'!AH299,1)),""))</f>
        <v/>
      </c>
      <c r="AA325" t="str">
        <f>IF(OR('Base Encuesta'!AI299="",IFERROR(VALUE(LEFT('Base Encuesta'!K299,1)),"")&gt;=3),"",IF(W325=1,VALUE(LEFT('Base Encuesta'!AI299,1)),""))</f>
        <v/>
      </c>
      <c r="AB325" t="str">
        <f>IF(OR('Base Encuesta'!AJ299="",IFERROR(VALUE(LEFT('Base Encuesta'!K299,1)),"")&gt;=3),"",IF(W325=1,VALUE(LEFT('Base Encuesta'!AJ299,1)),""))</f>
        <v/>
      </c>
      <c r="AC325" t="str">
        <f>IF(OR('Base Encuesta'!AL299="",IFERROR(VALUE(LEFT('Base Encuesta'!K299,1)),"")&gt;=3),"",VALUE(LEFT('Base Encuesta'!AL299,1)))</f>
        <v/>
      </c>
      <c r="AD325" t="str">
        <f>IF(OR('Base Encuesta'!AM299="",IFERROR(VALUE(LEFT('Base Encuesta'!K299,1)),"")&gt;=3),"",VALUE(LEFT('Base Encuesta'!AM299,1)))</f>
        <v/>
      </c>
      <c r="AE325" t="str">
        <f>IF(OR('Base Encuesta'!AN299="",IFERROR(VALUE(LEFT('Base Encuesta'!K299,1)),"")&gt;=3),"",VALUE(LEFT('Base Encuesta'!AN299,1)))</f>
        <v/>
      </c>
      <c r="AF325" t="str">
        <f>IF(OR('Base Encuesta'!AO299="",IFERROR(VALUE(LEFT('Base Encuesta'!K299,1)),"")&gt;=3),"",VALUE(LEFT('Base Encuesta'!AO299,1)))</f>
        <v/>
      </c>
      <c r="AG325" t="str">
        <f>IF(OR('Base Encuesta'!AQ299="",IFERROR(VALUE(LEFT('Base Encuesta'!K299,1)),"")&gt;=3),"",VALUE(LEFT('Base Encuesta'!AQ299,1)))</f>
        <v/>
      </c>
      <c r="AH325" t="str">
        <f>IF(OR('Base Encuesta'!AR299="",IFERROR(VALUE(LEFT('Base Encuesta'!K299,1)),"")&gt;=3),"",VALUE(LEFT('Base Encuesta'!AR299,1)))</f>
        <v/>
      </c>
    </row>
    <row r="326" spans="1:34">
      <c r="A326" t="str">
        <f>IF('Base Encuesta'!C300="","",'Base Encuesta'!C300)</f>
        <v/>
      </c>
      <c r="B326" t="str">
        <f>IF('Base Encuesta'!D300="","",'Base Encuesta'!D300)</f>
        <v/>
      </c>
      <c r="C326" t="str">
        <f>IF('Base Encuesta'!E300="","",'Base Encuesta'!E300)</f>
        <v/>
      </c>
      <c r="D326" t="str">
        <f>IF('Base Encuesta'!F300="","",'Base Encuesta'!F300)</f>
        <v/>
      </c>
      <c r="E326" t="str">
        <f>IF('Base Encuesta'!G300="","",'Base Encuesta'!G300)</f>
        <v/>
      </c>
      <c r="F326" t="str">
        <f>IF('Base Encuesta'!H300="","",'Base Encuesta'!H300)</f>
        <v/>
      </c>
      <c r="G326" t="str">
        <f>IF('Base Encuesta'!I300="","",'Base Encuesta'!I300)</f>
        <v/>
      </c>
      <c r="H326" t="str">
        <f>IF('Base Encuesta'!J300="","",'Base Encuesta'!J300)</f>
        <v/>
      </c>
      <c r="I326" t="str">
        <f>IF('Base Encuesta'!K300="","",'Base Encuesta'!K300)</f>
        <v/>
      </c>
      <c r="J326" t="str">
        <f>IF(OR('Base Encuesta'!P300="",IFERROR(VALUE(LEFT('Base Encuesta'!K300,1)),"")&gt;=3),"",PROPER(TRIM('Base Encuesta'!P300)))</f>
        <v/>
      </c>
      <c r="K326" t="str">
        <f>IF(OR('Base Encuesta'!Q300="",IFERROR(VALUE(LEFT('Base Encuesta'!K300,1)),"")&gt;=3),"",'Base Encuesta'!Q300)</f>
        <v/>
      </c>
      <c r="L326" t="str">
        <f>IF(OR('Base Encuesta'!R300="",IFERROR(VALUE(LEFT('Base Encuesta'!K300,1)),"")&gt;=3),"",VALUE(LEFT('Base Encuesta'!R300,1)))</f>
        <v/>
      </c>
      <c r="M326" t="str">
        <f>IF(OR('Base Encuesta'!S300="",IFERROR(VALUE(LEFT('Base Encuesta'!K300,1)),"")&gt;=3),"",VALUE(LEFT('Base Encuesta'!S300,1)))</f>
        <v/>
      </c>
      <c r="N326" t="str">
        <f>IF(OR('Base Encuesta'!T300="",IFERROR(VALUE(LEFT('Base Encuesta'!K300,1)),"")&gt;=3),"",VALUE(LEFT('Base Encuesta'!T300,1)))</f>
        <v/>
      </c>
      <c r="O326" t="str">
        <f>IF(OR('Base Encuesta'!V300="",IFERROR(VALUE(LEFT('Base Encuesta'!K300,1)),"")&gt;=3),"",VALUE(LEFT('Base Encuesta'!V300,1)))</f>
        <v/>
      </c>
      <c r="P326" t="str">
        <f>IF(OR('Base Encuesta'!W300="",IFERROR(VALUE(LEFT('Base Encuesta'!K300,1)),"")&gt;=3),"",VALUE(LEFT('Base Encuesta'!W300,1)))</f>
        <v/>
      </c>
      <c r="Q326" t="str">
        <f>IF(OR('Base Encuesta'!X300="",IFERROR(VALUE(LEFT('Base Encuesta'!K300,1)),"")&gt;=3),"",VALUE(LEFT('Base Encuesta'!X300,1)))</f>
        <v/>
      </c>
      <c r="R326" t="str">
        <f>IF(OR('Base Encuesta'!Y300="",IFERROR(VALUE(LEFT('Base Encuesta'!K300,1)),"")&gt;=3),"",VALUE(LEFT('Base Encuesta'!Y300,1)))</f>
        <v/>
      </c>
      <c r="S326" t="str">
        <f>IF(OR('Base Encuesta'!Z300="",IFERROR(VALUE(LEFT('Base Encuesta'!K300,1)),"")&gt;=3),"",VALUE(LEFT('Base Encuesta'!Z300,1)))</f>
        <v/>
      </c>
      <c r="T326" t="str">
        <f>IF(OR('Base Encuesta'!AA300="",IFERROR(VALUE(LEFT('Base Encuesta'!K300,1)),"")&gt;=3),"",VALUE(LEFT('Base Encuesta'!AA300,1)))</f>
        <v/>
      </c>
      <c r="U326" t="str">
        <f>IF(OR('Base Encuesta'!AB300="",IFERROR(VALUE(LEFT('Base Encuesta'!K300,1)),"")&gt;=3),"",VALUE(LEFT('Base Encuesta'!AB300,1)))</f>
        <v/>
      </c>
      <c r="V326" t="str">
        <f>IF(OR('Base Encuesta'!AC300="",IFERROR(VALUE(LEFT('Base Encuesta'!K300,1)),"")&gt;=3),"",VALUE(LEFT('Base Encuesta'!AC300,1)))</f>
        <v/>
      </c>
      <c r="W326" t="str">
        <f>IF(OR('Base Encuesta'!AE300="",IFERROR(VALUE(LEFT('Base Encuesta'!K300,1)),"")&gt;=3),"",VALUE(LEFT('Base Encuesta'!AE300,1)))</f>
        <v/>
      </c>
      <c r="X326" t="str">
        <f>IF(OR('Base Encuesta'!AF300="",IFERROR(VALUE(LEFT('Base Encuesta'!K300,1)),"")&gt;=3),"",IF(W326=1,VALUE(LEFT('Base Encuesta'!AF300,1)),""))</f>
        <v/>
      </c>
      <c r="Y326" t="str">
        <f>IF(OR('Base Encuesta'!AG300="",IFERROR(VALUE(LEFT('Base Encuesta'!K300,1)),"")&gt;=3),"",IF(W326=1,VALUE(LEFT('Base Encuesta'!AG300,1)),""))</f>
        <v/>
      </c>
      <c r="Z326" t="str">
        <f>IF(OR('Base Encuesta'!AH300="",IFERROR(VALUE(LEFT('Base Encuesta'!K300,1)),"")&gt;=3),"",IF(W326=1,VALUE(LEFT('Base Encuesta'!AH300,1)),""))</f>
        <v/>
      </c>
      <c r="AA326" t="str">
        <f>IF(OR('Base Encuesta'!AI300="",IFERROR(VALUE(LEFT('Base Encuesta'!K300,1)),"")&gt;=3),"",IF(W326=1,VALUE(LEFT('Base Encuesta'!AI300,1)),""))</f>
        <v/>
      </c>
      <c r="AB326" t="str">
        <f>IF(OR('Base Encuesta'!AJ300="",IFERROR(VALUE(LEFT('Base Encuesta'!K300,1)),"")&gt;=3),"",IF(W326=1,VALUE(LEFT('Base Encuesta'!AJ300,1)),""))</f>
        <v/>
      </c>
      <c r="AC326" t="str">
        <f>IF(OR('Base Encuesta'!AL300="",IFERROR(VALUE(LEFT('Base Encuesta'!K300,1)),"")&gt;=3),"",VALUE(LEFT('Base Encuesta'!AL300,1)))</f>
        <v/>
      </c>
      <c r="AD326" t="str">
        <f>IF(OR('Base Encuesta'!AM300="",IFERROR(VALUE(LEFT('Base Encuesta'!K300,1)),"")&gt;=3),"",VALUE(LEFT('Base Encuesta'!AM300,1)))</f>
        <v/>
      </c>
      <c r="AE326" t="str">
        <f>IF(OR('Base Encuesta'!AN300="",IFERROR(VALUE(LEFT('Base Encuesta'!K300,1)),"")&gt;=3),"",VALUE(LEFT('Base Encuesta'!AN300,1)))</f>
        <v/>
      </c>
      <c r="AF326" t="str">
        <f>IF(OR('Base Encuesta'!AO300="",IFERROR(VALUE(LEFT('Base Encuesta'!K300,1)),"")&gt;=3),"",VALUE(LEFT('Base Encuesta'!AO300,1)))</f>
        <v/>
      </c>
      <c r="AG326" t="str">
        <f>IF(OR('Base Encuesta'!AQ300="",IFERROR(VALUE(LEFT('Base Encuesta'!K300,1)),"")&gt;=3),"",VALUE(LEFT('Base Encuesta'!AQ300,1)))</f>
        <v/>
      </c>
      <c r="AH326" t="str">
        <f>IF(OR('Base Encuesta'!AR300="",IFERROR(VALUE(LEFT('Base Encuesta'!K300,1)),"")&gt;=3),"",VALUE(LEFT('Base Encuesta'!AR300,1)))</f>
        <v/>
      </c>
    </row>
    <row r="327" spans="1:34">
      <c r="A327" t="str">
        <f>IF('Base Encuesta'!C301="","",'Base Encuesta'!C301)</f>
        <v/>
      </c>
      <c r="B327" t="str">
        <f>IF('Base Encuesta'!D301="","",'Base Encuesta'!D301)</f>
        <v/>
      </c>
      <c r="C327" t="str">
        <f>IF('Base Encuesta'!E301="","",'Base Encuesta'!E301)</f>
        <v/>
      </c>
      <c r="D327" t="str">
        <f>IF('Base Encuesta'!F301="","",'Base Encuesta'!F301)</f>
        <v/>
      </c>
      <c r="E327" t="str">
        <f>IF('Base Encuesta'!G301="","",'Base Encuesta'!G301)</f>
        <v/>
      </c>
      <c r="F327" t="str">
        <f>IF('Base Encuesta'!H301="","",'Base Encuesta'!H301)</f>
        <v/>
      </c>
      <c r="G327" t="str">
        <f>IF('Base Encuesta'!I301="","",'Base Encuesta'!I301)</f>
        <v/>
      </c>
      <c r="H327" t="str">
        <f>IF('Base Encuesta'!J301="","",'Base Encuesta'!J301)</f>
        <v/>
      </c>
      <c r="I327" t="str">
        <f>IF('Base Encuesta'!K301="","",'Base Encuesta'!K301)</f>
        <v/>
      </c>
      <c r="J327" t="str">
        <f>IF(OR('Base Encuesta'!P301="",IFERROR(VALUE(LEFT('Base Encuesta'!K301,1)),"")&gt;=3),"",PROPER(TRIM('Base Encuesta'!P301)))</f>
        <v/>
      </c>
      <c r="K327" t="str">
        <f>IF(OR('Base Encuesta'!Q301="",IFERROR(VALUE(LEFT('Base Encuesta'!K301,1)),"")&gt;=3),"",'Base Encuesta'!Q301)</f>
        <v/>
      </c>
      <c r="L327" t="str">
        <f>IF(OR('Base Encuesta'!R301="",IFERROR(VALUE(LEFT('Base Encuesta'!K301,1)),"")&gt;=3),"",VALUE(LEFT('Base Encuesta'!R301,1)))</f>
        <v/>
      </c>
      <c r="M327" t="str">
        <f>IF(OR('Base Encuesta'!S301="",IFERROR(VALUE(LEFT('Base Encuesta'!K301,1)),"")&gt;=3),"",VALUE(LEFT('Base Encuesta'!S301,1)))</f>
        <v/>
      </c>
      <c r="N327" t="str">
        <f>IF(OR('Base Encuesta'!T301="",IFERROR(VALUE(LEFT('Base Encuesta'!K301,1)),"")&gt;=3),"",VALUE(LEFT('Base Encuesta'!T301,1)))</f>
        <v/>
      </c>
      <c r="O327" t="str">
        <f>IF(OR('Base Encuesta'!V301="",IFERROR(VALUE(LEFT('Base Encuesta'!K301,1)),"")&gt;=3),"",VALUE(LEFT('Base Encuesta'!V301,1)))</f>
        <v/>
      </c>
      <c r="P327" t="str">
        <f>IF(OR('Base Encuesta'!W301="",IFERROR(VALUE(LEFT('Base Encuesta'!K301,1)),"")&gt;=3),"",VALUE(LEFT('Base Encuesta'!W301,1)))</f>
        <v/>
      </c>
      <c r="Q327" t="str">
        <f>IF(OR('Base Encuesta'!X301="",IFERROR(VALUE(LEFT('Base Encuesta'!K301,1)),"")&gt;=3),"",VALUE(LEFT('Base Encuesta'!X301,1)))</f>
        <v/>
      </c>
      <c r="R327" t="str">
        <f>IF(OR('Base Encuesta'!Y301="",IFERROR(VALUE(LEFT('Base Encuesta'!K301,1)),"")&gt;=3),"",VALUE(LEFT('Base Encuesta'!Y301,1)))</f>
        <v/>
      </c>
      <c r="S327" t="str">
        <f>IF(OR('Base Encuesta'!Z301="",IFERROR(VALUE(LEFT('Base Encuesta'!K301,1)),"")&gt;=3),"",VALUE(LEFT('Base Encuesta'!Z301,1)))</f>
        <v/>
      </c>
      <c r="T327" t="str">
        <f>IF(OR('Base Encuesta'!AA301="",IFERROR(VALUE(LEFT('Base Encuesta'!K301,1)),"")&gt;=3),"",VALUE(LEFT('Base Encuesta'!AA301,1)))</f>
        <v/>
      </c>
      <c r="U327" t="str">
        <f>IF(OR('Base Encuesta'!AB301="",IFERROR(VALUE(LEFT('Base Encuesta'!K301,1)),"")&gt;=3),"",VALUE(LEFT('Base Encuesta'!AB301,1)))</f>
        <v/>
      </c>
      <c r="V327" t="str">
        <f>IF(OR('Base Encuesta'!AC301="",IFERROR(VALUE(LEFT('Base Encuesta'!K301,1)),"")&gt;=3),"",VALUE(LEFT('Base Encuesta'!AC301,1)))</f>
        <v/>
      </c>
      <c r="W327" t="str">
        <f>IF(OR('Base Encuesta'!AE301="",IFERROR(VALUE(LEFT('Base Encuesta'!K301,1)),"")&gt;=3),"",VALUE(LEFT('Base Encuesta'!AE301,1)))</f>
        <v/>
      </c>
      <c r="X327" t="str">
        <f>IF(OR('Base Encuesta'!AF301="",IFERROR(VALUE(LEFT('Base Encuesta'!K301,1)),"")&gt;=3),"",IF(W327=1,VALUE(LEFT('Base Encuesta'!AF301,1)),""))</f>
        <v/>
      </c>
      <c r="Y327" t="str">
        <f>IF(OR('Base Encuesta'!AG301="",IFERROR(VALUE(LEFT('Base Encuesta'!K301,1)),"")&gt;=3),"",IF(W327=1,VALUE(LEFT('Base Encuesta'!AG301,1)),""))</f>
        <v/>
      </c>
      <c r="Z327" t="str">
        <f>IF(OR('Base Encuesta'!AH301="",IFERROR(VALUE(LEFT('Base Encuesta'!K301,1)),"")&gt;=3),"",IF(W327=1,VALUE(LEFT('Base Encuesta'!AH301,1)),""))</f>
        <v/>
      </c>
      <c r="AA327" t="str">
        <f>IF(OR('Base Encuesta'!AI301="",IFERROR(VALUE(LEFT('Base Encuesta'!K301,1)),"")&gt;=3),"",IF(W327=1,VALUE(LEFT('Base Encuesta'!AI301,1)),""))</f>
        <v/>
      </c>
      <c r="AB327" t="str">
        <f>IF(OR('Base Encuesta'!AJ301="",IFERROR(VALUE(LEFT('Base Encuesta'!K301,1)),"")&gt;=3),"",IF(W327=1,VALUE(LEFT('Base Encuesta'!AJ301,1)),""))</f>
        <v/>
      </c>
      <c r="AC327" t="str">
        <f>IF(OR('Base Encuesta'!AL301="",IFERROR(VALUE(LEFT('Base Encuesta'!K301,1)),"")&gt;=3),"",VALUE(LEFT('Base Encuesta'!AL301,1)))</f>
        <v/>
      </c>
      <c r="AD327" t="str">
        <f>IF(OR('Base Encuesta'!AM301="",IFERROR(VALUE(LEFT('Base Encuesta'!K301,1)),"")&gt;=3),"",VALUE(LEFT('Base Encuesta'!AM301,1)))</f>
        <v/>
      </c>
      <c r="AE327" t="str">
        <f>IF(OR('Base Encuesta'!AN301="",IFERROR(VALUE(LEFT('Base Encuesta'!K301,1)),"")&gt;=3),"",VALUE(LEFT('Base Encuesta'!AN301,1)))</f>
        <v/>
      </c>
      <c r="AF327" t="str">
        <f>IF(OR('Base Encuesta'!AO301="",IFERROR(VALUE(LEFT('Base Encuesta'!K301,1)),"")&gt;=3),"",VALUE(LEFT('Base Encuesta'!AO301,1)))</f>
        <v/>
      </c>
      <c r="AG327" t="str">
        <f>IF(OR('Base Encuesta'!AQ301="",IFERROR(VALUE(LEFT('Base Encuesta'!K301,1)),"")&gt;=3),"",VALUE(LEFT('Base Encuesta'!AQ301,1)))</f>
        <v/>
      </c>
      <c r="AH327" t="str">
        <f>IF(OR('Base Encuesta'!AR301="",IFERROR(VALUE(LEFT('Base Encuesta'!K301,1)),"")&gt;=3),"",VALUE(LEFT('Base Encuesta'!AR301,1)))</f>
        <v/>
      </c>
    </row>
    <row r="328" spans="1:34">
      <c r="A328" t="str">
        <f>IF('Base Encuesta'!C302="","",'Base Encuesta'!C302)</f>
        <v/>
      </c>
      <c r="B328" t="str">
        <f>IF('Base Encuesta'!D302="","",'Base Encuesta'!D302)</f>
        <v/>
      </c>
      <c r="C328" t="str">
        <f>IF('Base Encuesta'!E302="","",'Base Encuesta'!E302)</f>
        <v/>
      </c>
      <c r="D328" t="str">
        <f>IF('Base Encuesta'!F302="","",'Base Encuesta'!F302)</f>
        <v/>
      </c>
      <c r="E328" t="str">
        <f>IF('Base Encuesta'!G302="","",'Base Encuesta'!G302)</f>
        <v/>
      </c>
      <c r="F328" t="str">
        <f>IF('Base Encuesta'!H302="","",'Base Encuesta'!H302)</f>
        <v/>
      </c>
      <c r="G328" t="str">
        <f>IF('Base Encuesta'!I302="","",'Base Encuesta'!I302)</f>
        <v/>
      </c>
      <c r="H328" t="str">
        <f>IF('Base Encuesta'!J302="","",'Base Encuesta'!J302)</f>
        <v/>
      </c>
      <c r="I328" t="str">
        <f>IF('Base Encuesta'!K302="","",'Base Encuesta'!K302)</f>
        <v/>
      </c>
      <c r="J328" t="str">
        <f>IF(OR('Base Encuesta'!P302="",IFERROR(VALUE(LEFT('Base Encuesta'!K302,1)),"")&gt;=3),"",PROPER(TRIM('Base Encuesta'!P302)))</f>
        <v/>
      </c>
      <c r="K328" t="str">
        <f>IF(OR('Base Encuesta'!Q302="",IFERROR(VALUE(LEFT('Base Encuesta'!K302,1)),"")&gt;=3),"",'Base Encuesta'!Q302)</f>
        <v/>
      </c>
      <c r="L328" t="str">
        <f>IF(OR('Base Encuesta'!R302="",IFERROR(VALUE(LEFT('Base Encuesta'!K302,1)),"")&gt;=3),"",VALUE(LEFT('Base Encuesta'!R302,1)))</f>
        <v/>
      </c>
      <c r="M328" t="str">
        <f>IF(OR('Base Encuesta'!S302="",IFERROR(VALUE(LEFT('Base Encuesta'!K302,1)),"")&gt;=3),"",VALUE(LEFT('Base Encuesta'!S302,1)))</f>
        <v/>
      </c>
      <c r="N328" t="str">
        <f>IF(OR('Base Encuesta'!T302="",IFERROR(VALUE(LEFT('Base Encuesta'!K302,1)),"")&gt;=3),"",VALUE(LEFT('Base Encuesta'!T302,1)))</f>
        <v/>
      </c>
      <c r="O328" t="str">
        <f>IF(OR('Base Encuesta'!V302="",IFERROR(VALUE(LEFT('Base Encuesta'!K302,1)),"")&gt;=3),"",VALUE(LEFT('Base Encuesta'!V302,1)))</f>
        <v/>
      </c>
      <c r="P328" t="str">
        <f>IF(OR('Base Encuesta'!W302="",IFERROR(VALUE(LEFT('Base Encuesta'!K302,1)),"")&gt;=3),"",VALUE(LEFT('Base Encuesta'!W302,1)))</f>
        <v/>
      </c>
      <c r="Q328" t="str">
        <f>IF(OR('Base Encuesta'!X302="",IFERROR(VALUE(LEFT('Base Encuesta'!K302,1)),"")&gt;=3),"",VALUE(LEFT('Base Encuesta'!X302,1)))</f>
        <v/>
      </c>
      <c r="R328" t="str">
        <f>IF(OR('Base Encuesta'!Y302="",IFERROR(VALUE(LEFT('Base Encuesta'!K302,1)),"")&gt;=3),"",VALUE(LEFT('Base Encuesta'!Y302,1)))</f>
        <v/>
      </c>
      <c r="S328" t="str">
        <f>IF(OR('Base Encuesta'!Z302="",IFERROR(VALUE(LEFT('Base Encuesta'!K302,1)),"")&gt;=3),"",VALUE(LEFT('Base Encuesta'!Z302,1)))</f>
        <v/>
      </c>
      <c r="T328" t="str">
        <f>IF(OR('Base Encuesta'!AA302="",IFERROR(VALUE(LEFT('Base Encuesta'!K302,1)),"")&gt;=3),"",VALUE(LEFT('Base Encuesta'!AA302,1)))</f>
        <v/>
      </c>
      <c r="U328" t="str">
        <f>IF(OR('Base Encuesta'!AB302="",IFERROR(VALUE(LEFT('Base Encuesta'!K302,1)),"")&gt;=3),"",VALUE(LEFT('Base Encuesta'!AB302,1)))</f>
        <v/>
      </c>
      <c r="V328" t="str">
        <f>IF(OR('Base Encuesta'!AC302="",IFERROR(VALUE(LEFT('Base Encuesta'!K302,1)),"")&gt;=3),"",VALUE(LEFT('Base Encuesta'!AC302,1)))</f>
        <v/>
      </c>
      <c r="W328" t="str">
        <f>IF(OR('Base Encuesta'!AE302="",IFERROR(VALUE(LEFT('Base Encuesta'!K302,1)),"")&gt;=3),"",VALUE(LEFT('Base Encuesta'!AE302,1)))</f>
        <v/>
      </c>
      <c r="X328" t="str">
        <f>IF(OR('Base Encuesta'!AF302="",IFERROR(VALUE(LEFT('Base Encuesta'!K302,1)),"")&gt;=3),"",IF(W328=1,VALUE(LEFT('Base Encuesta'!AF302,1)),""))</f>
        <v/>
      </c>
      <c r="Y328" t="str">
        <f>IF(OR('Base Encuesta'!AG302="",IFERROR(VALUE(LEFT('Base Encuesta'!K302,1)),"")&gt;=3),"",IF(W328=1,VALUE(LEFT('Base Encuesta'!AG302,1)),""))</f>
        <v/>
      </c>
      <c r="Z328" t="str">
        <f>IF(OR('Base Encuesta'!AH302="",IFERROR(VALUE(LEFT('Base Encuesta'!K302,1)),"")&gt;=3),"",IF(W328=1,VALUE(LEFT('Base Encuesta'!AH302,1)),""))</f>
        <v/>
      </c>
      <c r="AA328" t="str">
        <f>IF(OR('Base Encuesta'!AI302="",IFERROR(VALUE(LEFT('Base Encuesta'!K302,1)),"")&gt;=3),"",IF(W328=1,VALUE(LEFT('Base Encuesta'!AI302,1)),""))</f>
        <v/>
      </c>
      <c r="AB328" t="str">
        <f>IF(OR('Base Encuesta'!AJ302="",IFERROR(VALUE(LEFT('Base Encuesta'!K302,1)),"")&gt;=3),"",IF(W328=1,VALUE(LEFT('Base Encuesta'!AJ302,1)),""))</f>
        <v/>
      </c>
      <c r="AC328" t="str">
        <f>IF(OR('Base Encuesta'!AL302="",IFERROR(VALUE(LEFT('Base Encuesta'!K302,1)),"")&gt;=3),"",VALUE(LEFT('Base Encuesta'!AL302,1)))</f>
        <v/>
      </c>
      <c r="AD328" t="str">
        <f>IF(OR('Base Encuesta'!AM302="",IFERROR(VALUE(LEFT('Base Encuesta'!K302,1)),"")&gt;=3),"",VALUE(LEFT('Base Encuesta'!AM302,1)))</f>
        <v/>
      </c>
      <c r="AE328" t="str">
        <f>IF(OR('Base Encuesta'!AN302="",IFERROR(VALUE(LEFT('Base Encuesta'!K302,1)),"")&gt;=3),"",VALUE(LEFT('Base Encuesta'!AN302,1)))</f>
        <v/>
      </c>
      <c r="AF328" t="str">
        <f>IF(OR('Base Encuesta'!AO302="",IFERROR(VALUE(LEFT('Base Encuesta'!K302,1)),"")&gt;=3),"",VALUE(LEFT('Base Encuesta'!AO302,1)))</f>
        <v/>
      </c>
      <c r="AG328" t="str">
        <f>IF(OR('Base Encuesta'!AQ302="",IFERROR(VALUE(LEFT('Base Encuesta'!K302,1)),"")&gt;=3),"",VALUE(LEFT('Base Encuesta'!AQ302,1)))</f>
        <v/>
      </c>
      <c r="AH328" t="str">
        <f>IF(OR('Base Encuesta'!AR302="",IFERROR(VALUE(LEFT('Base Encuesta'!K302,1)),"")&gt;=3),"",VALUE(LEFT('Base Encuesta'!AR302,1)))</f>
        <v/>
      </c>
    </row>
    <row r="329" spans="1:34">
      <c r="A329" t="str">
        <f>IF('Base Encuesta'!C303="","",'Base Encuesta'!C303)</f>
        <v/>
      </c>
      <c r="B329" t="str">
        <f>IF('Base Encuesta'!D303="","",'Base Encuesta'!D303)</f>
        <v/>
      </c>
      <c r="C329" t="str">
        <f>IF('Base Encuesta'!E303="","",'Base Encuesta'!E303)</f>
        <v/>
      </c>
      <c r="D329" t="str">
        <f>IF('Base Encuesta'!F303="","",'Base Encuesta'!F303)</f>
        <v/>
      </c>
      <c r="E329" t="str">
        <f>IF('Base Encuesta'!G303="","",'Base Encuesta'!G303)</f>
        <v/>
      </c>
      <c r="F329" t="str">
        <f>IF('Base Encuesta'!H303="","",'Base Encuesta'!H303)</f>
        <v/>
      </c>
      <c r="G329" t="str">
        <f>IF('Base Encuesta'!I303="","",'Base Encuesta'!I303)</f>
        <v/>
      </c>
      <c r="H329" t="str">
        <f>IF('Base Encuesta'!J303="","",'Base Encuesta'!J303)</f>
        <v/>
      </c>
      <c r="I329" t="str">
        <f>IF('Base Encuesta'!K303="","",'Base Encuesta'!K303)</f>
        <v/>
      </c>
      <c r="J329" t="str">
        <f>IF(OR('Base Encuesta'!P303="",IFERROR(VALUE(LEFT('Base Encuesta'!K303,1)),"")&gt;=3),"",PROPER(TRIM('Base Encuesta'!P303)))</f>
        <v/>
      </c>
      <c r="K329" t="str">
        <f>IF(OR('Base Encuesta'!Q303="",IFERROR(VALUE(LEFT('Base Encuesta'!K303,1)),"")&gt;=3),"",'Base Encuesta'!Q303)</f>
        <v/>
      </c>
      <c r="L329" t="str">
        <f>IF(OR('Base Encuesta'!R303="",IFERROR(VALUE(LEFT('Base Encuesta'!K303,1)),"")&gt;=3),"",VALUE(LEFT('Base Encuesta'!R303,1)))</f>
        <v/>
      </c>
      <c r="M329" t="str">
        <f>IF(OR('Base Encuesta'!S303="",IFERROR(VALUE(LEFT('Base Encuesta'!K303,1)),"")&gt;=3),"",VALUE(LEFT('Base Encuesta'!S303,1)))</f>
        <v/>
      </c>
      <c r="N329" t="str">
        <f>IF(OR('Base Encuesta'!T303="",IFERROR(VALUE(LEFT('Base Encuesta'!K303,1)),"")&gt;=3),"",VALUE(LEFT('Base Encuesta'!T303,1)))</f>
        <v/>
      </c>
      <c r="O329" t="str">
        <f>IF(OR('Base Encuesta'!V303="",IFERROR(VALUE(LEFT('Base Encuesta'!K303,1)),"")&gt;=3),"",VALUE(LEFT('Base Encuesta'!V303,1)))</f>
        <v/>
      </c>
      <c r="P329" t="str">
        <f>IF(OR('Base Encuesta'!W303="",IFERROR(VALUE(LEFT('Base Encuesta'!K303,1)),"")&gt;=3),"",VALUE(LEFT('Base Encuesta'!W303,1)))</f>
        <v/>
      </c>
      <c r="Q329" t="str">
        <f>IF(OR('Base Encuesta'!X303="",IFERROR(VALUE(LEFT('Base Encuesta'!K303,1)),"")&gt;=3),"",VALUE(LEFT('Base Encuesta'!X303,1)))</f>
        <v/>
      </c>
      <c r="R329" t="str">
        <f>IF(OR('Base Encuesta'!Y303="",IFERROR(VALUE(LEFT('Base Encuesta'!K303,1)),"")&gt;=3),"",VALUE(LEFT('Base Encuesta'!Y303,1)))</f>
        <v/>
      </c>
      <c r="S329" t="str">
        <f>IF(OR('Base Encuesta'!Z303="",IFERROR(VALUE(LEFT('Base Encuesta'!K303,1)),"")&gt;=3),"",VALUE(LEFT('Base Encuesta'!Z303,1)))</f>
        <v/>
      </c>
      <c r="T329" t="str">
        <f>IF(OR('Base Encuesta'!AA303="",IFERROR(VALUE(LEFT('Base Encuesta'!K303,1)),"")&gt;=3),"",VALUE(LEFT('Base Encuesta'!AA303,1)))</f>
        <v/>
      </c>
      <c r="U329" t="str">
        <f>IF(OR('Base Encuesta'!AB303="",IFERROR(VALUE(LEFT('Base Encuesta'!K303,1)),"")&gt;=3),"",VALUE(LEFT('Base Encuesta'!AB303,1)))</f>
        <v/>
      </c>
      <c r="V329" t="str">
        <f>IF(OR('Base Encuesta'!AC303="",IFERROR(VALUE(LEFT('Base Encuesta'!K303,1)),"")&gt;=3),"",VALUE(LEFT('Base Encuesta'!AC303,1)))</f>
        <v/>
      </c>
      <c r="W329" t="str">
        <f>IF(OR('Base Encuesta'!AE303="",IFERROR(VALUE(LEFT('Base Encuesta'!K303,1)),"")&gt;=3),"",VALUE(LEFT('Base Encuesta'!AE303,1)))</f>
        <v/>
      </c>
      <c r="X329" t="str">
        <f>IF(OR('Base Encuesta'!AF303="",IFERROR(VALUE(LEFT('Base Encuesta'!K303,1)),"")&gt;=3),"",IF(W329=1,VALUE(LEFT('Base Encuesta'!AF303,1)),""))</f>
        <v/>
      </c>
      <c r="Y329" t="str">
        <f>IF(OR('Base Encuesta'!AG303="",IFERROR(VALUE(LEFT('Base Encuesta'!K303,1)),"")&gt;=3),"",IF(W329=1,VALUE(LEFT('Base Encuesta'!AG303,1)),""))</f>
        <v/>
      </c>
      <c r="Z329" t="str">
        <f>IF(OR('Base Encuesta'!AH303="",IFERROR(VALUE(LEFT('Base Encuesta'!K303,1)),"")&gt;=3),"",IF(W329=1,VALUE(LEFT('Base Encuesta'!AH303,1)),""))</f>
        <v/>
      </c>
      <c r="AA329" t="str">
        <f>IF(OR('Base Encuesta'!AI303="",IFERROR(VALUE(LEFT('Base Encuesta'!K303,1)),"")&gt;=3),"",IF(W329=1,VALUE(LEFT('Base Encuesta'!AI303,1)),""))</f>
        <v/>
      </c>
      <c r="AB329" t="str">
        <f>IF(OR('Base Encuesta'!AJ303="",IFERROR(VALUE(LEFT('Base Encuesta'!K303,1)),"")&gt;=3),"",IF(W329=1,VALUE(LEFT('Base Encuesta'!AJ303,1)),""))</f>
        <v/>
      </c>
      <c r="AC329" t="str">
        <f>IF(OR('Base Encuesta'!AL303="",IFERROR(VALUE(LEFT('Base Encuesta'!K303,1)),"")&gt;=3),"",VALUE(LEFT('Base Encuesta'!AL303,1)))</f>
        <v/>
      </c>
      <c r="AD329" t="str">
        <f>IF(OR('Base Encuesta'!AM303="",IFERROR(VALUE(LEFT('Base Encuesta'!K303,1)),"")&gt;=3),"",VALUE(LEFT('Base Encuesta'!AM303,1)))</f>
        <v/>
      </c>
      <c r="AE329" t="str">
        <f>IF(OR('Base Encuesta'!AN303="",IFERROR(VALUE(LEFT('Base Encuesta'!K303,1)),"")&gt;=3),"",VALUE(LEFT('Base Encuesta'!AN303,1)))</f>
        <v/>
      </c>
      <c r="AF329" t="str">
        <f>IF(OR('Base Encuesta'!AO303="",IFERROR(VALUE(LEFT('Base Encuesta'!K303,1)),"")&gt;=3),"",VALUE(LEFT('Base Encuesta'!AO303,1)))</f>
        <v/>
      </c>
      <c r="AG329" t="str">
        <f>IF(OR('Base Encuesta'!AQ303="",IFERROR(VALUE(LEFT('Base Encuesta'!K303,1)),"")&gt;=3),"",VALUE(LEFT('Base Encuesta'!AQ303,1)))</f>
        <v/>
      </c>
      <c r="AH329" t="str">
        <f>IF(OR('Base Encuesta'!AR303="",IFERROR(VALUE(LEFT('Base Encuesta'!K303,1)),"")&gt;=3),"",VALUE(LEFT('Base Encuesta'!AR303,1)))</f>
        <v/>
      </c>
    </row>
    <row r="330" spans="1:34">
      <c r="A330" t="str">
        <f>IF('Base Encuesta'!C304="","",'Base Encuesta'!C304)</f>
        <v/>
      </c>
      <c r="B330" t="str">
        <f>IF('Base Encuesta'!D304="","",'Base Encuesta'!D304)</f>
        <v/>
      </c>
      <c r="C330" t="str">
        <f>IF('Base Encuesta'!E304="","",'Base Encuesta'!E304)</f>
        <v/>
      </c>
      <c r="D330" t="str">
        <f>IF('Base Encuesta'!F304="","",'Base Encuesta'!F304)</f>
        <v/>
      </c>
      <c r="E330" t="str">
        <f>IF('Base Encuesta'!G304="","",'Base Encuesta'!G304)</f>
        <v/>
      </c>
      <c r="F330" t="str">
        <f>IF('Base Encuesta'!H304="","",'Base Encuesta'!H304)</f>
        <v/>
      </c>
      <c r="G330" t="str">
        <f>IF('Base Encuesta'!I304="","",'Base Encuesta'!I304)</f>
        <v/>
      </c>
      <c r="H330" t="str">
        <f>IF('Base Encuesta'!J304="","",'Base Encuesta'!J304)</f>
        <v/>
      </c>
      <c r="I330" t="str">
        <f>IF('Base Encuesta'!K304="","",'Base Encuesta'!K304)</f>
        <v/>
      </c>
      <c r="J330" t="str">
        <f>IF(OR('Base Encuesta'!P304="",IFERROR(VALUE(LEFT('Base Encuesta'!K304,1)),"")&gt;=3),"",PROPER(TRIM('Base Encuesta'!P304)))</f>
        <v/>
      </c>
      <c r="K330" t="str">
        <f>IF(OR('Base Encuesta'!Q304="",IFERROR(VALUE(LEFT('Base Encuesta'!K304,1)),"")&gt;=3),"",'Base Encuesta'!Q304)</f>
        <v/>
      </c>
      <c r="L330" t="str">
        <f>IF(OR('Base Encuesta'!R304="",IFERROR(VALUE(LEFT('Base Encuesta'!K304,1)),"")&gt;=3),"",VALUE(LEFT('Base Encuesta'!R304,1)))</f>
        <v/>
      </c>
      <c r="M330" t="str">
        <f>IF(OR('Base Encuesta'!S304="",IFERROR(VALUE(LEFT('Base Encuesta'!K304,1)),"")&gt;=3),"",VALUE(LEFT('Base Encuesta'!S304,1)))</f>
        <v/>
      </c>
      <c r="N330" t="str">
        <f>IF(OR('Base Encuesta'!T304="",IFERROR(VALUE(LEFT('Base Encuesta'!K304,1)),"")&gt;=3),"",VALUE(LEFT('Base Encuesta'!T304,1)))</f>
        <v/>
      </c>
      <c r="O330" t="str">
        <f>IF(OR('Base Encuesta'!V304="",IFERROR(VALUE(LEFT('Base Encuesta'!K304,1)),"")&gt;=3),"",VALUE(LEFT('Base Encuesta'!V304,1)))</f>
        <v/>
      </c>
      <c r="P330" t="str">
        <f>IF(OR('Base Encuesta'!W304="",IFERROR(VALUE(LEFT('Base Encuesta'!K304,1)),"")&gt;=3),"",VALUE(LEFT('Base Encuesta'!W304,1)))</f>
        <v/>
      </c>
      <c r="Q330" t="str">
        <f>IF(OR('Base Encuesta'!X304="",IFERROR(VALUE(LEFT('Base Encuesta'!K304,1)),"")&gt;=3),"",VALUE(LEFT('Base Encuesta'!X304,1)))</f>
        <v/>
      </c>
      <c r="R330" t="str">
        <f>IF(OR('Base Encuesta'!Y304="",IFERROR(VALUE(LEFT('Base Encuesta'!K304,1)),"")&gt;=3),"",VALUE(LEFT('Base Encuesta'!Y304,1)))</f>
        <v/>
      </c>
      <c r="S330" t="str">
        <f>IF(OR('Base Encuesta'!Z304="",IFERROR(VALUE(LEFT('Base Encuesta'!K304,1)),"")&gt;=3),"",VALUE(LEFT('Base Encuesta'!Z304,1)))</f>
        <v/>
      </c>
      <c r="T330" t="str">
        <f>IF(OR('Base Encuesta'!AA304="",IFERROR(VALUE(LEFT('Base Encuesta'!K304,1)),"")&gt;=3),"",VALUE(LEFT('Base Encuesta'!AA304,1)))</f>
        <v/>
      </c>
      <c r="U330" t="str">
        <f>IF(OR('Base Encuesta'!AB304="",IFERROR(VALUE(LEFT('Base Encuesta'!K304,1)),"")&gt;=3),"",VALUE(LEFT('Base Encuesta'!AB304,1)))</f>
        <v/>
      </c>
      <c r="V330" t="str">
        <f>IF(OR('Base Encuesta'!AC304="",IFERROR(VALUE(LEFT('Base Encuesta'!K304,1)),"")&gt;=3),"",VALUE(LEFT('Base Encuesta'!AC304,1)))</f>
        <v/>
      </c>
      <c r="W330" t="str">
        <f>IF(OR('Base Encuesta'!AE304="",IFERROR(VALUE(LEFT('Base Encuesta'!K304,1)),"")&gt;=3),"",VALUE(LEFT('Base Encuesta'!AE304,1)))</f>
        <v/>
      </c>
      <c r="X330" t="str">
        <f>IF(OR('Base Encuesta'!AF304="",IFERROR(VALUE(LEFT('Base Encuesta'!K304,1)),"")&gt;=3),"",IF(W330=1,VALUE(LEFT('Base Encuesta'!AF304,1)),""))</f>
        <v/>
      </c>
      <c r="Y330" t="str">
        <f>IF(OR('Base Encuesta'!AG304="",IFERROR(VALUE(LEFT('Base Encuesta'!K304,1)),"")&gt;=3),"",IF(W330=1,VALUE(LEFT('Base Encuesta'!AG304,1)),""))</f>
        <v/>
      </c>
      <c r="Z330" t="str">
        <f>IF(OR('Base Encuesta'!AH304="",IFERROR(VALUE(LEFT('Base Encuesta'!K304,1)),"")&gt;=3),"",IF(W330=1,VALUE(LEFT('Base Encuesta'!AH304,1)),""))</f>
        <v/>
      </c>
      <c r="AA330" t="str">
        <f>IF(OR('Base Encuesta'!AI304="",IFERROR(VALUE(LEFT('Base Encuesta'!K304,1)),"")&gt;=3),"",IF(W330=1,VALUE(LEFT('Base Encuesta'!AI304,1)),""))</f>
        <v/>
      </c>
      <c r="AB330" t="str">
        <f>IF(OR('Base Encuesta'!AJ304="",IFERROR(VALUE(LEFT('Base Encuesta'!K304,1)),"")&gt;=3),"",IF(W330=1,VALUE(LEFT('Base Encuesta'!AJ304,1)),""))</f>
        <v/>
      </c>
      <c r="AC330" t="str">
        <f>IF(OR('Base Encuesta'!AL304="",IFERROR(VALUE(LEFT('Base Encuesta'!K304,1)),"")&gt;=3),"",VALUE(LEFT('Base Encuesta'!AL304,1)))</f>
        <v/>
      </c>
      <c r="AD330" t="str">
        <f>IF(OR('Base Encuesta'!AM304="",IFERROR(VALUE(LEFT('Base Encuesta'!K304,1)),"")&gt;=3),"",VALUE(LEFT('Base Encuesta'!AM304,1)))</f>
        <v/>
      </c>
      <c r="AE330" t="str">
        <f>IF(OR('Base Encuesta'!AN304="",IFERROR(VALUE(LEFT('Base Encuesta'!K304,1)),"")&gt;=3),"",VALUE(LEFT('Base Encuesta'!AN304,1)))</f>
        <v/>
      </c>
      <c r="AF330" t="str">
        <f>IF(OR('Base Encuesta'!AO304="",IFERROR(VALUE(LEFT('Base Encuesta'!K304,1)),"")&gt;=3),"",VALUE(LEFT('Base Encuesta'!AO304,1)))</f>
        <v/>
      </c>
      <c r="AG330" t="str">
        <f>IF(OR('Base Encuesta'!AQ304="",IFERROR(VALUE(LEFT('Base Encuesta'!K304,1)),"")&gt;=3),"",VALUE(LEFT('Base Encuesta'!AQ304,1)))</f>
        <v/>
      </c>
      <c r="AH330" t="str">
        <f>IF(OR('Base Encuesta'!AR304="",IFERROR(VALUE(LEFT('Base Encuesta'!K304,1)),"")&gt;=3),"",VALUE(LEFT('Base Encuesta'!AR304,1)))</f>
        <v/>
      </c>
    </row>
    <row r="331" spans="1:34">
      <c r="A331" t="str">
        <f>IF('Base Encuesta'!C305="","",'Base Encuesta'!C305)</f>
        <v/>
      </c>
      <c r="B331" t="str">
        <f>IF('Base Encuesta'!D305="","",'Base Encuesta'!D305)</f>
        <v/>
      </c>
      <c r="C331" t="str">
        <f>IF('Base Encuesta'!E305="","",'Base Encuesta'!E305)</f>
        <v/>
      </c>
      <c r="D331" t="str">
        <f>IF('Base Encuesta'!F305="","",'Base Encuesta'!F305)</f>
        <v/>
      </c>
      <c r="E331" t="str">
        <f>IF('Base Encuesta'!G305="","",'Base Encuesta'!G305)</f>
        <v/>
      </c>
      <c r="F331" t="str">
        <f>IF('Base Encuesta'!H305="","",'Base Encuesta'!H305)</f>
        <v/>
      </c>
      <c r="G331" t="str">
        <f>IF('Base Encuesta'!I305="","",'Base Encuesta'!I305)</f>
        <v/>
      </c>
      <c r="H331" t="str">
        <f>IF('Base Encuesta'!J305="","",'Base Encuesta'!J305)</f>
        <v/>
      </c>
      <c r="I331" t="str">
        <f>IF('Base Encuesta'!K305="","",'Base Encuesta'!K305)</f>
        <v/>
      </c>
      <c r="J331" t="str">
        <f>IF(OR('Base Encuesta'!P305="",IFERROR(VALUE(LEFT('Base Encuesta'!K305,1)),"")&gt;=3),"",PROPER(TRIM('Base Encuesta'!P305)))</f>
        <v/>
      </c>
      <c r="K331" t="str">
        <f>IF(OR('Base Encuesta'!Q305="",IFERROR(VALUE(LEFT('Base Encuesta'!K305,1)),"")&gt;=3),"",'Base Encuesta'!Q305)</f>
        <v/>
      </c>
      <c r="L331" t="str">
        <f>IF(OR('Base Encuesta'!R305="",IFERROR(VALUE(LEFT('Base Encuesta'!K305,1)),"")&gt;=3),"",VALUE(LEFT('Base Encuesta'!R305,1)))</f>
        <v/>
      </c>
      <c r="M331" t="str">
        <f>IF(OR('Base Encuesta'!S305="",IFERROR(VALUE(LEFT('Base Encuesta'!K305,1)),"")&gt;=3),"",VALUE(LEFT('Base Encuesta'!S305,1)))</f>
        <v/>
      </c>
      <c r="N331" t="str">
        <f>IF(OR('Base Encuesta'!T305="",IFERROR(VALUE(LEFT('Base Encuesta'!K305,1)),"")&gt;=3),"",VALUE(LEFT('Base Encuesta'!T305,1)))</f>
        <v/>
      </c>
      <c r="O331" t="str">
        <f>IF(OR('Base Encuesta'!V305="",IFERROR(VALUE(LEFT('Base Encuesta'!K305,1)),"")&gt;=3),"",VALUE(LEFT('Base Encuesta'!V305,1)))</f>
        <v/>
      </c>
      <c r="P331" t="str">
        <f>IF(OR('Base Encuesta'!W305="",IFERROR(VALUE(LEFT('Base Encuesta'!K305,1)),"")&gt;=3),"",VALUE(LEFT('Base Encuesta'!W305,1)))</f>
        <v/>
      </c>
      <c r="Q331" t="str">
        <f>IF(OR('Base Encuesta'!X305="",IFERROR(VALUE(LEFT('Base Encuesta'!K305,1)),"")&gt;=3),"",VALUE(LEFT('Base Encuesta'!X305,1)))</f>
        <v/>
      </c>
      <c r="R331" t="str">
        <f>IF(OR('Base Encuesta'!Y305="",IFERROR(VALUE(LEFT('Base Encuesta'!K305,1)),"")&gt;=3),"",VALUE(LEFT('Base Encuesta'!Y305,1)))</f>
        <v/>
      </c>
      <c r="S331" t="str">
        <f>IF(OR('Base Encuesta'!Z305="",IFERROR(VALUE(LEFT('Base Encuesta'!K305,1)),"")&gt;=3),"",VALUE(LEFT('Base Encuesta'!Z305,1)))</f>
        <v/>
      </c>
      <c r="T331" t="str">
        <f>IF(OR('Base Encuesta'!AA305="",IFERROR(VALUE(LEFT('Base Encuesta'!K305,1)),"")&gt;=3),"",VALUE(LEFT('Base Encuesta'!AA305,1)))</f>
        <v/>
      </c>
      <c r="U331" t="str">
        <f>IF(OR('Base Encuesta'!AB305="",IFERROR(VALUE(LEFT('Base Encuesta'!K305,1)),"")&gt;=3),"",VALUE(LEFT('Base Encuesta'!AB305,1)))</f>
        <v/>
      </c>
      <c r="V331" t="str">
        <f>IF(OR('Base Encuesta'!AC305="",IFERROR(VALUE(LEFT('Base Encuesta'!K305,1)),"")&gt;=3),"",VALUE(LEFT('Base Encuesta'!AC305,1)))</f>
        <v/>
      </c>
      <c r="W331" t="str">
        <f>IF(OR('Base Encuesta'!AE305="",IFERROR(VALUE(LEFT('Base Encuesta'!K305,1)),"")&gt;=3),"",VALUE(LEFT('Base Encuesta'!AE305,1)))</f>
        <v/>
      </c>
      <c r="X331" t="str">
        <f>IF(OR('Base Encuesta'!AF305="",IFERROR(VALUE(LEFT('Base Encuesta'!K305,1)),"")&gt;=3),"",IF(W331=1,VALUE(LEFT('Base Encuesta'!AF305,1)),""))</f>
        <v/>
      </c>
      <c r="Y331" t="str">
        <f>IF(OR('Base Encuesta'!AG305="",IFERROR(VALUE(LEFT('Base Encuesta'!K305,1)),"")&gt;=3),"",IF(W331=1,VALUE(LEFT('Base Encuesta'!AG305,1)),""))</f>
        <v/>
      </c>
      <c r="Z331" t="str">
        <f>IF(OR('Base Encuesta'!AH305="",IFERROR(VALUE(LEFT('Base Encuesta'!K305,1)),"")&gt;=3),"",IF(W331=1,VALUE(LEFT('Base Encuesta'!AH305,1)),""))</f>
        <v/>
      </c>
      <c r="AA331" t="str">
        <f>IF(OR('Base Encuesta'!AI305="",IFERROR(VALUE(LEFT('Base Encuesta'!K305,1)),"")&gt;=3),"",IF(W331=1,VALUE(LEFT('Base Encuesta'!AI305,1)),""))</f>
        <v/>
      </c>
      <c r="AB331" t="str">
        <f>IF(OR('Base Encuesta'!AJ305="",IFERROR(VALUE(LEFT('Base Encuesta'!K305,1)),"")&gt;=3),"",IF(W331=1,VALUE(LEFT('Base Encuesta'!AJ305,1)),""))</f>
        <v/>
      </c>
      <c r="AC331" t="str">
        <f>IF(OR('Base Encuesta'!AL305="",IFERROR(VALUE(LEFT('Base Encuesta'!K305,1)),"")&gt;=3),"",VALUE(LEFT('Base Encuesta'!AL305,1)))</f>
        <v/>
      </c>
      <c r="AD331" t="str">
        <f>IF(OR('Base Encuesta'!AM305="",IFERROR(VALUE(LEFT('Base Encuesta'!K305,1)),"")&gt;=3),"",VALUE(LEFT('Base Encuesta'!AM305,1)))</f>
        <v/>
      </c>
      <c r="AE331" t="str">
        <f>IF(OR('Base Encuesta'!AN305="",IFERROR(VALUE(LEFT('Base Encuesta'!K305,1)),"")&gt;=3),"",VALUE(LEFT('Base Encuesta'!AN305,1)))</f>
        <v/>
      </c>
      <c r="AF331" t="str">
        <f>IF(OR('Base Encuesta'!AO305="",IFERROR(VALUE(LEFT('Base Encuesta'!K305,1)),"")&gt;=3),"",VALUE(LEFT('Base Encuesta'!AO305,1)))</f>
        <v/>
      </c>
      <c r="AG331" t="str">
        <f>IF(OR('Base Encuesta'!AQ305="",IFERROR(VALUE(LEFT('Base Encuesta'!K305,1)),"")&gt;=3),"",VALUE(LEFT('Base Encuesta'!AQ305,1)))</f>
        <v/>
      </c>
      <c r="AH331" t="str">
        <f>IF(OR('Base Encuesta'!AR305="",IFERROR(VALUE(LEFT('Base Encuesta'!K305,1)),"")&gt;=3),"",VALUE(LEFT('Base Encuesta'!AR305,1)))</f>
        <v/>
      </c>
    </row>
    <row r="332" spans="1:34">
      <c r="A332" t="str">
        <f>IF('Base Encuesta'!C306="","",'Base Encuesta'!C306)</f>
        <v/>
      </c>
      <c r="B332" t="str">
        <f>IF('Base Encuesta'!D306="","",'Base Encuesta'!D306)</f>
        <v/>
      </c>
      <c r="C332" t="str">
        <f>IF('Base Encuesta'!E306="","",'Base Encuesta'!E306)</f>
        <v/>
      </c>
      <c r="D332" t="str">
        <f>IF('Base Encuesta'!F306="","",'Base Encuesta'!F306)</f>
        <v/>
      </c>
      <c r="E332" t="str">
        <f>IF('Base Encuesta'!G306="","",'Base Encuesta'!G306)</f>
        <v/>
      </c>
      <c r="F332" t="str">
        <f>IF('Base Encuesta'!H306="","",'Base Encuesta'!H306)</f>
        <v/>
      </c>
      <c r="G332" t="str">
        <f>IF('Base Encuesta'!I306="","",'Base Encuesta'!I306)</f>
        <v/>
      </c>
      <c r="H332" t="str">
        <f>IF('Base Encuesta'!J306="","",'Base Encuesta'!J306)</f>
        <v/>
      </c>
      <c r="I332" t="str">
        <f>IF('Base Encuesta'!K306="","",'Base Encuesta'!K306)</f>
        <v/>
      </c>
      <c r="J332" t="str">
        <f>IF(OR('Base Encuesta'!P306="",IFERROR(VALUE(LEFT('Base Encuesta'!K306,1)),"")&gt;=3),"",PROPER(TRIM('Base Encuesta'!P306)))</f>
        <v/>
      </c>
      <c r="K332" t="str">
        <f>IF(OR('Base Encuesta'!Q306="",IFERROR(VALUE(LEFT('Base Encuesta'!K306,1)),"")&gt;=3),"",'Base Encuesta'!Q306)</f>
        <v/>
      </c>
      <c r="L332" t="str">
        <f>IF(OR('Base Encuesta'!R306="",IFERROR(VALUE(LEFT('Base Encuesta'!K306,1)),"")&gt;=3),"",VALUE(LEFT('Base Encuesta'!R306,1)))</f>
        <v/>
      </c>
      <c r="M332" t="str">
        <f>IF(OR('Base Encuesta'!S306="",IFERROR(VALUE(LEFT('Base Encuesta'!K306,1)),"")&gt;=3),"",VALUE(LEFT('Base Encuesta'!S306,1)))</f>
        <v/>
      </c>
      <c r="N332" t="str">
        <f>IF(OR('Base Encuesta'!T306="",IFERROR(VALUE(LEFT('Base Encuesta'!K306,1)),"")&gt;=3),"",VALUE(LEFT('Base Encuesta'!T306,1)))</f>
        <v/>
      </c>
      <c r="O332" t="str">
        <f>IF(OR('Base Encuesta'!V306="",IFERROR(VALUE(LEFT('Base Encuesta'!K306,1)),"")&gt;=3),"",VALUE(LEFT('Base Encuesta'!V306,1)))</f>
        <v/>
      </c>
      <c r="P332" t="str">
        <f>IF(OR('Base Encuesta'!W306="",IFERROR(VALUE(LEFT('Base Encuesta'!K306,1)),"")&gt;=3),"",VALUE(LEFT('Base Encuesta'!W306,1)))</f>
        <v/>
      </c>
      <c r="Q332" t="str">
        <f>IF(OR('Base Encuesta'!X306="",IFERROR(VALUE(LEFT('Base Encuesta'!K306,1)),"")&gt;=3),"",VALUE(LEFT('Base Encuesta'!X306,1)))</f>
        <v/>
      </c>
      <c r="R332" t="str">
        <f>IF(OR('Base Encuesta'!Y306="",IFERROR(VALUE(LEFT('Base Encuesta'!K306,1)),"")&gt;=3),"",VALUE(LEFT('Base Encuesta'!Y306,1)))</f>
        <v/>
      </c>
      <c r="S332" t="str">
        <f>IF(OR('Base Encuesta'!Z306="",IFERROR(VALUE(LEFT('Base Encuesta'!K306,1)),"")&gt;=3),"",VALUE(LEFT('Base Encuesta'!Z306,1)))</f>
        <v/>
      </c>
      <c r="T332" t="str">
        <f>IF(OR('Base Encuesta'!AA306="",IFERROR(VALUE(LEFT('Base Encuesta'!K306,1)),"")&gt;=3),"",VALUE(LEFT('Base Encuesta'!AA306,1)))</f>
        <v/>
      </c>
      <c r="U332" t="str">
        <f>IF(OR('Base Encuesta'!AB306="",IFERROR(VALUE(LEFT('Base Encuesta'!K306,1)),"")&gt;=3),"",VALUE(LEFT('Base Encuesta'!AB306,1)))</f>
        <v/>
      </c>
      <c r="V332" t="str">
        <f>IF(OR('Base Encuesta'!AC306="",IFERROR(VALUE(LEFT('Base Encuesta'!K306,1)),"")&gt;=3),"",VALUE(LEFT('Base Encuesta'!AC306,1)))</f>
        <v/>
      </c>
      <c r="W332" t="str">
        <f>IF(OR('Base Encuesta'!AE306="",IFERROR(VALUE(LEFT('Base Encuesta'!K306,1)),"")&gt;=3),"",VALUE(LEFT('Base Encuesta'!AE306,1)))</f>
        <v/>
      </c>
      <c r="X332" t="str">
        <f>IF(OR('Base Encuesta'!AF306="",IFERROR(VALUE(LEFT('Base Encuesta'!K306,1)),"")&gt;=3),"",IF(W332=1,VALUE(LEFT('Base Encuesta'!AF306,1)),""))</f>
        <v/>
      </c>
      <c r="Y332" t="str">
        <f>IF(OR('Base Encuesta'!AG306="",IFERROR(VALUE(LEFT('Base Encuesta'!K306,1)),"")&gt;=3),"",IF(W332=1,VALUE(LEFT('Base Encuesta'!AG306,1)),""))</f>
        <v/>
      </c>
      <c r="Z332" t="str">
        <f>IF(OR('Base Encuesta'!AH306="",IFERROR(VALUE(LEFT('Base Encuesta'!K306,1)),"")&gt;=3),"",IF(W332=1,VALUE(LEFT('Base Encuesta'!AH306,1)),""))</f>
        <v/>
      </c>
      <c r="AA332" t="str">
        <f>IF(OR('Base Encuesta'!AI306="",IFERROR(VALUE(LEFT('Base Encuesta'!K306,1)),"")&gt;=3),"",IF(W332=1,VALUE(LEFT('Base Encuesta'!AI306,1)),""))</f>
        <v/>
      </c>
      <c r="AB332" t="str">
        <f>IF(OR('Base Encuesta'!AJ306="",IFERROR(VALUE(LEFT('Base Encuesta'!K306,1)),"")&gt;=3),"",IF(W332=1,VALUE(LEFT('Base Encuesta'!AJ306,1)),""))</f>
        <v/>
      </c>
      <c r="AC332" t="str">
        <f>IF(OR('Base Encuesta'!AL306="",IFERROR(VALUE(LEFT('Base Encuesta'!K306,1)),"")&gt;=3),"",VALUE(LEFT('Base Encuesta'!AL306,1)))</f>
        <v/>
      </c>
      <c r="AD332" t="str">
        <f>IF(OR('Base Encuesta'!AM306="",IFERROR(VALUE(LEFT('Base Encuesta'!K306,1)),"")&gt;=3),"",VALUE(LEFT('Base Encuesta'!AM306,1)))</f>
        <v/>
      </c>
      <c r="AE332" t="str">
        <f>IF(OR('Base Encuesta'!AN306="",IFERROR(VALUE(LEFT('Base Encuesta'!K306,1)),"")&gt;=3),"",VALUE(LEFT('Base Encuesta'!AN306,1)))</f>
        <v/>
      </c>
      <c r="AF332" t="str">
        <f>IF(OR('Base Encuesta'!AO306="",IFERROR(VALUE(LEFT('Base Encuesta'!K306,1)),"")&gt;=3),"",VALUE(LEFT('Base Encuesta'!AO306,1)))</f>
        <v/>
      </c>
      <c r="AG332" t="str">
        <f>IF(OR('Base Encuesta'!AQ306="",IFERROR(VALUE(LEFT('Base Encuesta'!K306,1)),"")&gt;=3),"",VALUE(LEFT('Base Encuesta'!AQ306,1)))</f>
        <v/>
      </c>
      <c r="AH332" t="str">
        <f>IF(OR('Base Encuesta'!AR306="",IFERROR(VALUE(LEFT('Base Encuesta'!K306,1)),"")&gt;=3),"",VALUE(LEFT('Base Encuesta'!AR306,1)))</f>
        <v/>
      </c>
    </row>
    <row r="333" spans="1:34">
      <c r="A333" t="str">
        <f>IF('Base Encuesta'!C307="","",'Base Encuesta'!C307)</f>
        <v/>
      </c>
      <c r="B333" t="str">
        <f>IF('Base Encuesta'!D307="","",'Base Encuesta'!D307)</f>
        <v/>
      </c>
      <c r="C333" t="str">
        <f>IF('Base Encuesta'!E307="","",'Base Encuesta'!E307)</f>
        <v/>
      </c>
      <c r="D333" t="str">
        <f>IF('Base Encuesta'!F307="","",'Base Encuesta'!F307)</f>
        <v/>
      </c>
      <c r="E333" t="str">
        <f>IF('Base Encuesta'!G307="","",'Base Encuesta'!G307)</f>
        <v/>
      </c>
      <c r="F333" t="str">
        <f>IF('Base Encuesta'!H307="","",'Base Encuesta'!H307)</f>
        <v/>
      </c>
      <c r="G333" t="str">
        <f>IF('Base Encuesta'!I307="","",'Base Encuesta'!I307)</f>
        <v/>
      </c>
      <c r="H333" t="str">
        <f>IF('Base Encuesta'!J307="","",'Base Encuesta'!J307)</f>
        <v/>
      </c>
      <c r="I333" t="str">
        <f>IF('Base Encuesta'!K307="","",'Base Encuesta'!K307)</f>
        <v/>
      </c>
      <c r="J333" t="str">
        <f>IF(OR('Base Encuesta'!P307="",IFERROR(VALUE(LEFT('Base Encuesta'!K307,1)),"")&gt;=3),"",PROPER(TRIM('Base Encuesta'!P307)))</f>
        <v/>
      </c>
      <c r="K333" t="str">
        <f>IF(OR('Base Encuesta'!Q307="",IFERROR(VALUE(LEFT('Base Encuesta'!K307,1)),"")&gt;=3),"",'Base Encuesta'!Q307)</f>
        <v/>
      </c>
      <c r="L333" t="str">
        <f>IF(OR('Base Encuesta'!R307="",IFERROR(VALUE(LEFT('Base Encuesta'!K307,1)),"")&gt;=3),"",VALUE(LEFT('Base Encuesta'!R307,1)))</f>
        <v/>
      </c>
      <c r="M333" t="str">
        <f>IF(OR('Base Encuesta'!S307="",IFERROR(VALUE(LEFT('Base Encuesta'!K307,1)),"")&gt;=3),"",VALUE(LEFT('Base Encuesta'!S307,1)))</f>
        <v/>
      </c>
      <c r="N333" t="str">
        <f>IF(OR('Base Encuesta'!T307="",IFERROR(VALUE(LEFT('Base Encuesta'!K307,1)),"")&gt;=3),"",VALUE(LEFT('Base Encuesta'!T307,1)))</f>
        <v/>
      </c>
      <c r="O333" t="str">
        <f>IF(OR('Base Encuesta'!V307="",IFERROR(VALUE(LEFT('Base Encuesta'!K307,1)),"")&gt;=3),"",VALUE(LEFT('Base Encuesta'!V307,1)))</f>
        <v/>
      </c>
      <c r="P333" t="str">
        <f>IF(OR('Base Encuesta'!W307="",IFERROR(VALUE(LEFT('Base Encuesta'!K307,1)),"")&gt;=3),"",VALUE(LEFT('Base Encuesta'!W307,1)))</f>
        <v/>
      </c>
      <c r="Q333" t="str">
        <f>IF(OR('Base Encuesta'!X307="",IFERROR(VALUE(LEFT('Base Encuesta'!K307,1)),"")&gt;=3),"",VALUE(LEFT('Base Encuesta'!X307,1)))</f>
        <v/>
      </c>
      <c r="R333" t="str">
        <f>IF(OR('Base Encuesta'!Y307="",IFERROR(VALUE(LEFT('Base Encuesta'!K307,1)),"")&gt;=3),"",VALUE(LEFT('Base Encuesta'!Y307,1)))</f>
        <v/>
      </c>
      <c r="S333" t="str">
        <f>IF(OR('Base Encuesta'!Z307="",IFERROR(VALUE(LEFT('Base Encuesta'!K307,1)),"")&gt;=3),"",VALUE(LEFT('Base Encuesta'!Z307,1)))</f>
        <v/>
      </c>
      <c r="T333" t="str">
        <f>IF(OR('Base Encuesta'!AA307="",IFERROR(VALUE(LEFT('Base Encuesta'!K307,1)),"")&gt;=3),"",VALUE(LEFT('Base Encuesta'!AA307,1)))</f>
        <v/>
      </c>
      <c r="U333" t="str">
        <f>IF(OR('Base Encuesta'!AB307="",IFERROR(VALUE(LEFT('Base Encuesta'!K307,1)),"")&gt;=3),"",VALUE(LEFT('Base Encuesta'!AB307,1)))</f>
        <v/>
      </c>
      <c r="V333" t="str">
        <f>IF(OR('Base Encuesta'!AC307="",IFERROR(VALUE(LEFT('Base Encuesta'!K307,1)),"")&gt;=3),"",VALUE(LEFT('Base Encuesta'!AC307,1)))</f>
        <v/>
      </c>
      <c r="W333" t="str">
        <f>IF(OR('Base Encuesta'!AE307="",IFERROR(VALUE(LEFT('Base Encuesta'!K307,1)),"")&gt;=3),"",VALUE(LEFT('Base Encuesta'!AE307,1)))</f>
        <v/>
      </c>
      <c r="X333" t="str">
        <f>IF(OR('Base Encuesta'!AF307="",IFERROR(VALUE(LEFT('Base Encuesta'!K307,1)),"")&gt;=3),"",IF(W333=1,VALUE(LEFT('Base Encuesta'!AF307,1)),""))</f>
        <v/>
      </c>
      <c r="Y333" t="str">
        <f>IF(OR('Base Encuesta'!AG307="",IFERROR(VALUE(LEFT('Base Encuesta'!K307,1)),"")&gt;=3),"",IF(W333=1,VALUE(LEFT('Base Encuesta'!AG307,1)),""))</f>
        <v/>
      </c>
      <c r="Z333" t="str">
        <f>IF(OR('Base Encuesta'!AH307="",IFERROR(VALUE(LEFT('Base Encuesta'!K307,1)),"")&gt;=3),"",IF(W333=1,VALUE(LEFT('Base Encuesta'!AH307,1)),""))</f>
        <v/>
      </c>
      <c r="AA333" t="str">
        <f>IF(OR('Base Encuesta'!AI307="",IFERROR(VALUE(LEFT('Base Encuesta'!K307,1)),"")&gt;=3),"",IF(W333=1,VALUE(LEFT('Base Encuesta'!AI307,1)),""))</f>
        <v/>
      </c>
      <c r="AB333" t="str">
        <f>IF(OR('Base Encuesta'!AJ307="",IFERROR(VALUE(LEFT('Base Encuesta'!K307,1)),"")&gt;=3),"",IF(W333=1,VALUE(LEFT('Base Encuesta'!AJ307,1)),""))</f>
        <v/>
      </c>
      <c r="AC333" t="str">
        <f>IF(OR('Base Encuesta'!AL307="",IFERROR(VALUE(LEFT('Base Encuesta'!K307,1)),"")&gt;=3),"",VALUE(LEFT('Base Encuesta'!AL307,1)))</f>
        <v/>
      </c>
      <c r="AD333" t="str">
        <f>IF(OR('Base Encuesta'!AM307="",IFERROR(VALUE(LEFT('Base Encuesta'!K307,1)),"")&gt;=3),"",VALUE(LEFT('Base Encuesta'!AM307,1)))</f>
        <v/>
      </c>
      <c r="AE333" t="str">
        <f>IF(OR('Base Encuesta'!AN307="",IFERROR(VALUE(LEFT('Base Encuesta'!K307,1)),"")&gt;=3),"",VALUE(LEFT('Base Encuesta'!AN307,1)))</f>
        <v/>
      </c>
      <c r="AF333" t="str">
        <f>IF(OR('Base Encuesta'!AO307="",IFERROR(VALUE(LEFT('Base Encuesta'!K307,1)),"")&gt;=3),"",VALUE(LEFT('Base Encuesta'!AO307,1)))</f>
        <v/>
      </c>
      <c r="AG333" t="str">
        <f>IF(OR('Base Encuesta'!AQ307="",IFERROR(VALUE(LEFT('Base Encuesta'!K307,1)),"")&gt;=3),"",VALUE(LEFT('Base Encuesta'!AQ307,1)))</f>
        <v/>
      </c>
      <c r="AH333" t="str">
        <f>IF(OR('Base Encuesta'!AR307="",IFERROR(VALUE(LEFT('Base Encuesta'!K307,1)),"")&gt;=3),"",VALUE(LEFT('Base Encuesta'!AR307,1)))</f>
        <v/>
      </c>
    </row>
    <row r="334" spans="1:34">
      <c r="A334" t="str">
        <f>IF('Base Encuesta'!C308="","",'Base Encuesta'!C308)</f>
        <v/>
      </c>
      <c r="B334" t="str">
        <f>IF('Base Encuesta'!D308="","",'Base Encuesta'!D308)</f>
        <v/>
      </c>
      <c r="C334" t="str">
        <f>IF('Base Encuesta'!E308="","",'Base Encuesta'!E308)</f>
        <v/>
      </c>
      <c r="D334" t="str">
        <f>IF('Base Encuesta'!F308="","",'Base Encuesta'!F308)</f>
        <v/>
      </c>
      <c r="E334" t="str">
        <f>IF('Base Encuesta'!G308="","",'Base Encuesta'!G308)</f>
        <v/>
      </c>
      <c r="F334" t="str">
        <f>IF('Base Encuesta'!H308="","",'Base Encuesta'!H308)</f>
        <v/>
      </c>
      <c r="G334" t="str">
        <f>IF('Base Encuesta'!I308="","",'Base Encuesta'!I308)</f>
        <v/>
      </c>
      <c r="H334" t="str">
        <f>IF('Base Encuesta'!J308="","",'Base Encuesta'!J308)</f>
        <v/>
      </c>
      <c r="I334" t="str">
        <f>IF('Base Encuesta'!K308="","",'Base Encuesta'!K308)</f>
        <v/>
      </c>
      <c r="J334" t="str">
        <f>IF(OR('Base Encuesta'!P308="",IFERROR(VALUE(LEFT('Base Encuesta'!K308,1)),"")&gt;=3),"",PROPER(TRIM('Base Encuesta'!P308)))</f>
        <v/>
      </c>
      <c r="K334" t="str">
        <f>IF(OR('Base Encuesta'!Q308="",IFERROR(VALUE(LEFT('Base Encuesta'!K308,1)),"")&gt;=3),"",'Base Encuesta'!Q308)</f>
        <v/>
      </c>
      <c r="L334" t="str">
        <f>IF(OR('Base Encuesta'!R308="",IFERROR(VALUE(LEFT('Base Encuesta'!K308,1)),"")&gt;=3),"",VALUE(LEFT('Base Encuesta'!R308,1)))</f>
        <v/>
      </c>
      <c r="M334" t="str">
        <f>IF(OR('Base Encuesta'!S308="",IFERROR(VALUE(LEFT('Base Encuesta'!K308,1)),"")&gt;=3),"",VALUE(LEFT('Base Encuesta'!S308,1)))</f>
        <v/>
      </c>
      <c r="N334" t="str">
        <f>IF(OR('Base Encuesta'!T308="",IFERROR(VALUE(LEFT('Base Encuesta'!K308,1)),"")&gt;=3),"",VALUE(LEFT('Base Encuesta'!T308,1)))</f>
        <v/>
      </c>
      <c r="O334" t="str">
        <f>IF(OR('Base Encuesta'!V308="",IFERROR(VALUE(LEFT('Base Encuesta'!K308,1)),"")&gt;=3),"",VALUE(LEFT('Base Encuesta'!V308,1)))</f>
        <v/>
      </c>
      <c r="P334" t="str">
        <f>IF(OR('Base Encuesta'!W308="",IFERROR(VALUE(LEFT('Base Encuesta'!K308,1)),"")&gt;=3),"",VALUE(LEFT('Base Encuesta'!W308,1)))</f>
        <v/>
      </c>
      <c r="Q334" t="str">
        <f>IF(OR('Base Encuesta'!X308="",IFERROR(VALUE(LEFT('Base Encuesta'!K308,1)),"")&gt;=3),"",VALUE(LEFT('Base Encuesta'!X308,1)))</f>
        <v/>
      </c>
      <c r="R334" t="str">
        <f>IF(OR('Base Encuesta'!Y308="",IFERROR(VALUE(LEFT('Base Encuesta'!K308,1)),"")&gt;=3),"",VALUE(LEFT('Base Encuesta'!Y308,1)))</f>
        <v/>
      </c>
      <c r="S334" t="str">
        <f>IF(OR('Base Encuesta'!Z308="",IFERROR(VALUE(LEFT('Base Encuesta'!K308,1)),"")&gt;=3),"",VALUE(LEFT('Base Encuesta'!Z308,1)))</f>
        <v/>
      </c>
      <c r="T334" t="str">
        <f>IF(OR('Base Encuesta'!AA308="",IFERROR(VALUE(LEFT('Base Encuesta'!K308,1)),"")&gt;=3),"",VALUE(LEFT('Base Encuesta'!AA308,1)))</f>
        <v/>
      </c>
      <c r="U334" t="str">
        <f>IF(OR('Base Encuesta'!AB308="",IFERROR(VALUE(LEFT('Base Encuesta'!K308,1)),"")&gt;=3),"",VALUE(LEFT('Base Encuesta'!AB308,1)))</f>
        <v/>
      </c>
      <c r="V334" t="str">
        <f>IF(OR('Base Encuesta'!AC308="",IFERROR(VALUE(LEFT('Base Encuesta'!K308,1)),"")&gt;=3),"",VALUE(LEFT('Base Encuesta'!AC308,1)))</f>
        <v/>
      </c>
      <c r="W334" t="str">
        <f>IF(OR('Base Encuesta'!AE308="",IFERROR(VALUE(LEFT('Base Encuesta'!K308,1)),"")&gt;=3),"",VALUE(LEFT('Base Encuesta'!AE308,1)))</f>
        <v/>
      </c>
      <c r="X334" t="str">
        <f>IF(OR('Base Encuesta'!AF308="",IFERROR(VALUE(LEFT('Base Encuesta'!K308,1)),"")&gt;=3),"",IF(W334=1,VALUE(LEFT('Base Encuesta'!AF308,1)),""))</f>
        <v/>
      </c>
      <c r="Y334" t="str">
        <f>IF(OR('Base Encuesta'!AG308="",IFERROR(VALUE(LEFT('Base Encuesta'!K308,1)),"")&gt;=3),"",IF(W334=1,VALUE(LEFT('Base Encuesta'!AG308,1)),""))</f>
        <v/>
      </c>
      <c r="Z334" t="str">
        <f>IF(OR('Base Encuesta'!AH308="",IFERROR(VALUE(LEFT('Base Encuesta'!K308,1)),"")&gt;=3),"",IF(W334=1,VALUE(LEFT('Base Encuesta'!AH308,1)),""))</f>
        <v/>
      </c>
      <c r="AA334" t="str">
        <f>IF(OR('Base Encuesta'!AI308="",IFERROR(VALUE(LEFT('Base Encuesta'!K308,1)),"")&gt;=3),"",IF(W334=1,VALUE(LEFT('Base Encuesta'!AI308,1)),""))</f>
        <v/>
      </c>
      <c r="AB334" t="str">
        <f>IF(OR('Base Encuesta'!AJ308="",IFERROR(VALUE(LEFT('Base Encuesta'!K308,1)),"")&gt;=3),"",IF(W334=1,VALUE(LEFT('Base Encuesta'!AJ308,1)),""))</f>
        <v/>
      </c>
      <c r="AC334" t="str">
        <f>IF(OR('Base Encuesta'!AL308="",IFERROR(VALUE(LEFT('Base Encuesta'!K308,1)),"")&gt;=3),"",VALUE(LEFT('Base Encuesta'!AL308,1)))</f>
        <v/>
      </c>
      <c r="AD334" t="str">
        <f>IF(OR('Base Encuesta'!AM308="",IFERROR(VALUE(LEFT('Base Encuesta'!K308,1)),"")&gt;=3),"",VALUE(LEFT('Base Encuesta'!AM308,1)))</f>
        <v/>
      </c>
      <c r="AE334" t="str">
        <f>IF(OR('Base Encuesta'!AN308="",IFERROR(VALUE(LEFT('Base Encuesta'!K308,1)),"")&gt;=3),"",VALUE(LEFT('Base Encuesta'!AN308,1)))</f>
        <v/>
      </c>
      <c r="AF334" t="str">
        <f>IF(OR('Base Encuesta'!AO308="",IFERROR(VALUE(LEFT('Base Encuesta'!K308,1)),"")&gt;=3),"",VALUE(LEFT('Base Encuesta'!AO308,1)))</f>
        <v/>
      </c>
      <c r="AG334" t="str">
        <f>IF(OR('Base Encuesta'!AQ308="",IFERROR(VALUE(LEFT('Base Encuesta'!K308,1)),"")&gt;=3),"",VALUE(LEFT('Base Encuesta'!AQ308,1)))</f>
        <v/>
      </c>
      <c r="AH334" t="str">
        <f>IF(OR('Base Encuesta'!AR308="",IFERROR(VALUE(LEFT('Base Encuesta'!K308,1)),"")&gt;=3),"",VALUE(LEFT('Base Encuesta'!AR308,1)))</f>
        <v/>
      </c>
    </row>
    <row r="335" spans="1:34">
      <c r="A335" t="str">
        <f>IF('Base Encuesta'!C309="","",'Base Encuesta'!C309)</f>
        <v/>
      </c>
      <c r="B335" t="str">
        <f>IF('Base Encuesta'!D309="","",'Base Encuesta'!D309)</f>
        <v/>
      </c>
      <c r="C335" t="str">
        <f>IF('Base Encuesta'!E309="","",'Base Encuesta'!E309)</f>
        <v/>
      </c>
      <c r="D335" t="str">
        <f>IF('Base Encuesta'!F309="","",'Base Encuesta'!F309)</f>
        <v/>
      </c>
      <c r="E335" t="str">
        <f>IF('Base Encuesta'!G309="","",'Base Encuesta'!G309)</f>
        <v/>
      </c>
      <c r="F335" t="str">
        <f>IF('Base Encuesta'!H309="","",'Base Encuesta'!H309)</f>
        <v/>
      </c>
      <c r="G335" t="str">
        <f>IF('Base Encuesta'!I309="","",'Base Encuesta'!I309)</f>
        <v/>
      </c>
      <c r="H335" t="str">
        <f>IF('Base Encuesta'!J309="","",'Base Encuesta'!J309)</f>
        <v/>
      </c>
      <c r="I335" t="str">
        <f>IF('Base Encuesta'!K309="","",'Base Encuesta'!K309)</f>
        <v/>
      </c>
      <c r="J335" t="str">
        <f>IF(OR('Base Encuesta'!P309="",IFERROR(VALUE(LEFT('Base Encuesta'!K309,1)),"")&gt;=3),"",PROPER(TRIM('Base Encuesta'!P309)))</f>
        <v/>
      </c>
      <c r="K335" t="str">
        <f>IF(OR('Base Encuesta'!Q309="",IFERROR(VALUE(LEFT('Base Encuesta'!K309,1)),"")&gt;=3),"",'Base Encuesta'!Q309)</f>
        <v/>
      </c>
      <c r="L335" t="str">
        <f>IF(OR('Base Encuesta'!R309="",IFERROR(VALUE(LEFT('Base Encuesta'!K309,1)),"")&gt;=3),"",VALUE(LEFT('Base Encuesta'!R309,1)))</f>
        <v/>
      </c>
      <c r="M335" t="str">
        <f>IF(OR('Base Encuesta'!S309="",IFERROR(VALUE(LEFT('Base Encuesta'!K309,1)),"")&gt;=3),"",VALUE(LEFT('Base Encuesta'!S309,1)))</f>
        <v/>
      </c>
      <c r="N335" t="str">
        <f>IF(OR('Base Encuesta'!T309="",IFERROR(VALUE(LEFT('Base Encuesta'!K309,1)),"")&gt;=3),"",VALUE(LEFT('Base Encuesta'!T309,1)))</f>
        <v/>
      </c>
      <c r="O335" t="str">
        <f>IF(OR('Base Encuesta'!V309="",IFERROR(VALUE(LEFT('Base Encuesta'!K309,1)),"")&gt;=3),"",VALUE(LEFT('Base Encuesta'!V309,1)))</f>
        <v/>
      </c>
      <c r="P335" t="str">
        <f>IF(OR('Base Encuesta'!W309="",IFERROR(VALUE(LEFT('Base Encuesta'!K309,1)),"")&gt;=3),"",VALUE(LEFT('Base Encuesta'!W309,1)))</f>
        <v/>
      </c>
      <c r="Q335" t="str">
        <f>IF(OR('Base Encuesta'!X309="",IFERROR(VALUE(LEFT('Base Encuesta'!K309,1)),"")&gt;=3),"",VALUE(LEFT('Base Encuesta'!X309,1)))</f>
        <v/>
      </c>
      <c r="R335" t="str">
        <f>IF(OR('Base Encuesta'!Y309="",IFERROR(VALUE(LEFT('Base Encuesta'!K309,1)),"")&gt;=3),"",VALUE(LEFT('Base Encuesta'!Y309,1)))</f>
        <v/>
      </c>
      <c r="S335" t="str">
        <f>IF(OR('Base Encuesta'!Z309="",IFERROR(VALUE(LEFT('Base Encuesta'!K309,1)),"")&gt;=3),"",VALUE(LEFT('Base Encuesta'!Z309,1)))</f>
        <v/>
      </c>
      <c r="T335" t="str">
        <f>IF(OR('Base Encuesta'!AA309="",IFERROR(VALUE(LEFT('Base Encuesta'!K309,1)),"")&gt;=3),"",VALUE(LEFT('Base Encuesta'!AA309,1)))</f>
        <v/>
      </c>
      <c r="U335" t="str">
        <f>IF(OR('Base Encuesta'!AB309="",IFERROR(VALUE(LEFT('Base Encuesta'!K309,1)),"")&gt;=3),"",VALUE(LEFT('Base Encuesta'!AB309,1)))</f>
        <v/>
      </c>
      <c r="V335" t="str">
        <f>IF(OR('Base Encuesta'!AC309="",IFERROR(VALUE(LEFT('Base Encuesta'!K309,1)),"")&gt;=3),"",VALUE(LEFT('Base Encuesta'!AC309,1)))</f>
        <v/>
      </c>
      <c r="W335" t="str">
        <f>IF(OR('Base Encuesta'!AE309="",IFERROR(VALUE(LEFT('Base Encuesta'!K309,1)),"")&gt;=3),"",VALUE(LEFT('Base Encuesta'!AE309,1)))</f>
        <v/>
      </c>
      <c r="X335" t="str">
        <f>IF(OR('Base Encuesta'!AF309="",IFERROR(VALUE(LEFT('Base Encuesta'!K309,1)),"")&gt;=3),"",IF(W335=1,VALUE(LEFT('Base Encuesta'!AF309,1)),""))</f>
        <v/>
      </c>
      <c r="Y335" t="str">
        <f>IF(OR('Base Encuesta'!AG309="",IFERROR(VALUE(LEFT('Base Encuesta'!K309,1)),"")&gt;=3),"",IF(W335=1,VALUE(LEFT('Base Encuesta'!AG309,1)),""))</f>
        <v/>
      </c>
      <c r="Z335" t="str">
        <f>IF(OR('Base Encuesta'!AH309="",IFERROR(VALUE(LEFT('Base Encuesta'!K309,1)),"")&gt;=3),"",IF(W335=1,VALUE(LEFT('Base Encuesta'!AH309,1)),""))</f>
        <v/>
      </c>
      <c r="AA335" t="str">
        <f>IF(OR('Base Encuesta'!AI309="",IFERROR(VALUE(LEFT('Base Encuesta'!K309,1)),"")&gt;=3),"",IF(W335=1,VALUE(LEFT('Base Encuesta'!AI309,1)),""))</f>
        <v/>
      </c>
      <c r="AB335" t="str">
        <f>IF(OR('Base Encuesta'!AJ309="",IFERROR(VALUE(LEFT('Base Encuesta'!K309,1)),"")&gt;=3),"",IF(W335=1,VALUE(LEFT('Base Encuesta'!AJ309,1)),""))</f>
        <v/>
      </c>
      <c r="AC335" t="str">
        <f>IF(OR('Base Encuesta'!AL309="",IFERROR(VALUE(LEFT('Base Encuesta'!K309,1)),"")&gt;=3),"",VALUE(LEFT('Base Encuesta'!AL309,1)))</f>
        <v/>
      </c>
      <c r="AD335" t="str">
        <f>IF(OR('Base Encuesta'!AM309="",IFERROR(VALUE(LEFT('Base Encuesta'!K309,1)),"")&gt;=3),"",VALUE(LEFT('Base Encuesta'!AM309,1)))</f>
        <v/>
      </c>
      <c r="AE335" t="str">
        <f>IF(OR('Base Encuesta'!AN309="",IFERROR(VALUE(LEFT('Base Encuesta'!K309,1)),"")&gt;=3),"",VALUE(LEFT('Base Encuesta'!AN309,1)))</f>
        <v/>
      </c>
      <c r="AF335" t="str">
        <f>IF(OR('Base Encuesta'!AO309="",IFERROR(VALUE(LEFT('Base Encuesta'!K309,1)),"")&gt;=3),"",VALUE(LEFT('Base Encuesta'!AO309,1)))</f>
        <v/>
      </c>
      <c r="AG335" t="str">
        <f>IF(OR('Base Encuesta'!AQ309="",IFERROR(VALUE(LEFT('Base Encuesta'!K309,1)),"")&gt;=3),"",VALUE(LEFT('Base Encuesta'!AQ309,1)))</f>
        <v/>
      </c>
      <c r="AH335" t="str">
        <f>IF(OR('Base Encuesta'!AR309="",IFERROR(VALUE(LEFT('Base Encuesta'!K309,1)),"")&gt;=3),"",VALUE(LEFT('Base Encuesta'!AR309,1)))</f>
        <v/>
      </c>
    </row>
    <row r="336" spans="1:34">
      <c r="A336" t="str">
        <f>IF('Base Encuesta'!C310="","",'Base Encuesta'!C310)</f>
        <v/>
      </c>
      <c r="B336" t="str">
        <f>IF('Base Encuesta'!D310="","",'Base Encuesta'!D310)</f>
        <v/>
      </c>
      <c r="C336" t="str">
        <f>IF('Base Encuesta'!E310="","",'Base Encuesta'!E310)</f>
        <v/>
      </c>
      <c r="D336" t="str">
        <f>IF('Base Encuesta'!F310="","",'Base Encuesta'!F310)</f>
        <v/>
      </c>
      <c r="E336" t="str">
        <f>IF('Base Encuesta'!G310="","",'Base Encuesta'!G310)</f>
        <v/>
      </c>
      <c r="F336" t="str">
        <f>IF('Base Encuesta'!H310="","",'Base Encuesta'!H310)</f>
        <v/>
      </c>
      <c r="G336" t="str">
        <f>IF('Base Encuesta'!I310="","",'Base Encuesta'!I310)</f>
        <v/>
      </c>
      <c r="H336" t="str">
        <f>IF('Base Encuesta'!J310="","",'Base Encuesta'!J310)</f>
        <v/>
      </c>
      <c r="I336" t="str">
        <f>IF('Base Encuesta'!K310="","",'Base Encuesta'!K310)</f>
        <v/>
      </c>
      <c r="J336" t="str">
        <f>IF(OR('Base Encuesta'!P310="",IFERROR(VALUE(LEFT('Base Encuesta'!K310,1)),"")&gt;=3),"",PROPER(TRIM('Base Encuesta'!P310)))</f>
        <v/>
      </c>
      <c r="K336" t="str">
        <f>IF(OR('Base Encuesta'!Q310="",IFERROR(VALUE(LEFT('Base Encuesta'!K310,1)),"")&gt;=3),"",'Base Encuesta'!Q310)</f>
        <v/>
      </c>
      <c r="L336" t="str">
        <f>IF(OR('Base Encuesta'!R310="",IFERROR(VALUE(LEFT('Base Encuesta'!K310,1)),"")&gt;=3),"",VALUE(LEFT('Base Encuesta'!R310,1)))</f>
        <v/>
      </c>
      <c r="M336" t="str">
        <f>IF(OR('Base Encuesta'!S310="",IFERROR(VALUE(LEFT('Base Encuesta'!K310,1)),"")&gt;=3),"",VALUE(LEFT('Base Encuesta'!S310,1)))</f>
        <v/>
      </c>
      <c r="N336" t="str">
        <f>IF(OR('Base Encuesta'!T310="",IFERROR(VALUE(LEFT('Base Encuesta'!K310,1)),"")&gt;=3),"",VALUE(LEFT('Base Encuesta'!T310,1)))</f>
        <v/>
      </c>
      <c r="O336" t="str">
        <f>IF(OR('Base Encuesta'!V310="",IFERROR(VALUE(LEFT('Base Encuesta'!K310,1)),"")&gt;=3),"",VALUE(LEFT('Base Encuesta'!V310,1)))</f>
        <v/>
      </c>
      <c r="P336" t="str">
        <f>IF(OR('Base Encuesta'!W310="",IFERROR(VALUE(LEFT('Base Encuesta'!K310,1)),"")&gt;=3),"",VALUE(LEFT('Base Encuesta'!W310,1)))</f>
        <v/>
      </c>
      <c r="Q336" t="str">
        <f>IF(OR('Base Encuesta'!X310="",IFERROR(VALUE(LEFT('Base Encuesta'!K310,1)),"")&gt;=3),"",VALUE(LEFT('Base Encuesta'!X310,1)))</f>
        <v/>
      </c>
      <c r="R336" t="str">
        <f>IF(OR('Base Encuesta'!Y310="",IFERROR(VALUE(LEFT('Base Encuesta'!K310,1)),"")&gt;=3),"",VALUE(LEFT('Base Encuesta'!Y310,1)))</f>
        <v/>
      </c>
      <c r="S336" t="str">
        <f>IF(OR('Base Encuesta'!Z310="",IFERROR(VALUE(LEFT('Base Encuesta'!K310,1)),"")&gt;=3),"",VALUE(LEFT('Base Encuesta'!Z310,1)))</f>
        <v/>
      </c>
      <c r="T336" t="str">
        <f>IF(OR('Base Encuesta'!AA310="",IFERROR(VALUE(LEFT('Base Encuesta'!K310,1)),"")&gt;=3),"",VALUE(LEFT('Base Encuesta'!AA310,1)))</f>
        <v/>
      </c>
      <c r="U336" t="str">
        <f>IF(OR('Base Encuesta'!AB310="",IFERROR(VALUE(LEFT('Base Encuesta'!K310,1)),"")&gt;=3),"",VALUE(LEFT('Base Encuesta'!AB310,1)))</f>
        <v/>
      </c>
      <c r="V336" t="str">
        <f>IF(OR('Base Encuesta'!AC310="",IFERROR(VALUE(LEFT('Base Encuesta'!K310,1)),"")&gt;=3),"",VALUE(LEFT('Base Encuesta'!AC310,1)))</f>
        <v/>
      </c>
      <c r="W336" t="str">
        <f>IF(OR('Base Encuesta'!AE310="",IFERROR(VALUE(LEFT('Base Encuesta'!K310,1)),"")&gt;=3),"",VALUE(LEFT('Base Encuesta'!AE310,1)))</f>
        <v/>
      </c>
      <c r="X336" t="str">
        <f>IF(OR('Base Encuesta'!AF310="",IFERROR(VALUE(LEFT('Base Encuesta'!K310,1)),"")&gt;=3),"",IF(W336=1,VALUE(LEFT('Base Encuesta'!AF310,1)),""))</f>
        <v/>
      </c>
      <c r="Y336" t="str">
        <f>IF(OR('Base Encuesta'!AG310="",IFERROR(VALUE(LEFT('Base Encuesta'!K310,1)),"")&gt;=3),"",IF(W336=1,VALUE(LEFT('Base Encuesta'!AG310,1)),""))</f>
        <v/>
      </c>
      <c r="Z336" t="str">
        <f>IF(OR('Base Encuesta'!AH310="",IFERROR(VALUE(LEFT('Base Encuesta'!K310,1)),"")&gt;=3),"",IF(W336=1,VALUE(LEFT('Base Encuesta'!AH310,1)),""))</f>
        <v/>
      </c>
      <c r="AA336" t="str">
        <f>IF(OR('Base Encuesta'!AI310="",IFERROR(VALUE(LEFT('Base Encuesta'!K310,1)),"")&gt;=3),"",IF(W336=1,VALUE(LEFT('Base Encuesta'!AI310,1)),""))</f>
        <v/>
      </c>
      <c r="AB336" t="str">
        <f>IF(OR('Base Encuesta'!AJ310="",IFERROR(VALUE(LEFT('Base Encuesta'!K310,1)),"")&gt;=3),"",IF(W336=1,VALUE(LEFT('Base Encuesta'!AJ310,1)),""))</f>
        <v/>
      </c>
      <c r="AC336" t="str">
        <f>IF(OR('Base Encuesta'!AL310="",IFERROR(VALUE(LEFT('Base Encuesta'!K310,1)),"")&gt;=3),"",VALUE(LEFT('Base Encuesta'!AL310,1)))</f>
        <v/>
      </c>
      <c r="AD336" t="str">
        <f>IF(OR('Base Encuesta'!AM310="",IFERROR(VALUE(LEFT('Base Encuesta'!K310,1)),"")&gt;=3),"",VALUE(LEFT('Base Encuesta'!AM310,1)))</f>
        <v/>
      </c>
      <c r="AE336" t="str">
        <f>IF(OR('Base Encuesta'!AN310="",IFERROR(VALUE(LEFT('Base Encuesta'!K310,1)),"")&gt;=3),"",VALUE(LEFT('Base Encuesta'!AN310,1)))</f>
        <v/>
      </c>
      <c r="AF336" t="str">
        <f>IF(OR('Base Encuesta'!AO310="",IFERROR(VALUE(LEFT('Base Encuesta'!K310,1)),"")&gt;=3),"",VALUE(LEFT('Base Encuesta'!AO310,1)))</f>
        <v/>
      </c>
      <c r="AG336" t="str">
        <f>IF(OR('Base Encuesta'!AQ310="",IFERROR(VALUE(LEFT('Base Encuesta'!K310,1)),"")&gt;=3),"",VALUE(LEFT('Base Encuesta'!AQ310,1)))</f>
        <v/>
      </c>
      <c r="AH336" t="str">
        <f>IF(OR('Base Encuesta'!AR310="",IFERROR(VALUE(LEFT('Base Encuesta'!K310,1)),"")&gt;=3),"",VALUE(LEFT('Base Encuesta'!AR310,1)))</f>
        <v/>
      </c>
    </row>
    <row r="337" spans="1:34">
      <c r="A337" t="str">
        <f>IF('Base Encuesta'!C311="","",'Base Encuesta'!C311)</f>
        <v/>
      </c>
      <c r="B337" t="str">
        <f>IF('Base Encuesta'!D311="","",'Base Encuesta'!D311)</f>
        <v/>
      </c>
      <c r="C337" t="str">
        <f>IF('Base Encuesta'!E311="","",'Base Encuesta'!E311)</f>
        <v/>
      </c>
      <c r="D337" t="str">
        <f>IF('Base Encuesta'!F311="","",'Base Encuesta'!F311)</f>
        <v/>
      </c>
      <c r="E337" t="str">
        <f>IF('Base Encuesta'!G311="","",'Base Encuesta'!G311)</f>
        <v/>
      </c>
      <c r="F337" t="str">
        <f>IF('Base Encuesta'!H311="","",'Base Encuesta'!H311)</f>
        <v/>
      </c>
      <c r="G337" t="str">
        <f>IF('Base Encuesta'!I311="","",'Base Encuesta'!I311)</f>
        <v/>
      </c>
      <c r="H337" t="str">
        <f>IF('Base Encuesta'!J311="","",'Base Encuesta'!J311)</f>
        <v/>
      </c>
      <c r="I337" t="str">
        <f>IF('Base Encuesta'!K311="","",'Base Encuesta'!K311)</f>
        <v/>
      </c>
      <c r="J337" t="str">
        <f>IF(OR('Base Encuesta'!P311="",IFERROR(VALUE(LEFT('Base Encuesta'!K311,1)),"")&gt;=3),"",PROPER(TRIM('Base Encuesta'!P311)))</f>
        <v/>
      </c>
      <c r="K337" t="str">
        <f>IF(OR('Base Encuesta'!Q311="",IFERROR(VALUE(LEFT('Base Encuesta'!K311,1)),"")&gt;=3),"",'Base Encuesta'!Q311)</f>
        <v/>
      </c>
      <c r="L337" t="str">
        <f>IF(OR('Base Encuesta'!R311="",IFERROR(VALUE(LEFT('Base Encuesta'!K311,1)),"")&gt;=3),"",VALUE(LEFT('Base Encuesta'!R311,1)))</f>
        <v/>
      </c>
      <c r="M337" t="str">
        <f>IF(OR('Base Encuesta'!S311="",IFERROR(VALUE(LEFT('Base Encuesta'!K311,1)),"")&gt;=3),"",VALUE(LEFT('Base Encuesta'!S311,1)))</f>
        <v/>
      </c>
      <c r="N337" t="str">
        <f>IF(OR('Base Encuesta'!T311="",IFERROR(VALUE(LEFT('Base Encuesta'!K311,1)),"")&gt;=3),"",VALUE(LEFT('Base Encuesta'!T311,1)))</f>
        <v/>
      </c>
      <c r="O337" t="str">
        <f>IF(OR('Base Encuesta'!V311="",IFERROR(VALUE(LEFT('Base Encuesta'!K311,1)),"")&gt;=3),"",VALUE(LEFT('Base Encuesta'!V311,1)))</f>
        <v/>
      </c>
      <c r="P337" t="str">
        <f>IF(OR('Base Encuesta'!W311="",IFERROR(VALUE(LEFT('Base Encuesta'!K311,1)),"")&gt;=3),"",VALUE(LEFT('Base Encuesta'!W311,1)))</f>
        <v/>
      </c>
      <c r="Q337" t="str">
        <f>IF(OR('Base Encuesta'!X311="",IFERROR(VALUE(LEFT('Base Encuesta'!K311,1)),"")&gt;=3),"",VALUE(LEFT('Base Encuesta'!X311,1)))</f>
        <v/>
      </c>
      <c r="R337" t="str">
        <f>IF(OR('Base Encuesta'!Y311="",IFERROR(VALUE(LEFT('Base Encuesta'!K311,1)),"")&gt;=3),"",VALUE(LEFT('Base Encuesta'!Y311,1)))</f>
        <v/>
      </c>
      <c r="S337" t="str">
        <f>IF(OR('Base Encuesta'!Z311="",IFERROR(VALUE(LEFT('Base Encuesta'!K311,1)),"")&gt;=3),"",VALUE(LEFT('Base Encuesta'!Z311,1)))</f>
        <v/>
      </c>
      <c r="T337" t="str">
        <f>IF(OR('Base Encuesta'!AA311="",IFERROR(VALUE(LEFT('Base Encuesta'!K311,1)),"")&gt;=3),"",VALUE(LEFT('Base Encuesta'!AA311,1)))</f>
        <v/>
      </c>
      <c r="U337" t="str">
        <f>IF(OR('Base Encuesta'!AB311="",IFERROR(VALUE(LEFT('Base Encuesta'!K311,1)),"")&gt;=3),"",VALUE(LEFT('Base Encuesta'!AB311,1)))</f>
        <v/>
      </c>
      <c r="V337" t="str">
        <f>IF(OR('Base Encuesta'!AC311="",IFERROR(VALUE(LEFT('Base Encuesta'!K311,1)),"")&gt;=3),"",VALUE(LEFT('Base Encuesta'!AC311,1)))</f>
        <v/>
      </c>
      <c r="W337" t="str">
        <f>IF(OR('Base Encuesta'!AE311="",IFERROR(VALUE(LEFT('Base Encuesta'!K311,1)),"")&gt;=3),"",VALUE(LEFT('Base Encuesta'!AE311,1)))</f>
        <v/>
      </c>
      <c r="X337" t="str">
        <f>IF(OR('Base Encuesta'!AF311="",IFERROR(VALUE(LEFT('Base Encuesta'!K311,1)),"")&gt;=3),"",IF(W337=1,VALUE(LEFT('Base Encuesta'!AF311,1)),""))</f>
        <v/>
      </c>
      <c r="Y337" t="str">
        <f>IF(OR('Base Encuesta'!AG311="",IFERROR(VALUE(LEFT('Base Encuesta'!K311,1)),"")&gt;=3),"",IF(W337=1,VALUE(LEFT('Base Encuesta'!AG311,1)),""))</f>
        <v/>
      </c>
      <c r="Z337" t="str">
        <f>IF(OR('Base Encuesta'!AH311="",IFERROR(VALUE(LEFT('Base Encuesta'!K311,1)),"")&gt;=3),"",IF(W337=1,VALUE(LEFT('Base Encuesta'!AH311,1)),""))</f>
        <v/>
      </c>
      <c r="AA337" t="str">
        <f>IF(OR('Base Encuesta'!AI311="",IFERROR(VALUE(LEFT('Base Encuesta'!K311,1)),"")&gt;=3),"",IF(W337=1,VALUE(LEFT('Base Encuesta'!AI311,1)),""))</f>
        <v/>
      </c>
      <c r="AB337" t="str">
        <f>IF(OR('Base Encuesta'!AJ311="",IFERROR(VALUE(LEFT('Base Encuesta'!K311,1)),"")&gt;=3),"",IF(W337=1,VALUE(LEFT('Base Encuesta'!AJ311,1)),""))</f>
        <v/>
      </c>
      <c r="AC337" t="str">
        <f>IF(OR('Base Encuesta'!AL311="",IFERROR(VALUE(LEFT('Base Encuesta'!K311,1)),"")&gt;=3),"",VALUE(LEFT('Base Encuesta'!AL311,1)))</f>
        <v/>
      </c>
      <c r="AD337" t="str">
        <f>IF(OR('Base Encuesta'!AM311="",IFERROR(VALUE(LEFT('Base Encuesta'!K311,1)),"")&gt;=3),"",VALUE(LEFT('Base Encuesta'!AM311,1)))</f>
        <v/>
      </c>
      <c r="AE337" t="str">
        <f>IF(OR('Base Encuesta'!AN311="",IFERROR(VALUE(LEFT('Base Encuesta'!K311,1)),"")&gt;=3),"",VALUE(LEFT('Base Encuesta'!AN311,1)))</f>
        <v/>
      </c>
      <c r="AF337" t="str">
        <f>IF(OR('Base Encuesta'!AO311="",IFERROR(VALUE(LEFT('Base Encuesta'!K311,1)),"")&gt;=3),"",VALUE(LEFT('Base Encuesta'!AO311,1)))</f>
        <v/>
      </c>
      <c r="AG337" t="str">
        <f>IF(OR('Base Encuesta'!AQ311="",IFERROR(VALUE(LEFT('Base Encuesta'!K311,1)),"")&gt;=3),"",VALUE(LEFT('Base Encuesta'!AQ311,1)))</f>
        <v/>
      </c>
      <c r="AH337" t="str">
        <f>IF(OR('Base Encuesta'!AR311="",IFERROR(VALUE(LEFT('Base Encuesta'!K311,1)),"")&gt;=3),"",VALUE(LEFT('Base Encuesta'!AR311,1)))</f>
        <v/>
      </c>
    </row>
    <row r="338" spans="1:34">
      <c r="A338" t="str">
        <f>IF('Base Encuesta'!C312="","",'Base Encuesta'!C312)</f>
        <v/>
      </c>
      <c r="B338" t="str">
        <f>IF('Base Encuesta'!D312="","",'Base Encuesta'!D312)</f>
        <v/>
      </c>
      <c r="C338" t="str">
        <f>IF('Base Encuesta'!E312="","",'Base Encuesta'!E312)</f>
        <v/>
      </c>
      <c r="D338" t="str">
        <f>IF('Base Encuesta'!F312="","",'Base Encuesta'!F312)</f>
        <v/>
      </c>
      <c r="E338" t="str">
        <f>IF('Base Encuesta'!G312="","",'Base Encuesta'!G312)</f>
        <v/>
      </c>
      <c r="F338" t="str">
        <f>IF('Base Encuesta'!H312="","",'Base Encuesta'!H312)</f>
        <v/>
      </c>
      <c r="G338" t="str">
        <f>IF('Base Encuesta'!I312="","",'Base Encuesta'!I312)</f>
        <v/>
      </c>
      <c r="H338" t="str">
        <f>IF('Base Encuesta'!J312="","",'Base Encuesta'!J312)</f>
        <v/>
      </c>
      <c r="I338" t="str">
        <f>IF('Base Encuesta'!K312="","",'Base Encuesta'!K312)</f>
        <v/>
      </c>
      <c r="J338" t="str">
        <f>IF(OR('Base Encuesta'!P312="",IFERROR(VALUE(LEFT('Base Encuesta'!K312,1)),"")&gt;=3),"",PROPER(TRIM('Base Encuesta'!P312)))</f>
        <v/>
      </c>
      <c r="K338" t="str">
        <f>IF(OR('Base Encuesta'!Q312="",IFERROR(VALUE(LEFT('Base Encuesta'!K312,1)),"")&gt;=3),"",'Base Encuesta'!Q312)</f>
        <v/>
      </c>
      <c r="L338" t="str">
        <f>IF(OR('Base Encuesta'!R312="",IFERROR(VALUE(LEFT('Base Encuesta'!K312,1)),"")&gt;=3),"",VALUE(LEFT('Base Encuesta'!R312,1)))</f>
        <v/>
      </c>
      <c r="M338" t="str">
        <f>IF(OR('Base Encuesta'!S312="",IFERROR(VALUE(LEFT('Base Encuesta'!K312,1)),"")&gt;=3),"",VALUE(LEFT('Base Encuesta'!S312,1)))</f>
        <v/>
      </c>
      <c r="N338" t="str">
        <f>IF(OR('Base Encuesta'!T312="",IFERROR(VALUE(LEFT('Base Encuesta'!K312,1)),"")&gt;=3),"",VALUE(LEFT('Base Encuesta'!T312,1)))</f>
        <v/>
      </c>
      <c r="O338" t="str">
        <f>IF(OR('Base Encuesta'!V312="",IFERROR(VALUE(LEFT('Base Encuesta'!K312,1)),"")&gt;=3),"",VALUE(LEFT('Base Encuesta'!V312,1)))</f>
        <v/>
      </c>
      <c r="P338" t="str">
        <f>IF(OR('Base Encuesta'!W312="",IFERROR(VALUE(LEFT('Base Encuesta'!K312,1)),"")&gt;=3),"",VALUE(LEFT('Base Encuesta'!W312,1)))</f>
        <v/>
      </c>
      <c r="Q338" t="str">
        <f>IF(OR('Base Encuesta'!X312="",IFERROR(VALUE(LEFT('Base Encuesta'!K312,1)),"")&gt;=3),"",VALUE(LEFT('Base Encuesta'!X312,1)))</f>
        <v/>
      </c>
      <c r="R338" t="str">
        <f>IF(OR('Base Encuesta'!Y312="",IFERROR(VALUE(LEFT('Base Encuesta'!K312,1)),"")&gt;=3),"",VALUE(LEFT('Base Encuesta'!Y312,1)))</f>
        <v/>
      </c>
      <c r="S338" t="str">
        <f>IF(OR('Base Encuesta'!Z312="",IFERROR(VALUE(LEFT('Base Encuesta'!K312,1)),"")&gt;=3),"",VALUE(LEFT('Base Encuesta'!Z312,1)))</f>
        <v/>
      </c>
      <c r="T338" t="str">
        <f>IF(OR('Base Encuesta'!AA312="",IFERROR(VALUE(LEFT('Base Encuesta'!K312,1)),"")&gt;=3),"",VALUE(LEFT('Base Encuesta'!AA312,1)))</f>
        <v/>
      </c>
      <c r="U338" t="str">
        <f>IF(OR('Base Encuesta'!AB312="",IFERROR(VALUE(LEFT('Base Encuesta'!K312,1)),"")&gt;=3),"",VALUE(LEFT('Base Encuesta'!AB312,1)))</f>
        <v/>
      </c>
      <c r="V338" t="str">
        <f>IF(OR('Base Encuesta'!AC312="",IFERROR(VALUE(LEFT('Base Encuesta'!K312,1)),"")&gt;=3),"",VALUE(LEFT('Base Encuesta'!AC312,1)))</f>
        <v/>
      </c>
      <c r="W338" t="str">
        <f>IF(OR('Base Encuesta'!AE312="",IFERROR(VALUE(LEFT('Base Encuesta'!K312,1)),"")&gt;=3),"",VALUE(LEFT('Base Encuesta'!AE312,1)))</f>
        <v/>
      </c>
      <c r="X338" t="str">
        <f>IF(OR('Base Encuesta'!AF312="",IFERROR(VALUE(LEFT('Base Encuesta'!K312,1)),"")&gt;=3),"",IF(W338=1,VALUE(LEFT('Base Encuesta'!AF312,1)),""))</f>
        <v/>
      </c>
      <c r="Y338" t="str">
        <f>IF(OR('Base Encuesta'!AG312="",IFERROR(VALUE(LEFT('Base Encuesta'!K312,1)),"")&gt;=3),"",IF(W338=1,VALUE(LEFT('Base Encuesta'!AG312,1)),""))</f>
        <v/>
      </c>
      <c r="Z338" t="str">
        <f>IF(OR('Base Encuesta'!AH312="",IFERROR(VALUE(LEFT('Base Encuesta'!K312,1)),"")&gt;=3),"",IF(W338=1,VALUE(LEFT('Base Encuesta'!AH312,1)),""))</f>
        <v/>
      </c>
      <c r="AA338" t="str">
        <f>IF(OR('Base Encuesta'!AI312="",IFERROR(VALUE(LEFT('Base Encuesta'!K312,1)),"")&gt;=3),"",IF(W338=1,VALUE(LEFT('Base Encuesta'!AI312,1)),""))</f>
        <v/>
      </c>
      <c r="AB338" t="str">
        <f>IF(OR('Base Encuesta'!AJ312="",IFERROR(VALUE(LEFT('Base Encuesta'!K312,1)),"")&gt;=3),"",IF(W338=1,VALUE(LEFT('Base Encuesta'!AJ312,1)),""))</f>
        <v/>
      </c>
      <c r="AC338" t="str">
        <f>IF(OR('Base Encuesta'!AL312="",IFERROR(VALUE(LEFT('Base Encuesta'!K312,1)),"")&gt;=3),"",VALUE(LEFT('Base Encuesta'!AL312,1)))</f>
        <v/>
      </c>
      <c r="AD338" t="str">
        <f>IF(OR('Base Encuesta'!AM312="",IFERROR(VALUE(LEFT('Base Encuesta'!K312,1)),"")&gt;=3),"",VALUE(LEFT('Base Encuesta'!AM312,1)))</f>
        <v/>
      </c>
      <c r="AE338" t="str">
        <f>IF(OR('Base Encuesta'!AN312="",IFERROR(VALUE(LEFT('Base Encuesta'!K312,1)),"")&gt;=3),"",VALUE(LEFT('Base Encuesta'!AN312,1)))</f>
        <v/>
      </c>
      <c r="AF338" t="str">
        <f>IF(OR('Base Encuesta'!AO312="",IFERROR(VALUE(LEFT('Base Encuesta'!K312,1)),"")&gt;=3),"",VALUE(LEFT('Base Encuesta'!AO312,1)))</f>
        <v/>
      </c>
      <c r="AG338" t="str">
        <f>IF(OR('Base Encuesta'!AQ312="",IFERROR(VALUE(LEFT('Base Encuesta'!K312,1)),"")&gt;=3),"",VALUE(LEFT('Base Encuesta'!AQ312,1)))</f>
        <v/>
      </c>
      <c r="AH338" t="str">
        <f>IF(OR('Base Encuesta'!AR312="",IFERROR(VALUE(LEFT('Base Encuesta'!K312,1)),"")&gt;=3),"",VALUE(LEFT('Base Encuesta'!AR312,1)))</f>
        <v/>
      </c>
    </row>
    <row r="339" spans="1:34">
      <c r="A339" t="str">
        <f>IF('Base Encuesta'!C313="","",'Base Encuesta'!C313)</f>
        <v/>
      </c>
      <c r="B339" t="str">
        <f>IF('Base Encuesta'!D313="","",'Base Encuesta'!D313)</f>
        <v/>
      </c>
      <c r="C339" t="str">
        <f>IF('Base Encuesta'!E313="","",'Base Encuesta'!E313)</f>
        <v/>
      </c>
      <c r="D339" t="str">
        <f>IF('Base Encuesta'!F313="","",'Base Encuesta'!F313)</f>
        <v/>
      </c>
      <c r="E339" t="str">
        <f>IF('Base Encuesta'!G313="","",'Base Encuesta'!G313)</f>
        <v/>
      </c>
      <c r="F339" t="str">
        <f>IF('Base Encuesta'!H313="","",'Base Encuesta'!H313)</f>
        <v/>
      </c>
      <c r="G339" t="str">
        <f>IF('Base Encuesta'!I313="","",'Base Encuesta'!I313)</f>
        <v/>
      </c>
      <c r="H339" t="str">
        <f>IF('Base Encuesta'!J313="","",'Base Encuesta'!J313)</f>
        <v/>
      </c>
      <c r="I339" t="str">
        <f>IF('Base Encuesta'!K313="","",'Base Encuesta'!K313)</f>
        <v/>
      </c>
      <c r="J339" t="str">
        <f>IF(OR('Base Encuesta'!P313="",IFERROR(VALUE(LEFT('Base Encuesta'!K313,1)),"")&gt;=3),"",PROPER(TRIM('Base Encuesta'!P313)))</f>
        <v/>
      </c>
      <c r="K339" t="str">
        <f>IF(OR('Base Encuesta'!Q313="",IFERROR(VALUE(LEFT('Base Encuesta'!K313,1)),"")&gt;=3),"",'Base Encuesta'!Q313)</f>
        <v/>
      </c>
      <c r="L339" t="str">
        <f>IF(OR('Base Encuesta'!R313="",IFERROR(VALUE(LEFT('Base Encuesta'!K313,1)),"")&gt;=3),"",VALUE(LEFT('Base Encuesta'!R313,1)))</f>
        <v/>
      </c>
      <c r="M339" t="str">
        <f>IF(OR('Base Encuesta'!S313="",IFERROR(VALUE(LEFT('Base Encuesta'!K313,1)),"")&gt;=3),"",VALUE(LEFT('Base Encuesta'!S313,1)))</f>
        <v/>
      </c>
      <c r="N339" t="str">
        <f>IF(OR('Base Encuesta'!T313="",IFERROR(VALUE(LEFT('Base Encuesta'!K313,1)),"")&gt;=3),"",VALUE(LEFT('Base Encuesta'!T313,1)))</f>
        <v/>
      </c>
      <c r="O339" t="str">
        <f>IF(OR('Base Encuesta'!V313="",IFERROR(VALUE(LEFT('Base Encuesta'!K313,1)),"")&gt;=3),"",VALUE(LEFT('Base Encuesta'!V313,1)))</f>
        <v/>
      </c>
      <c r="P339" t="str">
        <f>IF(OR('Base Encuesta'!W313="",IFERROR(VALUE(LEFT('Base Encuesta'!K313,1)),"")&gt;=3),"",VALUE(LEFT('Base Encuesta'!W313,1)))</f>
        <v/>
      </c>
      <c r="Q339" t="str">
        <f>IF(OR('Base Encuesta'!X313="",IFERROR(VALUE(LEFT('Base Encuesta'!K313,1)),"")&gt;=3),"",VALUE(LEFT('Base Encuesta'!X313,1)))</f>
        <v/>
      </c>
      <c r="R339" t="str">
        <f>IF(OR('Base Encuesta'!Y313="",IFERROR(VALUE(LEFT('Base Encuesta'!K313,1)),"")&gt;=3),"",VALUE(LEFT('Base Encuesta'!Y313,1)))</f>
        <v/>
      </c>
      <c r="S339" t="str">
        <f>IF(OR('Base Encuesta'!Z313="",IFERROR(VALUE(LEFT('Base Encuesta'!K313,1)),"")&gt;=3),"",VALUE(LEFT('Base Encuesta'!Z313,1)))</f>
        <v/>
      </c>
      <c r="T339" t="str">
        <f>IF(OR('Base Encuesta'!AA313="",IFERROR(VALUE(LEFT('Base Encuesta'!K313,1)),"")&gt;=3),"",VALUE(LEFT('Base Encuesta'!AA313,1)))</f>
        <v/>
      </c>
      <c r="U339" t="str">
        <f>IF(OR('Base Encuesta'!AB313="",IFERROR(VALUE(LEFT('Base Encuesta'!K313,1)),"")&gt;=3),"",VALUE(LEFT('Base Encuesta'!AB313,1)))</f>
        <v/>
      </c>
      <c r="V339" t="str">
        <f>IF(OR('Base Encuesta'!AC313="",IFERROR(VALUE(LEFT('Base Encuesta'!K313,1)),"")&gt;=3),"",VALUE(LEFT('Base Encuesta'!AC313,1)))</f>
        <v/>
      </c>
      <c r="W339" t="str">
        <f>IF(OR('Base Encuesta'!AE313="",IFERROR(VALUE(LEFT('Base Encuesta'!K313,1)),"")&gt;=3),"",VALUE(LEFT('Base Encuesta'!AE313,1)))</f>
        <v/>
      </c>
      <c r="X339" t="str">
        <f>IF(OR('Base Encuesta'!AF313="",IFERROR(VALUE(LEFT('Base Encuesta'!K313,1)),"")&gt;=3),"",IF(W339=1,VALUE(LEFT('Base Encuesta'!AF313,1)),""))</f>
        <v/>
      </c>
      <c r="Y339" t="str">
        <f>IF(OR('Base Encuesta'!AG313="",IFERROR(VALUE(LEFT('Base Encuesta'!K313,1)),"")&gt;=3),"",IF(W339=1,VALUE(LEFT('Base Encuesta'!AG313,1)),""))</f>
        <v/>
      </c>
      <c r="Z339" t="str">
        <f>IF(OR('Base Encuesta'!AH313="",IFERROR(VALUE(LEFT('Base Encuesta'!K313,1)),"")&gt;=3),"",IF(W339=1,VALUE(LEFT('Base Encuesta'!AH313,1)),""))</f>
        <v/>
      </c>
      <c r="AA339" t="str">
        <f>IF(OR('Base Encuesta'!AI313="",IFERROR(VALUE(LEFT('Base Encuesta'!K313,1)),"")&gt;=3),"",IF(W339=1,VALUE(LEFT('Base Encuesta'!AI313,1)),""))</f>
        <v/>
      </c>
      <c r="AB339" t="str">
        <f>IF(OR('Base Encuesta'!AJ313="",IFERROR(VALUE(LEFT('Base Encuesta'!K313,1)),"")&gt;=3),"",IF(W339=1,VALUE(LEFT('Base Encuesta'!AJ313,1)),""))</f>
        <v/>
      </c>
      <c r="AC339" t="str">
        <f>IF(OR('Base Encuesta'!AL313="",IFERROR(VALUE(LEFT('Base Encuesta'!K313,1)),"")&gt;=3),"",VALUE(LEFT('Base Encuesta'!AL313,1)))</f>
        <v/>
      </c>
      <c r="AD339" t="str">
        <f>IF(OR('Base Encuesta'!AM313="",IFERROR(VALUE(LEFT('Base Encuesta'!K313,1)),"")&gt;=3),"",VALUE(LEFT('Base Encuesta'!AM313,1)))</f>
        <v/>
      </c>
      <c r="AE339" t="str">
        <f>IF(OR('Base Encuesta'!AN313="",IFERROR(VALUE(LEFT('Base Encuesta'!K313,1)),"")&gt;=3),"",VALUE(LEFT('Base Encuesta'!AN313,1)))</f>
        <v/>
      </c>
      <c r="AF339" t="str">
        <f>IF(OR('Base Encuesta'!AO313="",IFERROR(VALUE(LEFT('Base Encuesta'!K313,1)),"")&gt;=3),"",VALUE(LEFT('Base Encuesta'!AO313,1)))</f>
        <v/>
      </c>
      <c r="AG339" t="str">
        <f>IF(OR('Base Encuesta'!AQ313="",IFERROR(VALUE(LEFT('Base Encuesta'!K313,1)),"")&gt;=3),"",VALUE(LEFT('Base Encuesta'!AQ313,1)))</f>
        <v/>
      </c>
      <c r="AH339" t="str">
        <f>IF(OR('Base Encuesta'!AR313="",IFERROR(VALUE(LEFT('Base Encuesta'!K313,1)),"")&gt;=3),"",VALUE(LEFT('Base Encuesta'!AR313,1)))</f>
        <v/>
      </c>
    </row>
    <row r="340" spans="1:34">
      <c r="A340" t="str">
        <f>IF('Base Encuesta'!C314="","",'Base Encuesta'!C314)</f>
        <v/>
      </c>
      <c r="B340" t="str">
        <f>IF('Base Encuesta'!D314="","",'Base Encuesta'!D314)</f>
        <v/>
      </c>
      <c r="C340" t="str">
        <f>IF('Base Encuesta'!E314="","",'Base Encuesta'!E314)</f>
        <v/>
      </c>
      <c r="D340" t="str">
        <f>IF('Base Encuesta'!F314="","",'Base Encuesta'!F314)</f>
        <v/>
      </c>
      <c r="E340" t="str">
        <f>IF('Base Encuesta'!G314="","",'Base Encuesta'!G314)</f>
        <v/>
      </c>
      <c r="F340" t="str">
        <f>IF('Base Encuesta'!H314="","",'Base Encuesta'!H314)</f>
        <v/>
      </c>
      <c r="G340" t="str">
        <f>IF('Base Encuesta'!I314="","",'Base Encuesta'!I314)</f>
        <v/>
      </c>
      <c r="H340" t="str">
        <f>IF('Base Encuesta'!J314="","",'Base Encuesta'!J314)</f>
        <v/>
      </c>
      <c r="I340" t="str">
        <f>IF('Base Encuesta'!K314="","",'Base Encuesta'!K314)</f>
        <v/>
      </c>
      <c r="J340" t="str">
        <f>IF(OR('Base Encuesta'!P314="",IFERROR(VALUE(LEFT('Base Encuesta'!K314,1)),"")&gt;=3),"",PROPER(TRIM('Base Encuesta'!P314)))</f>
        <v/>
      </c>
      <c r="K340" t="str">
        <f>IF(OR('Base Encuesta'!Q314="",IFERROR(VALUE(LEFT('Base Encuesta'!K314,1)),"")&gt;=3),"",'Base Encuesta'!Q314)</f>
        <v/>
      </c>
      <c r="L340" t="str">
        <f>IF(OR('Base Encuesta'!R314="",IFERROR(VALUE(LEFT('Base Encuesta'!K314,1)),"")&gt;=3),"",VALUE(LEFT('Base Encuesta'!R314,1)))</f>
        <v/>
      </c>
      <c r="M340" t="str">
        <f>IF(OR('Base Encuesta'!S314="",IFERROR(VALUE(LEFT('Base Encuesta'!K314,1)),"")&gt;=3),"",VALUE(LEFT('Base Encuesta'!S314,1)))</f>
        <v/>
      </c>
      <c r="N340" t="str">
        <f>IF(OR('Base Encuesta'!T314="",IFERROR(VALUE(LEFT('Base Encuesta'!K314,1)),"")&gt;=3),"",VALUE(LEFT('Base Encuesta'!T314,1)))</f>
        <v/>
      </c>
      <c r="O340" t="str">
        <f>IF(OR('Base Encuesta'!V314="",IFERROR(VALUE(LEFT('Base Encuesta'!K314,1)),"")&gt;=3),"",VALUE(LEFT('Base Encuesta'!V314,1)))</f>
        <v/>
      </c>
      <c r="P340" t="str">
        <f>IF(OR('Base Encuesta'!W314="",IFERROR(VALUE(LEFT('Base Encuesta'!K314,1)),"")&gt;=3),"",VALUE(LEFT('Base Encuesta'!W314,1)))</f>
        <v/>
      </c>
      <c r="Q340" t="str">
        <f>IF(OR('Base Encuesta'!X314="",IFERROR(VALUE(LEFT('Base Encuesta'!K314,1)),"")&gt;=3),"",VALUE(LEFT('Base Encuesta'!X314,1)))</f>
        <v/>
      </c>
      <c r="R340" t="str">
        <f>IF(OR('Base Encuesta'!Y314="",IFERROR(VALUE(LEFT('Base Encuesta'!K314,1)),"")&gt;=3),"",VALUE(LEFT('Base Encuesta'!Y314,1)))</f>
        <v/>
      </c>
      <c r="S340" t="str">
        <f>IF(OR('Base Encuesta'!Z314="",IFERROR(VALUE(LEFT('Base Encuesta'!K314,1)),"")&gt;=3),"",VALUE(LEFT('Base Encuesta'!Z314,1)))</f>
        <v/>
      </c>
      <c r="T340" t="str">
        <f>IF(OR('Base Encuesta'!AA314="",IFERROR(VALUE(LEFT('Base Encuesta'!K314,1)),"")&gt;=3),"",VALUE(LEFT('Base Encuesta'!AA314,1)))</f>
        <v/>
      </c>
      <c r="U340" t="str">
        <f>IF(OR('Base Encuesta'!AB314="",IFERROR(VALUE(LEFT('Base Encuesta'!K314,1)),"")&gt;=3),"",VALUE(LEFT('Base Encuesta'!AB314,1)))</f>
        <v/>
      </c>
      <c r="V340" t="str">
        <f>IF(OR('Base Encuesta'!AC314="",IFERROR(VALUE(LEFT('Base Encuesta'!K314,1)),"")&gt;=3),"",VALUE(LEFT('Base Encuesta'!AC314,1)))</f>
        <v/>
      </c>
      <c r="W340" t="str">
        <f>IF(OR('Base Encuesta'!AE314="",IFERROR(VALUE(LEFT('Base Encuesta'!K314,1)),"")&gt;=3),"",VALUE(LEFT('Base Encuesta'!AE314,1)))</f>
        <v/>
      </c>
      <c r="X340" t="str">
        <f>IF(OR('Base Encuesta'!AF314="",IFERROR(VALUE(LEFT('Base Encuesta'!K314,1)),"")&gt;=3),"",IF(W340=1,VALUE(LEFT('Base Encuesta'!AF314,1)),""))</f>
        <v/>
      </c>
      <c r="Y340" t="str">
        <f>IF(OR('Base Encuesta'!AG314="",IFERROR(VALUE(LEFT('Base Encuesta'!K314,1)),"")&gt;=3),"",IF(W340=1,VALUE(LEFT('Base Encuesta'!AG314,1)),""))</f>
        <v/>
      </c>
      <c r="Z340" t="str">
        <f>IF(OR('Base Encuesta'!AH314="",IFERROR(VALUE(LEFT('Base Encuesta'!K314,1)),"")&gt;=3),"",IF(W340=1,VALUE(LEFT('Base Encuesta'!AH314,1)),""))</f>
        <v/>
      </c>
      <c r="AA340" t="str">
        <f>IF(OR('Base Encuesta'!AI314="",IFERROR(VALUE(LEFT('Base Encuesta'!K314,1)),"")&gt;=3),"",IF(W340=1,VALUE(LEFT('Base Encuesta'!AI314,1)),""))</f>
        <v/>
      </c>
      <c r="AB340" t="str">
        <f>IF(OR('Base Encuesta'!AJ314="",IFERROR(VALUE(LEFT('Base Encuesta'!K314,1)),"")&gt;=3),"",IF(W340=1,VALUE(LEFT('Base Encuesta'!AJ314,1)),""))</f>
        <v/>
      </c>
      <c r="AC340" t="str">
        <f>IF(OR('Base Encuesta'!AL314="",IFERROR(VALUE(LEFT('Base Encuesta'!K314,1)),"")&gt;=3),"",VALUE(LEFT('Base Encuesta'!AL314,1)))</f>
        <v/>
      </c>
      <c r="AD340" t="str">
        <f>IF(OR('Base Encuesta'!AM314="",IFERROR(VALUE(LEFT('Base Encuesta'!K314,1)),"")&gt;=3),"",VALUE(LEFT('Base Encuesta'!AM314,1)))</f>
        <v/>
      </c>
      <c r="AE340" t="str">
        <f>IF(OR('Base Encuesta'!AN314="",IFERROR(VALUE(LEFT('Base Encuesta'!K314,1)),"")&gt;=3),"",VALUE(LEFT('Base Encuesta'!AN314,1)))</f>
        <v/>
      </c>
      <c r="AF340" t="str">
        <f>IF(OR('Base Encuesta'!AO314="",IFERROR(VALUE(LEFT('Base Encuesta'!K314,1)),"")&gt;=3),"",VALUE(LEFT('Base Encuesta'!AO314,1)))</f>
        <v/>
      </c>
      <c r="AG340" t="str">
        <f>IF(OR('Base Encuesta'!AQ314="",IFERROR(VALUE(LEFT('Base Encuesta'!K314,1)),"")&gt;=3),"",VALUE(LEFT('Base Encuesta'!AQ314,1)))</f>
        <v/>
      </c>
      <c r="AH340" t="str">
        <f>IF(OR('Base Encuesta'!AR314="",IFERROR(VALUE(LEFT('Base Encuesta'!K314,1)),"")&gt;=3),"",VALUE(LEFT('Base Encuesta'!AR314,1)))</f>
        <v/>
      </c>
    </row>
    <row r="341" spans="1:34">
      <c r="A341" t="str">
        <f>IF('Base Encuesta'!C315="","",'Base Encuesta'!C315)</f>
        <v/>
      </c>
      <c r="B341" t="str">
        <f>IF('Base Encuesta'!D315="","",'Base Encuesta'!D315)</f>
        <v/>
      </c>
      <c r="C341" t="str">
        <f>IF('Base Encuesta'!E315="","",'Base Encuesta'!E315)</f>
        <v/>
      </c>
      <c r="D341" t="str">
        <f>IF('Base Encuesta'!F315="","",'Base Encuesta'!F315)</f>
        <v/>
      </c>
      <c r="E341" t="str">
        <f>IF('Base Encuesta'!G315="","",'Base Encuesta'!G315)</f>
        <v/>
      </c>
      <c r="F341" t="str">
        <f>IF('Base Encuesta'!H315="","",'Base Encuesta'!H315)</f>
        <v/>
      </c>
      <c r="G341" t="str">
        <f>IF('Base Encuesta'!I315="","",'Base Encuesta'!I315)</f>
        <v/>
      </c>
      <c r="H341" t="str">
        <f>IF('Base Encuesta'!J315="","",'Base Encuesta'!J315)</f>
        <v/>
      </c>
      <c r="I341" t="str">
        <f>IF('Base Encuesta'!K315="","",'Base Encuesta'!K315)</f>
        <v/>
      </c>
      <c r="J341" t="str">
        <f>IF(OR('Base Encuesta'!P315="",IFERROR(VALUE(LEFT('Base Encuesta'!K315,1)),"")&gt;=3),"",PROPER(TRIM('Base Encuesta'!P315)))</f>
        <v/>
      </c>
      <c r="K341" t="str">
        <f>IF(OR('Base Encuesta'!Q315="",IFERROR(VALUE(LEFT('Base Encuesta'!K315,1)),"")&gt;=3),"",'Base Encuesta'!Q315)</f>
        <v/>
      </c>
      <c r="L341" t="str">
        <f>IF(OR('Base Encuesta'!R315="",IFERROR(VALUE(LEFT('Base Encuesta'!K315,1)),"")&gt;=3),"",VALUE(LEFT('Base Encuesta'!R315,1)))</f>
        <v/>
      </c>
      <c r="M341" t="str">
        <f>IF(OR('Base Encuesta'!S315="",IFERROR(VALUE(LEFT('Base Encuesta'!K315,1)),"")&gt;=3),"",VALUE(LEFT('Base Encuesta'!S315,1)))</f>
        <v/>
      </c>
      <c r="N341" t="str">
        <f>IF(OR('Base Encuesta'!T315="",IFERROR(VALUE(LEFT('Base Encuesta'!K315,1)),"")&gt;=3),"",VALUE(LEFT('Base Encuesta'!T315,1)))</f>
        <v/>
      </c>
      <c r="O341" t="str">
        <f>IF(OR('Base Encuesta'!V315="",IFERROR(VALUE(LEFT('Base Encuesta'!K315,1)),"")&gt;=3),"",VALUE(LEFT('Base Encuesta'!V315,1)))</f>
        <v/>
      </c>
      <c r="P341" t="str">
        <f>IF(OR('Base Encuesta'!W315="",IFERROR(VALUE(LEFT('Base Encuesta'!K315,1)),"")&gt;=3),"",VALUE(LEFT('Base Encuesta'!W315,1)))</f>
        <v/>
      </c>
      <c r="Q341" t="str">
        <f>IF(OR('Base Encuesta'!X315="",IFERROR(VALUE(LEFT('Base Encuesta'!K315,1)),"")&gt;=3),"",VALUE(LEFT('Base Encuesta'!X315,1)))</f>
        <v/>
      </c>
      <c r="R341" t="str">
        <f>IF(OR('Base Encuesta'!Y315="",IFERROR(VALUE(LEFT('Base Encuesta'!K315,1)),"")&gt;=3),"",VALUE(LEFT('Base Encuesta'!Y315,1)))</f>
        <v/>
      </c>
      <c r="S341" t="str">
        <f>IF(OR('Base Encuesta'!Z315="",IFERROR(VALUE(LEFT('Base Encuesta'!K315,1)),"")&gt;=3),"",VALUE(LEFT('Base Encuesta'!Z315,1)))</f>
        <v/>
      </c>
      <c r="T341" t="str">
        <f>IF(OR('Base Encuesta'!AA315="",IFERROR(VALUE(LEFT('Base Encuesta'!K315,1)),"")&gt;=3),"",VALUE(LEFT('Base Encuesta'!AA315,1)))</f>
        <v/>
      </c>
      <c r="U341" t="str">
        <f>IF(OR('Base Encuesta'!AB315="",IFERROR(VALUE(LEFT('Base Encuesta'!K315,1)),"")&gt;=3),"",VALUE(LEFT('Base Encuesta'!AB315,1)))</f>
        <v/>
      </c>
      <c r="V341" t="str">
        <f>IF(OR('Base Encuesta'!AC315="",IFERROR(VALUE(LEFT('Base Encuesta'!K315,1)),"")&gt;=3),"",VALUE(LEFT('Base Encuesta'!AC315,1)))</f>
        <v/>
      </c>
      <c r="W341" t="str">
        <f>IF(OR('Base Encuesta'!AE315="",IFERROR(VALUE(LEFT('Base Encuesta'!K315,1)),"")&gt;=3),"",VALUE(LEFT('Base Encuesta'!AE315,1)))</f>
        <v/>
      </c>
      <c r="X341" t="str">
        <f>IF(OR('Base Encuesta'!AF315="",IFERROR(VALUE(LEFT('Base Encuesta'!K315,1)),"")&gt;=3),"",IF(W341=1,VALUE(LEFT('Base Encuesta'!AF315,1)),""))</f>
        <v/>
      </c>
      <c r="Y341" t="str">
        <f>IF(OR('Base Encuesta'!AG315="",IFERROR(VALUE(LEFT('Base Encuesta'!K315,1)),"")&gt;=3),"",IF(W341=1,VALUE(LEFT('Base Encuesta'!AG315,1)),""))</f>
        <v/>
      </c>
      <c r="Z341" t="str">
        <f>IF(OR('Base Encuesta'!AH315="",IFERROR(VALUE(LEFT('Base Encuesta'!K315,1)),"")&gt;=3),"",IF(W341=1,VALUE(LEFT('Base Encuesta'!AH315,1)),""))</f>
        <v/>
      </c>
      <c r="AA341" t="str">
        <f>IF(OR('Base Encuesta'!AI315="",IFERROR(VALUE(LEFT('Base Encuesta'!K315,1)),"")&gt;=3),"",IF(W341=1,VALUE(LEFT('Base Encuesta'!AI315,1)),""))</f>
        <v/>
      </c>
      <c r="AB341" t="str">
        <f>IF(OR('Base Encuesta'!AJ315="",IFERROR(VALUE(LEFT('Base Encuesta'!K315,1)),"")&gt;=3),"",IF(W341=1,VALUE(LEFT('Base Encuesta'!AJ315,1)),""))</f>
        <v/>
      </c>
      <c r="AC341" t="str">
        <f>IF(OR('Base Encuesta'!AL315="",IFERROR(VALUE(LEFT('Base Encuesta'!K315,1)),"")&gt;=3),"",VALUE(LEFT('Base Encuesta'!AL315,1)))</f>
        <v/>
      </c>
      <c r="AD341" t="str">
        <f>IF(OR('Base Encuesta'!AM315="",IFERROR(VALUE(LEFT('Base Encuesta'!K315,1)),"")&gt;=3),"",VALUE(LEFT('Base Encuesta'!AM315,1)))</f>
        <v/>
      </c>
      <c r="AE341" t="str">
        <f>IF(OR('Base Encuesta'!AN315="",IFERROR(VALUE(LEFT('Base Encuesta'!K315,1)),"")&gt;=3),"",VALUE(LEFT('Base Encuesta'!AN315,1)))</f>
        <v/>
      </c>
      <c r="AF341" t="str">
        <f>IF(OR('Base Encuesta'!AO315="",IFERROR(VALUE(LEFT('Base Encuesta'!K315,1)),"")&gt;=3),"",VALUE(LEFT('Base Encuesta'!AO315,1)))</f>
        <v/>
      </c>
      <c r="AG341" t="str">
        <f>IF(OR('Base Encuesta'!AQ315="",IFERROR(VALUE(LEFT('Base Encuesta'!K315,1)),"")&gt;=3),"",VALUE(LEFT('Base Encuesta'!AQ315,1)))</f>
        <v/>
      </c>
      <c r="AH341" t="str">
        <f>IF(OR('Base Encuesta'!AR315="",IFERROR(VALUE(LEFT('Base Encuesta'!K315,1)),"")&gt;=3),"",VALUE(LEFT('Base Encuesta'!AR315,1)))</f>
        <v/>
      </c>
    </row>
    <row r="342" spans="1:34">
      <c r="A342" t="str">
        <f>IF('Base Encuesta'!C316="","",'Base Encuesta'!C316)</f>
        <v/>
      </c>
      <c r="B342" t="str">
        <f>IF('Base Encuesta'!D316="","",'Base Encuesta'!D316)</f>
        <v/>
      </c>
      <c r="C342" t="str">
        <f>IF('Base Encuesta'!E316="","",'Base Encuesta'!E316)</f>
        <v/>
      </c>
      <c r="D342" t="str">
        <f>IF('Base Encuesta'!F316="","",'Base Encuesta'!F316)</f>
        <v/>
      </c>
      <c r="E342" t="str">
        <f>IF('Base Encuesta'!G316="","",'Base Encuesta'!G316)</f>
        <v/>
      </c>
      <c r="F342" t="str">
        <f>IF('Base Encuesta'!H316="","",'Base Encuesta'!H316)</f>
        <v/>
      </c>
      <c r="G342" t="str">
        <f>IF('Base Encuesta'!I316="","",'Base Encuesta'!I316)</f>
        <v/>
      </c>
      <c r="H342" t="str">
        <f>IF('Base Encuesta'!J316="","",'Base Encuesta'!J316)</f>
        <v/>
      </c>
      <c r="I342" t="str">
        <f>IF('Base Encuesta'!K316="","",'Base Encuesta'!K316)</f>
        <v/>
      </c>
      <c r="J342" t="str">
        <f>IF(OR('Base Encuesta'!P316="",IFERROR(VALUE(LEFT('Base Encuesta'!K316,1)),"")&gt;=3),"",PROPER(TRIM('Base Encuesta'!P316)))</f>
        <v/>
      </c>
      <c r="K342" t="str">
        <f>IF(OR('Base Encuesta'!Q316="",IFERROR(VALUE(LEFT('Base Encuesta'!K316,1)),"")&gt;=3),"",'Base Encuesta'!Q316)</f>
        <v/>
      </c>
      <c r="L342" t="str">
        <f>IF(OR('Base Encuesta'!R316="",IFERROR(VALUE(LEFT('Base Encuesta'!K316,1)),"")&gt;=3),"",VALUE(LEFT('Base Encuesta'!R316,1)))</f>
        <v/>
      </c>
      <c r="M342" t="str">
        <f>IF(OR('Base Encuesta'!S316="",IFERROR(VALUE(LEFT('Base Encuesta'!K316,1)),"")&gt;=3),"",VALUE(LEFT('Base Encuesta'!S316,1)))</f>
        <v/>
      </c>
      <c r="N342" t="str">
        <f>IF(OR('Base Encuesta'!T316="",IFERROR(VALUE(LEFT('Base Encuesta'!K316,1)),"")&gt;=3),"",VALUE(LEFT('Base Encuesta'!T316,1)))</f>
        <v/>
      </c>
      <c r="O342" t="str">
        <f>IF(OR('Base Encuesta'!V316="",IFERROR(VALUE(LEFT('Base Encuesta'!K316,1)),"")&gt;=3),"",VALUE(LEFT('Base Encuesta'!V316,1)))</f>
        <v/>
      </c>
      <c r="P342" t="str">
        <f>IF(OR('Base Encuesta'!W316="",IFERROR(VALUE(LEFT('Base Encuesta'!K316,1)),"")&gt;=3),"",VALUE(LEFT('Base Encuesta'!W316,1)))</f>
        <v/>
      </c>
      <c r="Q342" t="str">
        <f>IF(OR('Base Encuesta'!X316="",IFERROR(VALUE(LEFT('Base Encuesta'!K316,1)),"")&gt;=3),"",VALUE(LEFT('Base Encuesta'!X316,1)))</f>
        <v/>
      </c>
      <c r="R342" t="str">
        <f>IF(OR('Base Encuesta'!Y316="",IFERROR(VALUE(LEFT('Base Encuesta'!K316,1)),"")&gt;=3),"",VALUE(LEFT('Base Encuesta'!Y316,1)))</f>
        <v/>
      </c>
      <c r="S342" t="str">
        <f>IF(OR('Base Encuesta'!Z316="",IFERROR(VALUE(LEFT('Base Encuesta'!K316,1)),"")&gt;=3),"",VALUE(LEFT('Base Encuesta'!Z316,1)))</f>
        <v/>
      </c>
      <c r="T342" t="str">
        <f>IF(OR('Base Encuesta'!AA316="",IFERROR(VALUE(LEFT('Base Encuesta'!K316,1)),"")&gt;=3),"",VALUE(LEFT('Base Encuesta'!AA316,1)))</f>
        <v/>
      </c>
      <c r="U342" t="str">
        <f>IF(OR('Base Encuesta'!AB316="",IFERROR(VALUE(LEFT('Base Encuesta'!K316,1)),"")&gt;=3),"",VALUE(LEFT('Base Encuesta'!AB316,1)))</f>
        <v/>
      </c>
      <c r="V342" t="str">
        <f>IF(OR('Base Encuesta'!AC316="",IFERROR(VALUE(LEFT('Base Encuesta'!K316,1)),"")&gt;=3),"",VALUE(LEFT('Base Encuesta'!AC316,1)))</f>
        <v/>
      </c>
      <c r="W342" t="str">
        <f>IF(OR('Base Encuesta'!AE316="",IFERROR(VALUE(LEFT('Base Encuesta'!K316,1)),"")&gt;=3),"",VALUE(LEFT('Base Encuesta'!AE316,1)))</f>
        <v/>
      </c>
      <c r="X342" t="str">
        <f>IF(OR('Base Encuesta'!AF316="",IFERROR(VALUE(LEFT('Base Encuesta'!K316,1)),"")&gt;=3),"",IF(W342=1,VALUE(LEFT('Base Encuesta'!AF316,1)),""))</f>
        <v/>
      </c>
      <c r="Y342" t="str">
        <f>IF(OR('Base Encuesta'!AG316="",IFERROR(VALUE(LEFT('Base Encuesta'!K316,1)),"")&gt;=3),"",IF(W342=1,VALUE(LEFT('Base Encuesta'!AG316,1)),""))</f>
        <v/>
      </c>
      <c r="Z342" t="str">
        <f>IF(OR('Base Encuesta'!AH316="",IFERROR(VALUE(LEFT('Base Encuesta'!K316,1)),"")&gt;=3),"",IF(W342=1,VALUE(LEFT('Base Encuesta'!AH316,1)),""))</f>
        <v/>
      </c>
      <c r="AA342" t="str">
        <f>IF(OR('Base Encuesta'!AI316="",IFERROR(VALUE(LEFT('Base Encuesta'!K316,1)),"")&gt;=3),"",IF(W342=1,VALUE(LEFT('Base Encuesta'!AI316,1)),""))</f>
        <v/>
      </c>
      <c r="AB342" t="str">
        <f>IF(OR('Base Encuesta'!AJ316="",IFERROR(VALUE(LEFT('Base Encuesta'!K316,1)),"")&gt;=3),"",IF(W342=1,VALUE(LEFT('Base Encuesta'!AJ316,1)),""))</f>
        <v/>
      </c>
      <c r="AC342" t="str">
        <f>IF(OR('Base Encuesta'!AL316="",IFERROR(VALUE(LEFT('Base Encuesta'!K316,1)),"")&gt;=3),"",VALUE(LEFT('Base Encuesta'!AL316,1)))</f>
        <v/>
      </c>
      <c r="AD342" t="str">
        <f>IF(OR('Base Encuesta'!AM316="",IFERROR(VALUE(LEFT('Base Encuesta'!K316,1)),"")&gt;=3),"",VALUE(LEFT('Base Encuesta'!AM316,1)))</f>
        <v/>
      </c>
      <c r="AE342" t="str">
        <f>IF(OR('Base Encuesta'!AN316="",IFERROR(VALUE(LEFT('Base Encuesta'!K316,1)),"")&gt;=3),"",VALUE(LEFT('Base Encuesta'!AN316,1)))</f>
        <v/>
      </c>
      <c r="AF342" t="str">
        <f>IF(OR('Base Encuesta'!AO316="",IFERROR(VALUE(LEFT('Base Encuesta'!K316,1)),"")&gt;=3),"",VALUE(LEFT('Base Encuesta'!AO316,1)))</f>
        <v/>
      </c>
      <c r="AG342" t="str">
        <f>IF(OR('Base Encuesta'!AQ316="",IFERROR(VALUE(LEFT('Base Encuesta'!K316,1)),"")&gt;=3),"",VALUE(LEFT('Base Encuesta'!AQ316,1)))</f>
        <v/>
      </c>
      <c r="AH342" t="str">
        <f>IF(OR('Base Encuesta'!AR316="",IFERROR(VALUE(LEFT('Base Encuesta'!K316,1)),"")&gt;=3),"",VALUE(LEFT('Base Encuesta'!AR316,1)))</f>
        <v/>
      </c>
    </row>
    <row r="343" spans="1:34">
      <c r="A343" t="str">
        <f>IF('Base Encuesta'!C317="","",'Base Encuesta'!C317)</f>
        <v/>
      </c>
      <c r="B343" t="str">
        <f>IF('Base Encuesta'!D317="","",'Base Encuesta'!D317)</f>
        <v/>
      </c>
      <c r="C343" t="str">
        <f>IF('Base Encuesta'!E317="","",'Base Encuesta'!E317)</f>
        <v/>
      </c>
      <c r="D343" t="str">
        <f>IF('Base Encuesta'!F317="","",'Base Encuesta'!F317)</f>
        <v/>
      </c>
      <c r="E343" t="str">
        <f>IF('Base Encuesta'!G317="","",'Base Encuesta'!G317)</f>
        <v/>
      </c>
      <c r="F343" t="str">
        <f>IF('Base Encuesta'!H317="","",'Base Encuesta'!H317)</f>
        <v/>
      </c>
      <c r="G343" t="str">
        <f>IF('Base Encuesta'!I317="","",'Base Encuesta'!I317)</f>
        <v/>
      </c>
      <c r="H343" t="str">
        <f>IF('Base Encuesta'!J317="","",'Base Encuesta'!J317)</f>
        <v/>
      </c>
      <c r="I343" t="str">
        <f>IF('Base Encuesta'!K317="","",'Base Encuesta'!K317)</f>
        <v/>
      </c>
      <c r="J343" t="str">
        <f>IF(OR('Base Encuesta'!P317="",IFERROR(VALUE(LEFT('Base Encuesta'!K317,1)),"")&gt;=3),"",PROPER(TRIM('Base Encuesta'!P317)))</f>
        <v/>
      </c>
      <c r="K343" t="str">
        <f>IF(OR('Base Encuesta'!Q317="",IFERROR(VALUE(LEFT('Base Encuesta'!K317,1)),"")&gt;=3),"",'Base Encuesta'!Q317)</f>
        <v/>
      </c>
      <c r="L343" t="str">
        <f>IF(OR('Base Encuesta'!R317="",IFERROR(VALUE(LEFT('Base Encuesta'!K317,1)),"")&gt;=3),"",VALUE(LEFT('Base Encuesta'!R317,1)))</f>
        <v/>
      </c>
      <c r="M343" t="str">
        <f>IF(OR('Base Encuesta'!S317="",IFERROR(VALUE(LEFT('Base Encuesta'!K317,1)),"")&gt;=3),"",VALUE(LEFT('Base Encuesta'!S317,1)))</f>
        <v/>
      </c>
      <c r="N343" t="str">
        <f>IF(OR('Base Encuesta'!T317="",IFERROR(VALUE(LEFT('Base Encuesta'!K317,1)),"")&gt;=3),"",VALUE(LEFT('Base Encuesta'!T317,1)))</f>
        <v/>
      </c>
      <c r="O343" t="str">
        <f>IF(OR('Base Encuesta'!V317="",IFERROR(VALUE(LEFT('Base Encuesta'!K317,1)),"")&gt;=3),"",VALUE(LEFT('Base Encuesta'!V317,1)))</f>
        <v/>
      </c>
      <c r="P343" t="str">
        <f>IF(OR('Base Encuesta'!W317="",IFERROR(VALUE(LEFT('Base Encuesta'!K317,1)),"")&gt;=3),"",VALUE(LEFT('Base Encuesta'!W317,1)))</f>
        <v/>
      </c>
      <c r="Q343" t="str">
        <f>IF(OR('Base Encuesta'!X317="",IFERROR(VALUE(LEFT('Base Encuesta'!K317,1)),"")&gt;=3),"",VALUE(LEFT('Base Encuesta'!X317,1)))</f>
        <v/>
      </c>
      <c r="R343" t="str">
        <f>IF(OR('Base Encuesta'!Y317="",IFERROR(VALUE(LEFT('Base Encuesta'!K317,1)),"")&gt;=3),"",VALUE(LEFT('Base Encuesta'!Y317,1)))</f>
        <v/>
      </c>
      <c r="S343" t="str">
        <f>IF(OR('Base Encuesta'!Z317="",IFERROR(VALUE(LEFT('Base Encuesta'!K317,1)),"")&gt;=3),"",VALUE(LEFT('Base Encuesta'!Z317,1)))</f>
        <v/>
      </c>
      <c r="T343" t="str">
        <f>IF(OR('Base Encuesta'!AA317="",IFERROR(VALUE(LEFT('Base Encuesta'!K317,1)),"")&gt;=3),"",VALUE(LEFT('Base Encuesta'!AA317,1)))</f>
        <v/>
      </c>
      <c r="U343" t="str">
        <f>IF(OR('Base Encuesta'!AB317="",IFERROR(VALUE(LEFT('Base Encuesta'!K317,1)),"")&gt;=3),"",VALUE(LEFT('Base Encuesta'!AB317,1)))</f>
        <v/>
      </c>
      <c r="V343" t="str">
        <f>IF(OR('Base Encuesta'!AC317="",IFERROR(VALUE(LEFT('Base Encuesta'!K317,1)),"")&gt;=3),"",VALUE(LEFT('Base Encuesta'!AC317,1)))</f>
        <v/>
      </c>
      <c r="W343" t="str">
        <f>IF(OR('Base Encuesta'!AE317="",IFERROR(VALUE(LEFT('Base Encuesta'!K317,1)),"")&gt;=3),"",VALUE(LEFT('Base Encuesta'!AE317,1)))</f>
        <v/>
      </c>
      <c r="X343" t="str">
        <f>IF(OR('Base Encuesta'!AF317="",IFERROR(VALUE(LEFT('Base Encuesta'!K317,1)),"")&gt;=3),"",IF(W343=1,VALUE(LEFT('Base Encuesta'!AF317,1)),""))</f>
        <v/>
      </c>
      <c r="Y343" t="str">
        <f>IF(OR('Base Encuesta'!AG317="",IFERROR(VALUE(LEFT('Base Encuesta'!K317,1)),"")&gt;=3),"",IF(W343=1,VALUE(LEFT('Base Encuesta'!AG317,1)),""))</f>
        <v/>
      </c>
      <c r="Z343" t="str">
        <f>IF(OR('Base Encuesta'!AH317="",IFERROR(VALUE(LEFT('Base Encuesta'!K317,1)),"")&gt;=3),"",IF(W343=1,VALUE(LEFT('Base Encuesta'!AH317,1)),""))</f>
        <v/>
      </c>
      <c r="AA343" t="str">
        <f>IF(OR('Base Encuesta'!AI317="",IFERROR(VALUE(LEFT('Base Encuesta'!K317,1)),"")&gt;=3),"",IF(W343=1,VALUE(LEFT('Base Encuesta'!AI317,1)),""))</f>
        <v/>
      </c>
      <c r="AB343" t="str">
        <f>IF(OR('Base Encuesta'!AJ317="",IFERROR(VALUE(LEFT('Base Encuesta'!K317,1)),"")&gt;=3),"",IF(W343=1,VALUE(LEFT('Base Encuesta'!AJ317,1)),""))</f>
        <v/>
      </c>
      <c r="AC343" t="str">
        <f>IF(OR('Base Encuesta'!AL317="",IFERROR(VALUE(LEFT('Base Encuesta'!K317,1)),"")&gt;=3),"",VALUE(LEFT('Base Encuesta'!AL317,1)))</f>
        <v/>
      </c>
      <c r="AD343" t="str">
        <f>IF(OR('Base Encuesta'!AM317="",IFERROR(VALUE(LEFT('Base Encuesta'!K317,1)),"")&gt;=3),"",VALUE(LEFT('Base Encuesta'!AM317,1)))</f>
        <v/>
      </c>
      <c r="AE343" t="str">
        <f>IF(OR('Base Encuesta'!AN317="",IFERROR(VALUE(LEFT('Base Encuesta'!K317,1)),"")&gt;=3),"",VALUE(LEFT('Base Encuesta'!AN317,1)))</f>
        <v/>
      </c>
      <c r="AF343" t="str">
        <f>IF(OR('Base Encuesta'!AO317="",IFERROR(VALUE(LEFT('Base Encuesta'!K317,1)),"")&gt;=3),"",VALUE(LEFT('Base Encuesta'!AO317,1)))</f>
        <v/>
      </c>
      <c r="AG343" t="str">
        <f>IF(OR('Base Encuesta'!AQ317="",IFERROR(VALUE(LEFT('Base Encuesta'!K317,1)),"")&gt;=3),"",VALUE(LEFT('Base Encuesta'!AQ317,1)))</f>
        <v/>
      </c>
      <c r="AH343" t="str">
        <f>IF(OR('Base Encuesta'!AR317="",IFERROR(VALUE(LEFT('Base Encuesta'!K317,1)),"")&gt;=3),"",VALUE(LEFT('Base Encuesta'!AR317,1)))</f>
        <v/>
      </c>
    </row>
    <row r="344" spans="1:34">
      <c r="A344" t="str">
        <f>IF('Base Encuesta'!C318="","",'Base Encuesta'!C318)</f>
        <v/>
      </c>
      <c r="B344" t="str">
        <f>IF('Base Encuesta'!D318="","",'Base Encuesta'!D318)</f>
        <v/>
      </c>
      <c r="C344" t="str">
        <f>IF('Base Encuesta'!E318="","",'Base Encuesta'!E318)</f>
        <v/>
      </c>
      <c r="D344" t="str">
        <f>IF('Base Encuesta'!F318="","",'Base Encuesta'!F318)</f>
        <v/>
      </c>
      <c r="E344" t="str">
        <f>IF('Base Encuesta'!G318="","",'Base Encuesta'!G318)</f>
        <v/>
      </c>
      <c r="F344" t="str">
        <f>IF('Base Encuesta'!H318="","",'Base Encuesta'!H318)</f>
        <v/>
      </c>
      <c r="G344" t="str">
        <f>IF('Base Encuesta'!I318="","",'Base Encuesta'!I318)</f>
        <v/>
      </c>
      <c r="H344" t="str">
        <f>IF('Base Encuesta'!J318="","",'Base Encuesta'!J318)</f>
        <v/>
      </c>
      <c r="I344" t="str">
        <f>IF('Base Encuesta'!K318="","",'Base Encuesta'!K318)</f>
        <v/>
      </c>
      <c r="J344" t="str">
        <f>IF(OR('Base Encuesta'!P318="",IFERROR(VALUE(LEFT('Base Encuesta'!K318,1)),"")&gt;=3),"",PROPER(TRIM('Base Encuesta'!P318)))</f>
        <v/>
      </c>
      <c r="K344" t="str">
        <f>IF(OR('Base Encuesta'!Q318="",IFERROR(VALUE(LEFT('Base Encuesta'!K318,1)),"")&gt;=3),"",'Base Encuesta'!Q318)</f>
        <v/>
      </c>
      <c r="L344" t="str">
        <f>IF(OR('Base Encuesta'!R318="",IFERROR(VALUE(LEFT('Base Encuesta'!K318,1)),"")&gt;=3),"",VALUE(LEFT('Base Encuesta'!R318,1)))</f>
        <v/>
      </c>
      <c r="M344" t="str">
        <f>IF(OR('Base Encuesta'!S318="",IFERROR(VALUE(LEFT('Base Encuesta'!K318,1)),"")&gt;=3),"",VALUE(LEFT('Base Encuesta'!S318,1)))</f>
        <v/>
      </c>
      <c r="N344" t="str">
        <f>IF(OR('Base Encuesta'!T318="",IFERROR(VALUE(LEFT('Base Encuesta'!K318,1)),"")&gt;=3),"",VALUE(LEFT('Base Encuesta'!T318,1)))</f>
        <v/>
      </c>
      <c r="O344" t="str">
        <f>IF(OR('Base Encuesta'!V318="",IFERROR(VALUE(LEFT('Base Encuesta'!K318,1)),"")&gt;=3),"",VALUE(LEFT('Base Encuesta'!V318,1)))</f>
        <v/>
      </c>
      <c r="P344" t="str">
        <f>IF(OR('Base Encuesta'!W318="",IFERROR(VALUE(LEFT('Base Encuesta'!K318,1)),"")&gt;=3),"",VALUE(LEFT('Base Encuesta'!W318,1)))</f>
        <v/>
      </c>
      <c r="Q344" t="str">
        <f>IF(OR('Base Encuesta'!X318="",IFERROR(VALUE(LEFT('Base Encuesta'!K318,1)),"")&gt;=3),"",VALUE(LEFT('Base Encuesta'!X318,1)))</f>
        <v/>
      </c>
      <c r="R344" t="str">
        <f>IF(OR('Base Encuesta'!Y318="",IFERROR(VALUE(LEFT('Base Encuesta'!K318,1)),"")&gt;=3),"",VALUE(LEFT('Base Encuesta'!Y318,1)))</f>
        <v/>
      </c>
      <c r="S344" t="str">
        <f>IF(OR('Base Encuesta'!Z318="",IFERROR(VALUE(LEFT('Base Encuesta'!K318,1)),"")&gt;=3),"",VALUE(LEFT('Base Encuesta'!Z318,1)))</f>
        <v/>
      </c>
      <c r="T344" t="str">
        <f>IF(OR('Base Encuesta'!AA318="",IFERROR(VALUE(LEFT('Base Encuesta'!K318,1)),"")&gt;=3),"",VALUE(LEFT('Base Encuesta'!AA318,1)))</f>
        <v/>
      </c>
      <c r="U344" t="str">
        <f>IF(OR('Base Encuesta'!AB318="",IFERROR(VALUE(LEFT('Base Encuesta'!K318,1)),"")&gt;=3),"",VALUE(LEFT('Base Encuesta'!AB318,1)))</f>
        <v/>
      </c>
      <c r="V344" t="str">
        <f>IF(OR('Base Encuesta'!AC318="",IFERROR(VALUE(LEFT('Base Encuesta'!K318,1)),"")&gt;=3),"",VALUE(LEFT('Base Encuesta'!AC318,1)))</f>
        <v/>
      </c>
      <c r="W344" t="str">
        <f>IF(OR('Base Encuesta'!AE318="",IFERROR(VALUE(LEFT('Base Encuesta'!K318,1)),"")&gt;=3),"",VALUE(LEFT('Base Encuesta'!AE318,1)))</f>
        <v/>
      </c>
      <c r="X344" t="str">
        <f>IF(OR('Base Encuesta'!AF318="",IFERROR(VALUE(LEFT('Base Encuesta'!K318,1)),"")&gt;=3),"",IF(W344=1,VALUE(LEFT('Base Encuesta'!AF318,1)),""))</f>
        <v/>
      </c>
      <c r="Y344" t="str">
        <f>IF(OR('Base Encuesta'!AG318="",IFERROR(VALUE(LEFT('Base Encuesta'!K318,1)),"")&gt;=3),"",IF(W344=1,VALUE(LEFT('Base Encuesta'!AG318,1)),""))</f>
        <v/>
      </c>
      <c r="Z344" t="str">
        <f>IF(OR('Base Encuesta'!AH318="",IFERROR(VALUE(LEFT('Base Encuesta'!K318,1)),"")&gt;=3),"",IF(W344=1,VALUE(LEFT('Base Encuesta'!AH318,1)),""))</f>
        <v/>
      </c>
      <c r="AA344" t="str">
        <f>IF(OR('Base Encuesta'!AI318="",IFERROR(VALUE(LEFT('Base Encuesta'!K318,1)),"")&gt;=3),"",IF(W344=1,VALUE(LEFT('Base Encuesta'!AI318,1)),""))</f>
        <v/>
      </c>
      <c r="AB344" t="str">
        <f>IF(OR('Base Encuesta'!AJ318="",IFERROR(VALUE(LEFT('Base Encuesta'!K318,1)),"")&gt;=3),"",IF(W344=1,VALUE(LEFT('Base Encuesta'!AJ318,1)),""))</f>
        <v/>
      </c>
      <c r="AC344" t="str">
        <f>IF(OR('Base Encuesta'!AL318="",IFERROR(VALUE(LEFT('Base Encuesta'!K318,1)),"")&gt;=3),"",VALUE(LEFT('Base Encuesta'!AL318,1)))</f>
        <v/>
      </c>
      <c r="AD344" t="str">
        <f>IF(OR('Base Encuesta'!AM318="",IFERROR(VALUE(LEFT('Base Encuesta'!K318,1)),"")&gt;=3),"",VALUE(LEFT('Base Encuesta'!AM318,1)))</f>
        <v/>
      </c>
      <c r="AE344" t="str">
        <f>IF(OR('Base Encuesta'!AN318="",IFERROR(VALUE(LEFT('Base Encuesta'!K318,1)),"")&gt;=3),"",VALUE(LEFT('Base Encuesta'!AN318,1)))</f>
        <v/>
      </c>
      <c r="AF344" t="str">
        <f>IF(OR('Base Encuesta'!AO318="",IFERROR(VALUE(LEFT('Base Encuesta'!K318,1)),"")&gt;=3),"",VALUE(LEFT('Base Encuesta'!AO318,1)))</f>
        <v/>
      </c>
      <c r="AG344" t="str">
        <f>IF(OR('Base Encuesta'!AQ318="",IFERROR(VALUE(LEFT('Base Encuesta'!K318,1)),"")&gt;=3),"",VALUE(LEFT('Base Encuesta'!AQ318,1)))</f>
        <v/>
      </c>
      <c r="AH344" t="str">
        <f>IF(OR('Base Encuesta'!AR318="",IFERROR(VALUE(LEFT('Base Encuesta'!K318,1)),"")&gt;=3),"",VALUE(LEFT('Base Encuesta'!AR318,1)))</f>
        <v/>
      </c>
    </row>
    <row r="345" spans="1:34">
      <c r="A345" t="str">
        <f>IF('Base Encuesta'!C319="","",'Base Encuesta'!C319)</f>
        <v/>
      </c>
      <c r="B345" t="str">
        <f>IF('Base Encuesta'!D319="","",'Base Encuesta'!D319)</f>
        <v/>
      </c>
      <c r="C345" t="str">
        <f>IF('Base Encuesta'!E319="","",'Base Encuesta'!E319)</f>
        <v/>
      </c>
      <c r="D345" t="str">
        <f>IF('Base Encuesta'!F319="","",'Base Encuesta'!F319)</f>
        <v/>
      </c>
      <c r="E345" t="str">
        <f>IF('Base Encuesta'!G319="","",'Base Encuesta'!G319)</f>
        <v/>
      </c>
      <c r="F345" t="str">
        <f>IF('Base Encuesta'!H319="","",'Base Encuesta'!H319)</f>
        <v/>
      </c>
      <c r="G345" t="str">
        <f>IF('Base Encuesta'!I319="","",'Base Encuesta'!I319)</f>
        <v/>
      </c>
      <c r="H345" t="str">
        <f>IF('Base Encuesta'!J319="","",'Base Encuesta'!J319)</f>
        <v/>
      </c>
      <c r="I345" t="str">
        <f>IF('Base Encuesta'!K319="","",'Base Encuesta'!K319)</f>
        <v/>
      </c>
      <c r="J345" t="str">
        <f>IF(OR('Base Encuesta'!P319="",IFERROR(VALUE(LEFT('Base Encuesta'!K319,1)),"")&gt;=3),"",PROPER(TRIM('Base Encuesta'!P319)))</f>
        <v/>
      </c>
      <c r="K345" t="str">
        <f>IF(OR('Base Encuesta'!Q319="",IFERROR(VALUE(LEFT('Base Encuesta'!K319,1)),"")&gt;=3),"",'Base Encuesta'!Q319)</f>
        <v/>
      </c>
      <c r="L345" t="str">
        <f>IF(OR('Base Encuesta'!R319="",IFERROR(VALUE(LEFT('Base Encuesta'!K319,1)),"")&gt;=3),"",VALUE(LEFT('Base Encuesta'!R319,1)))</f>
        <v/>
      </c>
      <c r="M345" t="str">
        <f>IF(OR('Base Encuesta'!S319="",IFERROR(VALUE(LEFT('Base Encuesta'!K319,1)),"")&gt;=3),"",VALUE(LEFT('Base Encuesta'!S319,1)))</f>
        <v/>
      </c>
      <c r="N345" t="str">
        <f>IF(OR('Base Encuesta'!T319="",IFERROR(VALUE(LEFT('Base Encuesta'!K319,1)),"")&gt;=3),"",VALUE(LEFT('Base Encuesta'!T319,1)))</f>
        <v/>
      </c>
      <c r="O345" t="str">
        <f>IF(OR('Base Encuesta'!V319="",IFERROR(VALUE(LEFT('Base Encuesta'!K319,1)),"")&gt;=3),"",VALUE(LEFT('Base Encuesta'!V319,1)))</f>
        <v/>
      </c>
      <c r="P345" t="str">
        <f>IF(OR('Base Encuesta'!W319="",IFERROR(VALUE(LEFT('Base Encuesta'!K319,1)),"")&gt;=3),"",VALUE(LEFT('Base Encuesta'!W319,1)))</f>
        <v/>
      </c>
      <c r="Q345" t="str">
        <f>IF(OR('Base Encuesta'!X319="",IFERROR(VALUE(LEFT('Base Encuesta'!K319,1)),"")&gt;=3),"",VALUE(LEFT('Base Encuesta'!X319,1)))</f>
        <v/>
      </c>
      <c r="R345" t="str">
        <f>IF(OR('Base Encuesta'!Y319="",IFERROR(VALUE(LEFT('Base Encuesta'!K319,1)),"")&gt;=3),"",VALUE(LEFT('Base Encuesta'!Y319,1)))</f>
        <v/>
      </c>
      <c r="S345" t="str">
        <f>IF(OR('Base Encuesta'!Z319="",IFERROR(VALUE(LEFT('Base Encuesta'!K319,1)),"")&gt;=3),"",VALUE(LEFT('Base Encuesta'!Z319,1)))</f>
        <v/>
      </c>
      <c r="T345" t="str">
        <f>IF(OR('Base Encuesta'!AA319="",IFERROR(VALUE(LEFT('Base Encuesta'!K319,1)),"")&gt;=3),"",VALUE(LEFT('Base Encuesta'!AA319,1)))</f>
        <v/>
      </c>
      <c r="U345" t="str">
        <f>IF(OR('Base Encuesta'!AB319="",IFERROR(VALUE(LEFT('Base Encuesta'!K319,1)),"")&gt;=3),"",VALUE(LEFT('Base Encuesta'!AB319,1)))</f>
        <v/>
      </c>
      <c r="V345" t="str">
        <f>IF(OR('Base Encuesta'!AC319="",IFERROR(VALUE(LEFT('Base Encuesta'!K319,1)),"")&gt;=3),"",VALUE(LEFT('Base Encuesta'!AC319,1)))</f>
        <v/>
      </c>
      <c r="W345" t="str">
        <f>IF(OR('Base Encuesta'!AE319="",IFERROR(VALUE(LEFT('Base Encuesta'!K319,1)),"")&gt;=3),"",VALUE(LEFT('Base Encuesta'!AE319,1)))</f>
        <v/>
      </c>
      <c r="X345" t="str">
        <f>IF(OR('Base Encuesta'!AF319="",IFERROR(VALUE(LEFT('Base Encuesta'!K319,1)),"")&gt;=3),"",IF(W345=1,VALUE(LEFT('Base Encuesta'!AF319,1)),""))</f>
        <v/>
      </c>
      <c r="Y345" t="str">
        <f>IF(OR('Base Encuesta'!AG319="",IFERROR(VALUE(LEFT('Base Encuesta'!K319,1)),"")&gt;=3),"",IF(W345=1,VALUE(LEFT('Base Encuesta'!AG319,1)),""))</f>
        <v/>
      </c>
      <c r="Z345" t="str">
        <f>IF(OR('Base Encuesta'!AH319="",IFERROR(VALUE(LEFT('Base Encuesta'!K319,1)),"")&gt;=3),"",IF(W345=1,VALUE(LEFT('Base Encuesta'!AH319,1)),""))</f>
        <v/>
      </c>
      <c r="AA345" t="str">
        <f>IF(OR('Base Encuesta'!AI319="",IFERROR(VALUE(LEFT('Base Encuesta'!K319,1)),"")&gt;=3),"",IF(W345=1,VALUE(LEFT('Base Encuesta'!AI319,1)),""))</f>
        <v/>
      </c>
      <c r="AB345" t="str">
        <f>IF(OR('Base Encuesta'!AJ319="",IFERROR(VALUE(LEFT('Base Encuesta'!K319,1)),"")&gt;=3),"",IF(W345=1,VALUE(LEFT('Base Encuesta'!AJ319,1)),""))</f>
        <v/>
      </c>
      <c r="AC345" t="str">
        <f>IF(OR('Base Encuesta'!AL319="",IFERROR(VALUE(LEFT('Base Encuesta'!K319,1)),"")&gt;=3),"",VALUE(LEFT('Base Encuesta'!AL319,1)))</f>
        <v/>
      </c>
      <c r="AD345" t="str">
        <f>IF(OR('Base Encuesta'!AM319="",IFERROR(VALUE(LEFT('Base Encuesta'!K319,1)),"")&gt;=3),"",VALUE(LEFT('Base Encuesta'!AM319,1)))</f>
        <v/>
      </c>
      <c r="AE345" t="str">
        <f>IF(OR('Base Encuesta'!AN319="",IFERROR(VALUE(LEFT('Base Encuesta'!K319,1)),"")&gt;=3),"",VALUE(LEFT('Base Encuesta'!AN319,1)))</f>
        <v/>
      </c>
      <c r="AF345" t="str">
        <f>IF(OR('Base Encuesta'!AO319="",IFERROR(VALUE(LEFT('Base Encuesta'!K319,1)),"")&gt;=3),"",VALUE(LEFT('Base Encuesta'!AO319,1)))</f>
        <v/>
      </c>
      <c r="AG345" t="str">
        <f>IF(OR('Base Encuesta'!AQ319="",IFERROR(VALUE(LEFT('Base Encuesta'!K319,1)),"")&gt;=3),"",VALUE(LEFT('Base Encuesta'!AQ319,1)))</f>
        <v/>
      </c>
      <c r="AH345" t="str">
        <f>IF(OR('Base Encuesta'!AR319="",IFERROR(VALUE(LEFT('Base Encuesta'!K319,1)),"")&gt;=3),"",VALUE(LEFT('Base Encuesta'!AR319,1)))</f>
        <v/>
      </c>
    </row>
    <row r="346" spans="1:34">
      <c r="A346" t="str">
        <f>IF('Base Encuesta'!C320="","",'Base Encuesta'!C320)</f>
        <v/>
      </c>
      <c r="B346" t="str">
        <f>IF('Base Encuesta'!D320="","",'Base Encuesta'!D320)</f>
        <v/>
      </c>
      <c r="C346" t="str">
        <f>IF('Base Encuesta'!E320="","",'Base Encuesta'!E320)</f>
        <v/>
      </c>
      <c r="D346" t="str">
        <f>IF('Base Encuesta'!F320="","",'Base Encuesta'!F320)</f>
        <v/>
      </c>
      <c r="E346" t="str">
        <f>IF('Base Encuesta'!G320="","",'Base Encuesta'!G320)</f>
        <v/>
      </c>
      <c r="F346" t="str">
        <f>IF('Base Encuesta'!H320="","",'Base Encuesta'!H320)</f>
        <v/>
      </c>
      <c r="G346" t="str">
        <f>IF('Base Encuesta'!I320="","",'Base Encuesta'!I320)</f>
        <v/>
      </c>
      <c r="H346" t="str">
        <f>IF('Base Encuesta'!J320="","",'Base Encuesta'!J320)</f>
        <v/>
      </c>
      <c r="I346" t="str">
        <f>IF('Base Encuesta'!K320="","",'Base Encuesta'!K320)</f>
        <v/>
      </c>
      <c r="J346" t="str">
        <f>IF(OR('Base Encuesta'!P320="",IFERROR(VALUE(LEFT('Base Encuesta'!K320,1)),"")&gt;=3),"",PROPER(TRIM('Base Encuesta'!P320)))</f>
        <v/>
      </c>
      <c r="K346" t="str">
        <f>IF(OR('Base Encuesta'!Q320="",IFERROR(VALUE(LEFT('Base Encuesta'!K320,1)),"")&gt;=3),"",'Base Encuesta'!Q320)</f>
        <v/>
      </c>
      <c r="L346" t="str">
        <f>IF(OR('Base Encuesta'!R320="",IFERROR(VALUE(LEFT('Base Encuesta'!K320,1)),"")&gt;=3),"",VALUE(LEFT('Base Encuesta'!R320,1)))</f>
        <v/>
      </c>
      <c r="M346" t="str">
        <f>IF(OR('Base Encuesta'!S320="",IFERROR(VALUE(LEFT('Base Encuesta'!K320,1)),"")&gt;=3),"",VALUE(LEFT('Base Encuesta'!S320,1)))</f>
        <v/>
      </c>
      <c r="N346" t="str">
        <f>IF(OR('Base Encuesta'!T320="",IFERROR(VALUE(LEFT('Base Encuesta'!K320,1)),"")&gt;=3),"",VALUE(LEFT('Base Encuesta'!T320,1)))</f>
        <v/>
      </c>
      <c r="O346" t="str">
        <f>IF(OR('Base Encuesta'!V320="",IFERROR(VALUE(LEFT('Base Encuesta'!K320,1)),"")&gt;=3),"",VALUE(LEFT('Base Encuesta'!V320,1)))</f>
        <v/>
      </c>
      <c r="P346" t="str">
        <f>IF(OR('Base Encuesta'!W320="",IFERROR(VALUE(LEFT('Base Encuesta'!K320,1)),"")&gt;=3),"",VALUE(LEFT('Base Encuesta'!W320,1)))</f>
        <v/>
      </c>
      <c r="Q346" t="str">
        <f>IF(OR('Base Encuesta'!X320="",IFERROR(VALUE(LEFT('Base Encuesta'!K320,1)),"")&gt;=3),"",VALUE(LEFT('Base Encuesta'!X320,1)))</f>
        <v/>
      </c>
      <c r="R346" t="str">
        <f>IF(OR('Base Encuesta'!Y320="",IFERROR(VALUE(LEFT('Base Encuesta'!K320,1)),"")&gt;=3),"",VALUE(LEFT('Base Encuesta'!Y320,1)))</f>
        <v/>
      </c>
      <c r="S346" t="str">
        <f>IF(OR('Base Encuesta'!Z320="",IFERROR(VALUE(LEFT('Base Encuesta'!K320,1)),"")&gt;=3),"",VALUE(LEFT('Base Encuesta'!Z320,1)))</f>
        <v/>
      </c>
      <c r="T346" t="str">
        <f>IF(OR('Base Encuesta'!AA320="",IFERROR(VALUE(LEFT('Base Encuesta'!K320,1)),"")&gt;=3),"",VALUE(LEFT('Base Encuesta'!AA320,1)))</f>
        <v/>
      </c>
      <c r="U346" t="str">
        <f>IF(OR('Base Encuesta'!AB320="",IFERROR(VALUE(LEFT('Base Encuesta'!K320,1)),"")&gt;=3),"",VALUE(LEFT('Base Encuesta'!AB320,1)))</f>
        <v/>
      </c>
      <c r="V346" t="str">
        <f>IF(OR('Base Encuesta'!AC320="",IFERROR(VALUE(LEFT('Base Encuesta'!K320,1)),"")&gt;=3),"",VALUE(LEFT('Base Encuesta'!AC320,1)))</f>
        <v/>
      </c>
      <c r="W346" t="str">
        <f>IF(OR('Base Encuesta'!AE320="",IFERROR(VALUE(LEFT('Base Encuesta'!K320,1)),"")&gt;=3),"",VALUE(LEFT('Base Encuesta'!AE320,1)))</f>
        <v/>
      </c>
      <c r="X346" t="str">
        <f>IF(OR('Base Encuesta'!AF320="",IFERROR(VALUE(LEFT('Base Encuesta'!K320,1)),"")&gt;=3),"",IF(W346=1,VALUE(LEFT('Base Encuesta'!AF320,1)),""))</f>
        <v/>
      </c>
      <c r="Y346" t="str">
        <f>IF(OR('Base Encuesta'!AG320="",IFERROR(VALUE(LEFT('Base Encuesta'!K320,1)),"")&gt;=3),"",IF(W346=1,VALUE(LEFT('Base Encuesta'!AG320,1)),""))</f>
        <v/>
      </c>
      <c r="Z346" t="str">
        <f>IF(OR('Base Encuesta'!AH320="",IFERROR(VALUE(LEFT('Base Encuesta'!K320,1)),"")&gt;=3),"",IF(W346=1,VALUE(LEFT('Base Encuesta'!AH320,1)),""))</f>
        <v/>
      </c>
      <c r="AA346" t="str">
        <f>IF(OR('Base Encuesta'!AI320="",IFERROR(VALUE(LEFT('Base Encuesta'!K320,1)),"")&gt;=3),"",IF(W346=1,VALUE(LEFT('Base Encuesta'!AI320,1)),""))</f>
        <v/>
      </c>
      <c r="AB346" t="str">
        <f>IF(OR('Base Encuesta'!AJ320="",IFERROR(VALUE(LEFT('Base Encuesta'!K320,1)),"")&gt;=3),"",IF(W346=1,VALUE(LEFT('Base Encuesta'!AJ320,1)),""))</f>
        <v/>
      </c>
      <c r="AC346" t="str">
        <f>IF(OR('Base Encuesta'!AL320="",IFERROR(VALUE(LEFT('Base Encuesta'!K320,1)),"")&gt;=3),"",VALUE(LEFT('Base Encuesta'!AL320,1)))</f>
        <v/>
      </c>
      <c r="AD346" t="str">
        <f>IF(OR('Base Encuesta'!AM320="",IFERROR(VALUE(LEFT('Base Encuesta'!K320,1)),"")&gt;=3),"",VALUE(LEFT('Base Encuesta'!AM320,1)))</f>
        <v/>
      </c>
      <c r="AE346" t="str">
        <f>IF(OR('Base Encuesta'!AN320="",IFERROR(VALUE(LEFT('Base Encuesta'!K320,1)),"")&gt;=3),"",VALUE(LEFT('Base Encuesta'!AN320,1)))</f>
        <v/>
      </c>
      <c r="AF346" t="str">
        <f>IF(OR('Base Encuesta'!AO320="",IFERROR(VALUE(LEFT('Base Encuesta'!K320,1)),"")&gt;=3),"",VALUE(LEFT('Base Encuesta'!AO320,1)))</f>
        <v/>
      </c>
      <c r="AG346" t="str">
        <f>IF(OR('Base Encuesta'!AQ320="",IFERROR(VALUE(LEFT('Base Encuesta'!K320,1)),"")&gt;=3),"",VALUE(LEFT('Base Encuesta'!AQ320,1)))</f>
        <v/>
      </c>
      <c r="AH346" t="str">
        <f>IF(OR('Base Encuesta'!AR320="",IFERROR(VALUE(LEFT('Base Encuesta'!K320,1)),"")&gt;=3),"",VALUE(LEFT('Base Encuesta'!AR320,1)))</f>
        <v/>
      </c>
    </row>
    <row r="347" spans="1:34">
      <c r="A347" t="str">
        <f>IF('Base Encuesta'!C321="","",'Base Encuesta'!C321)</f>
        <v/>
      </c>
      <c r="B347" t="str">
        <f>IF('Base Encuesta'!D321="","",'Base Encuesta'!D321)</f>
        <v/>
      </c>
      <c r="C347" t="str">
        <f>IF('Base Encuesta'!E321="","",'Base Encuesta'!E321)</f>
        <v/>
      </c>
      <c r="D347" t="str">
        <f>IF('Base Encuesta'!F321="","",'Base Encuesta'!F321)</f>
        <v/>
      </c>
      <c r="E347" t="str">
        <f>IF('Base Encuesta'!G321="","",'Base Encuesta'!G321)</f>
        <v/>
      </c>
      <c r="F347" t="str">
        <f>IF('Base Encuesta'!H321="","",'Base Encuesta'!H321)</f>
        <v/>
      </c>
      <c r="G347" t="str">
        <f>IF('Base Encuesta'!I321="","",'Base Encuesta'!I321)</f>
        <v/>
      </c>
      <c r="H347" t="str">
        <f>IF('Base Encuesta'!J321="","",'Base Encuesta'!J321)</f>
        <v/>
      </c>
      <c r="I347" t="str">
        <f>IF('Base Encuesta'!K321="","",'Base Encuesta'!K321)</f>
        <v/>
      </c>
      <c r="J347" t="str">
        <f>IF(OR('Base Encuesta'!P321="",IFERROR(VALUE(LEFT('Base Encuesta'!K321,1)),"")&gt;=3),"",PROPER(TRIM('Base Encuesta'!P321)))</f>
        <v/>
      </c>
      <c r="K347" t="str">
        <f>IF(OR('Base Encuesta'!Q321="",IFERROR(VALUE(LEFT('Base Encuesta'!K321,1)),"")&gt;=3),"",'Base Encuesta'!Q321)</f>
        <v/>
      </c>
      <c r="L347" t="str">
        <f>IF(OR('Base Encuesta'!R321="",IFERROR(VALUE(LEFT('Base Encuesta'!K321,1)),"")&gt;=3),"",VALUE(LEFT('Base Encuesta'!R321,1)))</f>
        <v/>
      </c>
      <c r="M347" t="str">
        <f>IF(OR('Base Encuesta'!S321="",IFERROR(VALUE(LEFT('Base Encuesta'!K321,1)),"")&gt;=3),"",VALUE(LEFT('Base Encuesta'!S321,1)))</f>
        <v/>
      </c>
      <c r="N347" t="str">
        <f>IF(OR('Base Encuesta'!T321="",IFERROR(VALUE(LEFT('Base Encuesta'!K321,1)),"")&gt;=3),"",VALUE(LEFT('Base Encuesta'!T321,1)))</f>
        <v/>
      </c>
      <c r="O347" t="str">
        <f>IF(OR('Base Encuesta'!V321="",IFERROR(VALUE(LEFT('Base Encuesta'!K321,1)),"")&gt;=3),"",VALUE(LEFT('Base Encuesta'!V321,1)))</f>
        <v/>
      </c>
      <c r="P347" t="str">
        <f>IF(OR('Base Encuesta'!W321="",IFERROR(VALUE(LEFT('Base Encuesta'!K321,1)),"")&gt;=3),"",VALUE(LEFT('Base Encuesta'!W321,1)))</f>
        <v/>
      </c>
      <c r="Q347" t="str">
        <f>IF(OR('Base Encuesta'!X321="",IFERROR(VALUE(LEFT('Base Encuesta'!K321,1)),"")&gt;=3),"",VALUE(LEFT('Base Encuesta'!X321,1)))</f>
        <v/>
      </c>
      <c r="R347" t="str">
        <f>IF(OR('Base Encuesta'!Y321="",IFERROR(VALUE(LEFT('Base Encuesta'!K321,1)),"")&gt;=3),"",VALUE(LEFT('Base Encuesta'!Y321,1)))</f>
        <v/>
      </c>
      <c r="S347" t="str">
        <f>IF(OR('Base Encuesta'!Z321="",IFERROR(VALUE(LEFT('Base Encuesta'!K321,1)),"")&gt;=3),"",VALUE(LEFT('Base Encuesta'!Z321,1)))</f>
        <v/>
      </c>
      <c r="T347" t="str">
        <f>IF(OR('Base Encuesta'!AA321="",IFERROR(VALUE(LEFT('Base Encuesta'!K321,1)),"")&gt;=3),"",VALUE(LEFT('Base Encuesta'!AA321,1)))</f>
        <v/>
      </c>
      <c r="U347" t="str">
        <f>IF(OR('Base Encuesta'!AB321="",IFERROR(VALUE(LEFT('Base Encuesta'!K321,1)),"")&gt;=3),"",VALUE(LEFT('Base Encuesta'!AB321,1)))</f>
        <v/>
      </c>
      <c r="V347" t="str">
        <f>IF(OR('Base Encuesta'!AC321="",IFERROR(VALUE(LEFT('Base Encuesta'!K321,1)),"")&gt;=3),"",VALUE(LEFT('Base Encuesta'!AC321,1)))</f>
        <v/>
      </c>
      <c r="W347" t="str">
        <f>IF(OR('Base Encuesta'!AE321="",IFERROR(VALUE(LEFT('Base Encuesta'!K321,1)),"")&gt;=3),"",VALUE(LEFT('Base Encuesta'!AE321,1)))</f>
        <v/>
      </c>
      <c r="X347" t="str">
        <f>IF(OR('Base Encuesta'!AF321="",IFERROR(VALUE(LEFT('Base Encuesta'!K321,1)),"")&gt;=3),"",IF(W347=1,VALUE(LEFT('Base Encuesta'!AF321,1)),""))</f>
        <v/>
      </c>
      <c r="Y347" t="str">
        <f>IF(OR('Base Encuesta'!AG321="",IFERROR(VALUE(LEFT('Base Encuesta'!K321,1)),"")&gt;=3),"",IF(W347=1,VALUE(LEFT('Base Encuesta'!AG321,1)),""))</f>
        <v/>
      </c>
      <c r="Z347" t="str">
        <f>IF(OR('Base Encuesta'!AH321="",IFERROR(VALUE(LEFT('Base Encuesta'!K321,1)),"")&gt;=3),"",IF(W347=1,VALUE(LEFT('Base Encuesta'!AH321,1)),""))</f>
        <v/>
      </c>
      <c r="AA347" t="str">
        <f>IF(OR('Base Encuesta'!AI321="",IFERROR(VALUE(LEFT('Base Encuesta'!K321,1)),"")&gt;=3),"",IF(W347=1,VALUE(LEFT('Base Encuesta'!AI321,1)),""))</f>
        <v/>
      </c>
      <c r="AB347" t="str">
        <f>IF(OR('Base Encuesta'!AJ321="",IFERROR(VALUE(LEFT('Base Encuesta'!K321,1)),"")&gt;=3),"",IF(W347=1,VALUE(LEFT('Base Encuesta'!AJ321,1)),""))</f>
        <v/>
      </c>
      <c r="AC347" t="str">
        <f>IF(OR('Base Encuesta'!AL321="",IFERROR(VALUE(LEFT('Base Encuesta'!K321,1)),"")&gt;=3),"",VALUE(LEFT('Base Encuesta'!AL321,1)))</f>
        <v/>
      </c>
      <c r="AD347" t="str">
        <f>IF(OR('Base Encuesta'!AM321="",IFERROR(VALUE(LEFT('Base Encuesta'!K321,1)),"")&gt;=3),"",VALUE(LEFT('Base Encuesta'!AM321,1)))</f>
        <v/>
      </c>
      <c r="AE347" t="str">
        <f>IF(OR('Base Encuesta'!AN321="",IFERROR(VALUE(LEFT('Base Encuesta'!K321,1)),"")&gt;=3),"",VALUE(LEFT('Base Encuesta'!AN321,1)))</f>
        <v/>
      </c>
      <c r="AF347" t="str">
        <f>IF(OR('Base Encuesta'!AO321="",IFERROR(VALUE(LEFT('Base Encuesta'!K321,1)),"")&gt;=3),"",VALUE(LEFT('Base Encuesta'!AO321,1)))</f>
        <v/>
      </c>
      <c r="AG347" t="str">
        <f>IF(OR('Base Encuesta'!AQ321="",IFERROR(VALUE(LEFT('Base Encuesta'!K321,1)),"")&gt;=3),"",VALUE(LEFT('Base Encuesta'!AQ321,1)))</f>
        <v/>
      </c>
      <c r="AH347" t="str">
        <f>IF(OR('Base Encuesta'!AR321="",IFERROR(VALUE(LEFT('Base Encuesta'!K321,1)),"")&gt;=3),"",VALUE(LEFT('Base Encuesta'!AR321,1)))</f>
        <v/>
      </c>
    </row>
    <row r="348" spans="1:34">
      <c r="A348" t="str">
        <f>IF('Base Encuesta'!C322="","",'Base Encuesta'!C322)</f>
        <v/>
      </c>
      <c r="B348" t="str">
        <f>IF('Base Encuesta'!D322="","",'Base Encuesta'!D322)</f>
        <v/>
      </c>
      <c r="C348" t="str">
        <f>IF('Base Encuesta'!E322="","",'Base Encuesta'!E322)</f>
        <v/>
      </c>
      <c r="D348" t="str">
        <f>IF('Base Encuesta'!F322="","",'Base Encuesta'!F322)</f>
        <v/>
      </c>
      <c r="E348" t="str">
        <f>IF('Base Encuesta'!G322="","",'Base Encuesta'!G322)</f>
        <v/>
      </c>
      <c r="F348" t="str">
        <f>IF('Base Encuesta'!H322="","",'Base Encuesta'!H322)</f>
        <v/>
      </c>
      <c r="G348" t="str">
        <f>IF('Base Encuesta'!I322="","",'Base Encuesta'!I322)</f>
        <v/>
      </c>
      <c r="H348" t="str">
        <f>IF('Base Encuesta'!J322="","",'Base Encuesta'!J322)</f>
        <v/>
      </c>
      <c r="I348" t="str">
        <f>IF('Base Encuesta'!K322="","",'Base Encuesta'!K322)</f>
        <v/>
      </c>
      <c r="J348" t="str">
        <f>IF(OR('Base Encuesta'!P322="",IFERROR(VALUE(LEFT('Base Encuesta'!K322,1)),"")&gt;=3),"",PROPER(TRIM('Base Encuesta'!P322)))</f>
        <v/>
      </c>
      <c r="K348" t="str">
        <f>IF(OR('Base Encuesta'!Q322="",IFERROR(VALUE(LEFT('Base Encuesta'!K322,1)),"")&gt;=3),"",'Base Encuesta'!Q322)</f>
        <v/>
      </c>
      <c r="L348" t="str">
        <f>IF(OR('Base Encuesta'!R322="",IFERROR(VALUE(LEFT('Base Encuesta'!K322,1)),"")&gt;=3),"",VALUE(LEFT('Base Encuesta'!R322,1)))</f>
        <v/>
      </c>
      <c r="M348" t="str">
        <f>IF(OR('Base Encuesta'!S322="",IFERROR(VALUE(LEFT('Base Encuesta'!K322,1)),"")&gt;=3),"",VALUE(LEFT('Base Encuesta'!S322,1)))</f>
        <v/>
      </c>
      <c r="N348" t="str">
        <f>IF(OR('Base Encuesta'!T322="",IFERROR(VALUE(LEFT('Base Encuesta'!K322,1)),"")&gt;=3),"",VALUE(LEFT('Base Encuesta'!T322,1)))</f>
        <v/>
      </c>
      <c r="O348" t="str">
        <f>IF(OR('Base Encuesta'!V322="",IFERROR(VALUE(LEFT('Base Encuesta'!K322,1)),"")&gt;=3),"",VALUE(LEFT('Base Encuesta'!V322,1)))</f>
        <v/>
      </c>
      <c r="P348" t="str">
        <f>IF(OR('Base Encuesta'!W322="",IFERROR(VALUE(LEFT('Base Encuesta'!K322,1)),"")&gt;=3),"",VALUE(LEFT('Base Encuesta'!W322,1)))</f>
        <v/>
      </c>
      <c r="Q348" t="str">
        <f>IF(OR('Base Encuesta'!X322="",IFERROR(VALUE(LEFT('Base Encuesta'!K322,1)),"")&gt;=3),"",VALUE(LEFT('Base Encuesta'!X322,1)))</f>
        <v/>
      </c>
      <c r="R348" t="str">
        <f>IF(OR('Base Encuesta'!Y322="",IFERROR(VALUE(LEFT('Base Encuesta'!K322,1)),"")&gt;=3),"",VALUE(LEFT('Base Encuesta'!Y322,1)))</f>
        <v/>
      </c>
      <c r="S348" t="str">
        <f>IF(OR('Base Encuesta'!Z322="",IFERROR(VALUE(LEFT('Base Encuesta'!K322,1)),"")&gt;=3),"",VALUE(LEFT('Base Encuesta'!Z322,1)))</f>
        <v/>
      </c>
      <c r="T348" t="str">
        <f>IF(OR('Base Encuesta'!AA322="",IFERROR(VALUE(LEFT('Base Encuesta'!K322,1)),"")&gt;=3),"",VALUE(LEFT('Base Encuesta'!AA322,1)))</f>
        <v/>
      </c>
      <c r="U348" t="str">
        <f>IF(OR('Base Encuesta'!AB322="",IFERROR(VALUE(LEFT('Base Encuesta'!K322,1)),"")&gt;=3),"",VALUE(LEFT('Base Encuesta'!AB322,1)))</f>
        <v/>
      </c>
      <c r="V348" t="str">
        <f>IF(OR('Base Encuesta'!AC322="",IFERROR(VALUE(LEFT('Base Encuesta'!K322,1)),"")&gt;=3),"",VALUE(LEFT('Base Encuesta'!AC322,1)))</f>
        <v/>
      </c>
      <c r="W348" t="str">
        <f>IF(OR('Base Encuesta'!AE322="",IFERROR(VALUE(LEFT('Base Encuesta'!K322,1)),"")&gt;=3),"",VALUE(LEFT('Base Encuesta'!AE322,1)))</f>
        <v/>
      </c>
      <c r="X348" t="str">
        <f>IF(OR('Base Encuesta'!AF322="",IFERROR(VALUE(LEFT('Base Encuesta'!K322,1)),"")&gt;=3),"",IF(W348=1,VALUE(LEFT('Base Encuesta'!AF322,1)),""))</f>
        <v/>
      </c>
      <c r="Y348" t="str">
        <f>IF(OR('Base Encuesta'!AG322="",IFERROR(VALUE(LEFT('Base Encuesta'!K322,1)),"")&gt;=3),"",IF(W348=1,VALUE(LEFT('Base Encuesta'!AG322,1)),""))</f>
        <v/>
      </c>
      <c r="Z348" t="str">
        <f>IF(OR('Base Encuesta'!AH322="",IFERROR(VALUE(LEFT('Base Encuesta'!K322,1)),"")&gt;=3),"",IF(W348=1,VALUE(LEFT('Base Encuesta'!AH322,1)),""))</f>
        <v/>
      </c>
      <c r="AA348" t="str">
        <f>IF(OR('Base Encuesta'!AI322="",IFERROR(VALUE(LEFT('Base Encuesta'!K322,1)),"")&gt;=3),"",IF(W348=1,VALUE(LEFT('Base Encuesta'!AI322,1)),""))</f>
        <v/>
      </c>
      <c r="AB348" t="str">
        <f>IF(OR('Base Encuesta'!AJ322="",IFERROR(VALUE(LEFT('Base Encuesta'!K322,1)),"")&gt;=3),"",IF(W348=1,VALUE(LEFT('Base Encuesta'!AJ322,1)),""))</f>
        <v/>
      </c>
      <c r="AC348" t="str">
        <f>IF(OR('Base Encuesta'!AL322="",IFERROR(VALUE(LEFT('Base Encuesta'!K322,1)),"")&gt;=3),"",VALUE(LEFT('Base Encuesta'!AL322,1)))</f>
        <v/>
      </c>
      <c r="AD348" t="str">
        <f>IF(OR('Base Encuesta'!AM322="",IFERROR(VALUE(LEFT('Base Encuesta'!K322,1)),"")&gt;=3),"",VALUE(LEFT('Base Encuesta'!AM322,1)))</f>
        <v/>
      </c>
      <c r="AE348" t="str">
        <f>IF(OR('Base Encuesta'!AN322="",IFERROR(VALUE(LEFT('Base Encuesta'!K322,1)),"")&gt;=3),"",VALUE(LEFT('Base Encuesta'!AN322,1)))</f>
        <v/>
      </c>
      <c r="AF348" t="str">
        <f>IF(OR('Base Encuesta'!AO322="",IFERROR(VALUE(LEFT('Base Encuesta'!K322,1)),"")&gt;=3),"",VALUE(LEFT('Base Encuesta'!AO322,1)))</f>
        <v/>
      </c>
      <c r="AG348" t="str">
        <f>IF(OR('Base Encuesta'!AQ322="",IFERROR(VALUE(LEFT('Base Encuesta'!K322,1)),"")&gt;=3),"",VALUE(LEFT('Base Encuesta'!AQ322,1)))</f>
        <v/>
      </c>
      <c r="AH348" t="str">
        <f>IF(OR('Base Encuesta'!AR322="",IFERROR(VALUE(LEFT('Base Encuesta'!K322,1)),"")&gt;=3),"",VALUE(LEFT('Base Encuesta'!AR322,1)))</f>
        <v/>
      </c>
    </row>
    <row r="349" spans="1:34">
      <c r="A349" t="str">
        <f>IF('Base Encuesta'!C323="","",'Base Encuesta'!C323)</f>
        <v/>
      </c>
      <c r="B349" t="str">
        <f>IF('Base Encuesta'!D323="","",'Base Encuesta'!D323)</f>
        <v/>
      </c>
      <c r="C349" t="str">
        <f>IF('Base Encuesta'!E323="","",'Base Encuesta'!E323)</f>
        <v/>
      </c>
      <c r="D349" t="str">
        <f>IF('Base Encuesta'!F323="","",'Base Encuesta'!F323)</f>
        <v/>
      </c>
      <c r="E349" t="str">
        <f>IF('Base Encuesta'!G323="","",'Base Encuesta'!G323)</f>
        <v/>
      </c>
      <c r="F349" t="str">
        <f>IF('Base Encuesta'!H323="","",'Base Encuesta'!H323)</f>
        <v/>
      </c>
      <c r="G349" t="str">
        <f>IF('Base Encuesta'!I323="","",'Base Encuesta'!I323)</f>
        <v/>
      </c>
      <c r="H349" t="str">
        <f>IF('Base Encuesta'!J323="","",'Base Encuesta'!J323)</f>
        <v/>
      </c>
      <c r="I349" t="str">
        <f>IF('Base Encuesta'!K323="","",'Base Encuesta'!K323)</f>
        <v/>
      </c>
      <c r="J349" t="str">
        <f>IF(OR('Base Encuesta'!P323="",IFERROR(VALUE(LEFT('Base Encuesta'!K323,1)),"")&gt;=3),"",PROPER(TRIM('Base Encuesta'!P323)))</f>
        <v/>
      </c>
      <c r="K349" t="str">
        <f>IF(OR('Base Encuesta'!Q323="",IFERROR(VALUE(LEFT('Base Encuesta'!K323,1)),"")&gt;=3),"",'Base Encuesta'!Q323)</f>
        <v/>
      </c>
      <c r="L349" t="str">
        <f>IF(OR('Base Encuesta'!R323="",IFERROR(VALUE(LEFT('Base Encuesta'!K323,1)),"")&gt;=3),"",VALUE(LEFT('Base Encuesta'!R323,1)))</f>
        <v/>
      </c>
      <c r="M349" t="str">
        <f>IF(OR('Base Encuesta'!S323="",IFERROR(VALUE(LEFT('Base Encuesta'!K323,1)),"")&gt;=3),"",VALUE(LEFT('Base Encuesta'!S323,1)))</f>
        <v/>
      </c>
      <c r="N349" t="str">
        <f>IF(OR('Base Encuesta'!T323="",IFERROR(VALUE(LEFT('Base Encuesta'!K323,1)),"")&gt;=3),"",VALUE(LEFT('Base Encuesta'!T323,1)))</f>
        <v/>
      </c>
      <c r="O349" t="str">
        <f>IF(OR('Base Encuesta'!V323="",IFERROR(VALUE(LEFT('Base Encuesta'!K323,1)),"")&gt;=3),"",VALUE(LEFT('Base Encuesta'!V323,1)))</f>
        <v/>
      </c>
      <c r="P349" t="str">
        <f>IF(OR('Base Encuesta'!W323="",IFERROR(VALUE(LEFT('Base Encuesta'!K323,1)),"")&gt;=3),"",VALUE(LEFT('Base Encuesta'!W323,1)))</f>
        <v/>
      </c>
      <c r="Q349" t="str">
        <f>IF(OR('Base Encuesta'!X323="",IFERROR(VALUE(LEFT('Base Encuesta'!K323,1)),"")&gt;=3),"",VALUE(LEFT('Base Encuesta'!X323,1)))</f>
        <v/>
      </c>
      <c r="R349" t="str">
        <f>IF(OR('Base Encuesta'!Y323="",IFERROR(VALUE(LEFT('Base Encuesta'!K323,1)),"")&gt;=3),"",VALUE(LEFT('Base Encuesta'!Y323,1)))</f>
        <v/>
      </c>
      <c r="S349" t="str">
        <f>IF(OR('Base Encuesta'!Z323="",IFERROR(VALUE(LEFT('Base Encuesta'!K323,1)),"")&gt;=3),"",VALUE(LEFT('Base Encuesta'!Z323,1)))</f>
        <v/>
      </c>
      <c r="T349" t="str">
        <f>IF(OR('Base Encuesta'!AA323="",IFERROR(VALUE(LEFT('Base Encuesta'!K323,1)),"")&gt;=3),"",VALUE(LEFT('Base Encuesta'!AA323,1)))</f>
        <v/>
      </c>
      <c r="U349" t="str">
        <f>IF(OR('Base Encuesta'!AB323="",IFERROR(VALUE(LEFT('Base Encuesta'!K323,1)),"")&gt;=3),"",VALUE(LEFT('Base Encuesta'!AB323,1)))</f>
        <v/>
      </c>
      <c r="V349" t="str">
        <f>IF(OR('Base Encuesta'!AC323="",IFERROR(VALUE(LEFT('Base Encuesta'!K323,1)),"")&gt;=3),"",VALUE(LEFT('Base Encuesta'!AC323,1)))</f>
        <v/>
      </c>
      <c r="W349" t="str">
        <f>IF(OR('Base Encuesta'!AE323="",IFERROR(VALUE(LEFT('Base Encuesta'!K323,1)),"")&gt;=3),"",VALUE(LEFT('Base Encuesta'!AE323,1)))</f>
        <v/>
      </c>
      <c r="X349" t="str">
        <f>IF(OR('Base Encuesta'!AF323="",IFERROR(VALUE(LEFT('Base Encuesta'!K323,1)),"")&gt;=3),"",IF(W349=1,VALUE(LEFT('Base Encuesta'!AF323,1)),""))</f>
        <v/>
      </c>
      <c r="Y349" t="str">
        <f>IF(OR('Base Encuesta'!AG323="",IFERROR(VALUE(LEFT('Base Encuesta'!K323,1)),"")&gt;=3),"",IF(W349=1,VALUE(LEFT('Base Encuesta'!AG323,1)),""))</f>
        <v/>
      </c>
      <c r="Z349" t="str">
        <f>IF(OR('Base Encuesta'!AH323="",IFERROR(VALUE(LEFT('Base Encuesta'!K323,1)),"")&gt;=3),"",IF(W349=1,VALUE(LEFT('Base Encuesta'!AH323,1)),""))</f>
        <v/>
      </c>
      <c r="AA349" t="str">
        <f>IF(OR('Base Encuesta'!AI323="",IFERROR(VALUE(LEFT('Base Encuesta'!K323,1)),"")&gt;=3),"",IF(W349=1,VALUE(LEFT('Base Encuesta'!AI323,1)),""))</f>
        <v/>
      </c>
      <c r="AB349" t="str">
        <f>IF(OR('Base Encuesta'!AJ323="",IFERROR(VALUE(LEFT('Base Encuesta'!K323,1)),"")&gt;=3),"",IF(W349=1,VALUE(LEFT('Base Encuesta'!AJ323,1)),""))</f>
        <v/>
      </c>
      <c r="AC349" t="str">
        <f>IF(OR('Base Encuesta'!AL323="",IFERROR(VALUE(LEFT('Base Encuesta'!K323,1)),"")&gt;=3),"",VALUE(LEFT('Base Encuesta'!AL323,1)))</f>
        <v/>
      </c>
      <c r="AD349" t="str">
        <f>IF(OR('Base Encuesta'!AM323="",IFERROR(VALUE(LEFT('Base Encuesta'!K323,1)),"")&gt;=3),"",VALUE(LEFT('Base Encuesta'!AM323,1)))</f>
        <v/>
      </c>
      <c r="AE349" t="str">
        <f>IF(OR('Base Encuesta'!AN323="",IFERROR(VALUE(LEFT('Base Encuesta'!K323,1)),"")&gt;=3),"",VALUE(LEFT('Base Encuesta'!AN323,1)))</f>
        <v/>
      </c>
      <c r="AF349" t="str">
        <f>IF(OR('Base Encuesta'!AO323="",IFERROR(VALUE(LEFT('Base Encuesta'!K323,1)),"")&gt;=3),"",VALUE(LEFT('Base Encuesta'!AO323,1)))</f>
        <v/>
      </c>
      <c r="AG349" t="str">
        <f>IF(OR('Base Encuesta'!AQ323="",IFERROR(VALUE(LEFT('Base Encuesta'!K323,1)),"")&gt;=3),"",VALUE(LEFT('Base Encuesta'!AQ323,1)))</f>
        <v/>
      </c>
      <c r="AH349" t="str">
        <f>IF(OR('Base Encuesta'!AR323="",IFERROR(VALUE(LEFT('Base Encuesta'!K323,1)),"")&gt;=3),"",VALUE(LEFT('Base Encuesta'!AR323,1)))</f>
        <v/>
      </c>
    </row>
    <row r="350" spans="1:34">
      <c r="A350" t="str">
        <f>IF('Base Encuesta'!C324="","",'Base Encuesta'!C324)</f>
        <v/>
      </c>
      <c r="B350" t="str">
        <f>IF('Base Encuesta'!D324="","",'Base Encuesta'!D324)</f>
        <v/>
      </c>
      <c r="C350" t="str">
        <f>IF('Base Encuesta'!E324="","",'Base Encuesta'!E324)</f>
        <v/>
      </c>
      <c r="D350" t="str">
        <f>IF('Base Encuesta'!F324="","",'Base Encuesta'!F324)</f>
        <v/>
      </c>
      <c r="E350" t="str">
        <f>IF('Base Encuesta'!G324="","",'Base Encuesta'!G324)</f>
        <v/>
      </c>
      <c r="F350" t="str">
        <f>IF('Base Encuesta'!H324="","",'Base Encuesta'!H324)</f>
        <v/>
      </c>
      <c r="G350" t="str">
        <f>IF('Base Encuesta'!I324="","",'Base Encuesta'!I324)</f>
        <v/>
      </c>
      <c r="H350" t="str">
        <f>IF('Base Encuesta'!J324="","",'Base Encuesta'!J324)</f>
        <v/>
      </c>
      <c r="I350" t="str">
        <f>IF('Base Encuesta'!K324="","",'Base Encuesta'!K324)</f>
        <v/>
      </c>
      <c r="J350" t="str">
        <f>IF(OR('Base Encuesta'!P324="",IFERROR(VALUE(LEFT('Base Encuesta'!K324,1)),"")&gt;=3),"",PROPER(TRIM('Base Encuesta'!P324)))</f>
        <v/>
      </c>
      <c r="K350" t="str">
        <f>IF(OR('Base Encuesta'!Q324="",IFERROR(VALUE(LEFT('Base Encuesta'!K324,1)),"")&gt;=3),"",'Base Encuesta'!Q324)</f>
        <v/>
      </c>
      <c r="L350" t="str">
        <f>IF(OR('Base Encuesta'!R324="",IFERROR(VALUE(LEFT('Base Encuesta'!K324,1)),"")&gt;=3),"",VALUE(LEFT('Base Encuesta'!R324,1)))</f>
        <v/>
      </c>
      <c r="M350" t="str">
        <f>IF(OR('Base Encuesta'!S324="",IFERROR(VALUE(LEFT('Base Encuesta'!K324,1)),"")&gt;=3),"",VALUE(LEFT('Base Encuesta'!S324,1)))</f>
        <v/>
      </c>
      <c r="N350" t="str">
        <f>IF(OR('Base Encuesta'!T324="",IFERROR(VALUE(LEFT('Base Encuesta'!K324,1)),"")&gt;=3),"",VALUE(LEFT('Base Encuesta'!T324,1)))</f>
        <v/>
      </c>
      <c r="O350" t="str">
        <f>IF(OR('Base Encuesta'!V324="",IFERROR(VALUE(LEFT('Base Encuesta'!K324,1)),"")&gt;=3),"",VALUE(LEFT('Base Encuesta'!V324,1)))</f>
        <v/>
      </c>
      <c r="P350" t="str">
        <f>IF(OR('Base Encuesta'!W324="",IFERROR(VALUE(LEFT('Base Encuesta'!K324,1)),"")&gt;=3),"",VALUE(LEFT('Base Encuesta'!W324,1)))</f>
        <v/>
      </c>
      <c r="Q350" t="str">
        <f>IF(OR('Base Encuesta'!X324="",IFERROR(VALUE(LEFT('Base Encuesta'!K324,1)),"")&gt;=3),"",VALUE(LEFT('Base Encuesta'!X324,1)))</f>
        <v/>
      </c>
      <c r="R350" t="str">
        <f>IF(OR('Base Encuesta'!Y324="",IFERROR(VALUE(LEFT('Base Encuesta'!K324,1)),"")&gt;=3),"",VALUE(LEFT('Base Encuesta'!Y324,1)))</f>
        <v/>
      </c>
      <c r="S350" t="str">
        <f>IF(OR('Base Encuesta'!Z324="",IFERROR(VALUE(LEFT('Base Encuesta'!K324,1)),"")&gt;=3),"",VALUE(LEFT('Base Encuesta'!Z324,1)))</f>
        <v/>
      </c>
      <c r="T350" t="str">
        <f>IF(OR('Base Encuesta'!AA324="",IFERROR(VALUE(LEFT('Base Encuesta'!K324,1)),"")&gt;=3),"",VALUE(LEFT('Base Encuesta'!AA324,1)))</f>
        <v/>
      </c>
      <c r="U350" t="str">
        <f>IF(OR('Base Encuesta'!AB324="",IFERROR(VALUE(LEFT('Base Encuesta'!K324,1)),"")&gt;=3),"",VALUE(LEFT('Base Encuesta'!AB324,1)))</f>
        <v/>
      </c>
      <c r="V350" t="str">
        <f>IF(OR('Base Encuesta'!AC324="",IFERROR(VALUE(LEFT('Base Encuesta'!K324,1)),"")&gt;=3),"",VALUE(LEFT('Base Encuesta'!AC324,1)))</f>
        <v/>
      </c>
      <c r="W350" t="str">
        <f>IF(OR('Base Encuesta'!AE324="",IFERROR(VALUE(LEFT('Base Encuesta'!K324,1)),"")&gt;=3),"",VALUE(LEFT('Base Encuesta'!AE324,1)))</f>
        <v/>
      </c>
      <c r="X350" t="str">
        <f>IF(OR('Base Encuesta'!AF324="",IFERROR(VALUE(LEFT('Base Encuesta'!K324,1)),"")&gt;=3),"",IF(W350=1,VALUE(LEFT('Base Encuesta'!AF324,1)),""))</f>
        <v/>
      </c>
      <c r="Y350" t="str">
        <f>IF(OR('Base Encuesta'!AG324="",IFERROR(VALUE(LEFT('Base Encuesta'!K324,1)),"")&gt;=3),"",IF(W350=1,VALUE(LEFT('Base Encuesta'!AG324,1)),""))</f>
        <v/>
      </c>
      <c r="Z350" t="str">
        <f>IF(OR('Base Encuesta'!AH324="",IFERROR(VALUE(LEFT('Base Encuesta'!K324,1)),"")&gt;=3),"",IF(W350=1,VALUE(LEFT('Base Encuesta'!AH324,1)),""))</f>
        <v/>
      </c>
      <c r="AA350" t="str">
        <f>IF(OR('Base Encuesta'!AI324="",IFERROR(VALUE(LEFT('Base Encuesta'!K324,1)),"")&gt;=3),"",IF(W350=1,VALUE(LEFT('Base Encuesta'!AI324,1)),""))</f>
        <v/>
      </c>
      <c r="AB350" t="str">
        <f>IF(OR('Base Encuesta'!AJ324="",IFERROR(VALUE(LEFT('Base Encuesta'!K324,1)),"")&gt;=3),"",IF(W350=1,VALUE(LEFT('Base Encuesta'!AJ324,1)),""))</f>
        <v/>
      </c>
      <c r="AC350" t="str">
        <f>IF(OR('Base Encuesta'!AL324="",IFERROR(VALUE(LEFT('Base Encuesta'!K324,1)),"")&gt;=3),"",VALUE(LEFT('Base Encuesta'!AL324,1)))</f>
        <v/>
      </c>
      <c r="AD350" t="str">
        <f>IF(OR('Base Encuesta'!AM324="",IFERROR(VALUE(LEFT('Base Encuesta'!K324,1)),"")&gt;=3),"",VALUE(LEFT('Base Encuesta'!AM324,1)))</f>
        <v/>
      </c>
      <c r="AE350" t="str">
        <f>IF(OR('Base Encuesta'!AN324="",IFERROR(VALUE(LEFT('Base Encuesta'!K324,1)),"")&gt;=3),"",VALUE(LEFT('Base Encuesta'!AN324,1)))</f>
        <v/>
      </c>
      <c r="AF350" t="str">
        <f>IF(OR('Base Encuesta'!AO324="",IFERROR(VALUE(LEFT('Base Encuesta'!K324,1)),"")&gt;=3),"",VALUE(LEFT('Base Encuesta'!AO324,1)))</f>
        <v/>
      </c>
      <c r="AG350" t="str">
        <f>IF(OR('Base Encuesta'!AQ324="",IFERROR(VALUE(LEFT('Base Encuesta'!K324,1)),"")&gt;=3),"",VALUE(LEFT('Base Encuesta'!AQ324,1)))</f>
        <v/>
      </c>
      <c r="AH350" t="str">
        <f>IF(OR('Base Encuesta'!AR324="",IFERROR(VALUE(LEFT('Base Encuesta'!K324,1)),"")&gt;=3),"",VALUE(LEFT('Base Encuesta'!AR324,1)))</f>
        <v/>
      </c>
    </row>
    <row r="351" spans="1:34">
      <c r="A351" t="str">
        <f>IF('Base Encuesta'!C325="","",'Base Encuesta'!C325)</f>
        <v/>
      </c>
      <c r="B351" t="str">
        <f>IF('Base Encuesta'!D325="","",'Base Encuesta'!D325)</f>
        <v/>
      </c>
      <c r="C351" t="str">
        <f>IF('Base Encuesta'!E325="","",'Base Encuesta'!E325)</f>
        <v/>
      </c>
      <c r="D351" t="str">
        <f>IF('Base Encuesta'!F325="","",'Base Encuesta'!F325)</f>
        <v/>
      </c>
      <c r="E351" t="str">
        <f>IF('Base Encuesta'!G325="","",'Base Encuesta'!G325)</f>
        <v/>
      </c>
      <c r="F351" t="str">
        <f>IF('Base Encuesta'!H325="","",'Base Encuesta'!H325)</f>
        <v/>
      </c>
      <c r="G351" t="str">
        <f>IF('Base Encuesta'!I325="","",'Base Encuesta'!I325)</f>
        <v/>
      </c>
      <c r="H351" t="str">
        <f>IF('Base Encuesta'!J325="","",'Base Encuesta'!J325)</f>
        <v/>
      </c>
      <c r="I351" t="str">
        <f>IF('Base Encuesta'!K325="","",'Base Encuesta'!K325)</f>
        <v/>
      </c>
      <c r="J351" t="str">
        <f>IF(OR('Base Encuesta'!P325="",IFERROR(VALUE(LEFT('Base Encuesta'!K325,1)),"")&gt;=3),"",PROPER(TRIM('Base Encuesta'!P325)))</f>
        <v/>
      </c>
      <c r="K351" t="str">
        <f>IF(OR('Base Encuesta'!Q325="",IFERROR(VALUE(LEFT('Base Encuesta'!K325,1)),"")&gt;=3),"",'Base Encuesta'!Q325)</f>
        <v/>
      </c>
      <c r="L351" t="str">
        <f>IF(OR('Base Encuesta'!R325="",IFERROR(VALUE(LEFT('Base Encuesta'!K325,1)),"")&gt;=3),"",VALUE(LEFT('Base Encuesta'!R325,1)))</f>
        <v/>
      </c>
      <c r="M351" t="str">
        <f>IF(OR('Base Encuesta'!S325="",IFERROR(VALUE(LEFT('Base Encuesta'!K325,1)),"")&gt;=3),"",VALUE(LEFT('Base Encuesta'!S325,1)))</f>
        <v/>
      </c>
      <c r="N351" t="str">
        <f>IF(OR('Base Encuesta'!T325="",IFERROR(VALUE(LEFT('Base Encuesta'!K325,1)),"")&gt;=3),"",VALUE(LEFT('Base Encuesta'!T325,1)))</f>
        <v/>
      </c>
      <c r="O351" t="str">
        <f>IF(OR('Base Encuesta'!V325="",IFERROR(VALUE(LEFT('Base Encuesta'!K325,1)),"")&gt;=3),"",VALUE(LEFT('Base Encuesta'!V325,1)))</f>
        <v/>
      </c>
      <c r="P351" t="str">
        <f>IF(OR('Base Encuesta'!W325="",IFERROR(VALUE(LEFT('Base Encuesta'!K325,1)),"")&gt;=3),"",VALUE(LEFT('Base Encuesta'!W325,1)))</f>
        <v/>
      </c>
      <c r="Q351" t="str">
        <f>IF(OR('Base Encuesta'!X325="",IFERROR(VALUE(LEFT('Base Encuesta'!K325,1)),"")&gt;=3),"",VALUE(LEFT('Base Encuesta'!X325,1)))</f>
        <v/>
      </c>
      <c r="R351" t="str">
        <f>IF(OR('Base Encuesta'!Y325="",IFERROR(VALUE(LEFT('Base Encuesta'!K325,1)),"")&gt;=3),"",VALUE(LEFT('Base Encuesta'!Y325,1)))</f>
        <v/>
      </c>
      <c r="S351" t="str">
        <f>IF(OR('Base Encuesta'!Z325="",IFERROR(VALUE(LEFT('Base Encuesta'!K325,1)),"")&gt;=3),"",VALUE(LEFT('Base Encuesta'!Z325,1)))</f>
        <v/>
      </c>
      <c r="T351" t="str">
        <f>IF(OR('Base Encuesta'!AA325="",IFERROR(VALUE(LEFT('Base Encuesta'!K325,1)),"")&gt;=3),"",VALUE(LEFT('Base Encuesta'!AA325,1)))</f>
        <v/>
      </c>
      <c r="U351" t="str">
        <f>IF(OR('Base Encuesta'!AB325="",IFERROR(VALUE(LEFT('Base Encuesta'!K325,1)),"")&gt;=3),"",VALUE(LEFT('Base Encuesta'!AB325,1)))</f>
        <v/>
      </c>
      <c r="V351" t="str">
        <f>IF(OR('Base Encuesta'!AC325="",IFERROR(VALUE(LEFT('Base Encuesta'!K325,1)),"")&gt;=3),"",VALUE(LEFT('Base Encuesta'!AC325,1)))</f>
        <v/>
      </c>
      <c r="W351" t="str">
        <f>IF(OR('Base Encuesta'!AE325="",IFERROR(VALUE(LEFT('Base Encuesta'!K325,1)),"")&gt;=3),"",VALUE(LEFT('Base Encuesta'!AE325,1)))</f>
        <v/>
      </c>
      <c r="X351" t="str">
        <f>IF(OR('Base Encuesta'!AF325="",IFERROR(VALUE(LEFT('Base Encuesta'!K325,1)),"")&gt;=3),"",IF(W351=1,VALUE(LEFT('Base Encuesta'!AF325,1)),""))</f>
        <v/>
      </c>
      <c r="Y351" t="str">
        <f>IF(OR('Base Encuesta'!AG325="",IFERROR(VALUE(LEFT('Base Encuesta'!K325,1)),"")&gt;=3),"",IF(W351=1,VALUE(LEFT('Base Encuesta'!AG325,1)),""))</f>
        <v/>
      </c>
      <c r="Z351" t="str">
        <f>IF(OR('Base Encuesta'!AH325="",IFERROR(VALUE(LEFT('Base Encuesta'!K325,1)),"")&gt;=3),"",IF(W351=1,VALUE(LEFT('Base Encuesta'!AH325,1)),""))</f>
        <v/>
      </c>
      <c r="AA351" t="str">
        <f>IF(OR('Base Encuesta'!AI325="",IFERROR(VALUE(LEFT('Base Encuesta'!K325,1)),"")&gt;=3),"",IF(W351=1,VALUE(LEFT('Base Encuesta'!AI325,1)),""))</f>
        <v/>
      </c>
      <c r="AB351" t="str">
        <f>IF(OR('Base Encuesta'!AJ325="",IFERROR(VALUE(LEFT('Base Encuesta'!K325,1)),"")&gt;=3),"",IF(W351=1,VALUE(LEFT('Base Encuesta'!AJ325,1)),""))</f>
        <v/>
      </c>
      <c r="AC351" t="str">
        <f>IF(OR('Base Encuesta'!AL325="",IFERROR(VALUE(LEFT('Base Encuesta'!K325,1)),"")&gt;=3),"",VALUE(LEFT('Base Encuesta'!AL325,1)))</f>
        <v/>
      </c>
      <c r="AD351" t="str">
        <f>IF(OR('Base Encuesta'!AM325="",IFERROR(VALUE(LEFT('Base Encuesta'!K325,1)),"")&gt;=3),"",VALUE(LEFT('Base Encuesta'!AM325,1)))</f>
        <v/>
      </c>
      <c r="AE351" t="str">
        <f>IF(OR('Base Encuesta'!AN325="",IFERROR(VALUE(LEFT('Base Encuesta'!K325,1)),"")&gt;=3),"",VALUE(LEFT('Base Encuesta'!AN325,1)))</f>
        <v/>
      </c>
      <c r="AF351" t="str">
        <f>IF(OR('Base Encuesta'!AO325="",IFERROR(VALUE(LEFT('Base Encuesta'!K325,1)),"")&gt;=3),"",VALUE(LEFT('Base Encuesta'!AO325,1)))</f>
        <v/>
      </c>
      <c r="AG351" t="str">
        <f>IF(OR('Base Encuesta'!AQ325="",IFERROR(VALUE(LEFT('Base Encuesta'!K325,1)),"")&gt;=3),"",VALUE(LEFT('Base Encuesta'!AQ325,1)))</f>
        <v/>
      </c>
      <c r="AH351" t="str">
        <f>IF(OR('Base Encuesta'!AR325="",IFERROR(VALUE(LEFT('Base Encuesta'!K325,1)),"")&gt;=3),"",VALUE(LEFT('Base Encuesta'!AR325,1)))</f>
        <v/>
      </c>
    </row>
    <row r="352" spans="1:34">
      <c r="A352" t="str">
        <f>IF('Base Encuesta'!C326="","",'Base Encuesta'!C326)</f>
        <v/>
      </c>
      <c r="B352" t="str">
        <f>IF('Base Encuesta'!D326="","",'Base Encuesta'!D326)</f>
        <v/>
      </c>
      <c r="C352" t="str">
        <f>IF('Base Encuesta'!E326="","",'Base Encuesta'!E326)</f>
        <v/>
      </c>
      <c r="D352" t="str">
        <f>IF('Base Encuesta'!F326="","",'Base Encuesta'!F326)</f>
        <v/>
      </c>
      <c r="E352" t="str">
        <f>IF('Base Encuesta'!G326="","",'Base Encuesta'!G326)</f>
        <v/>
      </c>
      <c r="F352" t="str">
        <f>IF('Base Encuesta'!H326="","",'Base Encuesta'!H326)</f>
        <v/>
      </c>
      <c r="G352" t="str">
        <f>IF('Base Encuesta'!I326="","",'Base Encuesta'!I326)</f>
        <v/>
      </c>
      <c r="H352" t="str">
        <f>IF('Base Encuesta'!J326="","",'Base Encuesta'!J326)</f>
        <v/>
      </c>
      <c r="I352" t="str">
        <f>IF('Base Encuesta'!K326="","",'Base Encuesta'!K326)</f>
        <v/>
      </c>
      <c r="J352" t="str">
        <f>IF(OR('Base Encuesta'!P326="",IFERROR(VALUE(LEFT('Base Encuesta'!K326,1)),"")&gt;=3),"",PROPER(TRIM('Base Encuesta'!P326)))</f>
        <v/>
      </c>
      <c r="K352" t="str">
        <f>IF(OR('Base Encuesta'!Q326="",IFERROR(VALUE(LEFT('Base Encuesta'!K326,1)),"")&gt;=3),"",'Base Encuesta'!Q326)</f>
        <v/>
      </c>
      <c r="L352" t="str">
        <f>IF(OR('Base Encuesta'!R326="",IFERROR(VALUE(LEFT('Base Encuesta'!K326,1)),"")&gt;=3),"",VALUE(LEFT('Base Encuesta'!R326,1)))</f>
        <v/>
      </c>
      <c r="M352" t="str">
        <f>IF(OR('Base Encuesta'!S326="",IFERROR(VALUE(LEFT('Base Encuesta'!K326,1)),"")&gt;=3),"",VALUE(LEFT('Base Encuesta'!S326,1)))</f>
        <v/>
      </c>
      <c r="N352" t="str">
        <f>IF(OR('Base Encuesta'!T326="",IFERROR(VALUE(LEFT('Base Encuesta'!K326,1)),"")&gt;=3),"",VALUE(LEFT('Base Encuesta'!T326,1)))</f>
        <v/>
      </c>
      <c r="O352" t="str">
        <f>IF(OR('Base Encuesta'!V326="",IFERROR(VALUE(LEFT('Base Encuesta'!K326,1)),"")&gt;=3),"",VALUE(LEFT('Base Encuesta'!V326,1)))</f>
        <v/>
      </c>
      <c r="P352" t="str">
        <f>IF(OR('Base Encuesta'!W326="",IFERROR(VALUE(LEFT('Base Encuesta'!K326,1)),"")&gt;=3),"",VALUE(LEFT('Base Encuesta'!W326,1)))</f>
        <v/>
      </c>
      <c r="Q352" t="str">
        <f>IF(OR('Base Encuesta'!X326="",IFERROR(VALUE(LEFT('Base Encuesta'!K326,1)),"")&gt;=3),"",VALUE(LEFT('Base Encuesta'!X326,1)))</f>
        <v/>
      </c>
      <c r="R352" t="str">
        <f>IF(OR('Base Encuesta'!Y326="",IFERROR(VALUE(LEFT('Base Encuesta'!K326,1)),"")&gt;=3),"",VALUE(LEFT('Base Encuesta'!Y326,1)))</f>
        <v/>
      </c>
      <c r="S352" t="str">
        <f>IF(OR('Base Encuesta'!Z326="",IFERROR(VALUE(LEFT('Base Encuesta'!K326,1)),"")&gt;=3),"",VALUE(LEFT('Base Encuesta'!Z326,1)))</f>
        <v/>
      </c>
      <c r="T352" t="str">
        <f>IF(OR('Base Encuesta'!AA326="",IFERROR(VALUE(LEFT('Base Encuesta'!K326,1)),"")&gt;=3),"",VALUE(LEFT('Base Encuesta'!AA326,1)))</f>
        <v/>
      </c>
      <c r="U352" t="str">
        <f>IF(OR('Base Encuesta'!AB326="",IFERROR(VALUE(LEFT('Base Encuesta'!K326,1)),"")&gt;=3),"",VALUE(LEFT('Base Encuesta'!AB326,1)))</f>
        <v/>
      </c>
      <c r="V352" t="str">
        <f>IF(OR('Base Encuesta'!AC326="",IFERROR(VALUE(LEFT('Base Encuesta'!K326,1)),"")&gt;=3),"",VALUE(LEFT('Base Encuesta'!AC326,1)))</f>
        <v/>
      </c>
      <c r="W352" t="str">
        <f>IF(OR('Base Encuesta'!AE326="",IFERROR(VALUE(LEFT('Base Encuesta'!K326,1)),"")&gt;=3),"",VALUE(LEFT('Base Encuesta'!AE326,1)))</f>
        <v/>
      </c>
      <c r="X352" t="str">
        <f>IF(OR('Base Encuesta'!AF326="",IFERROR(VALUE(LEFT('Base Encuesta'!K326,1)),"")&gt;=3),"",IF(W352=1,VALUE(LEFT('Base Encuesta'!AF326,1)),""))</f>
        <v/>
      </c>
      <c r="Y352" t="str">
        <f>IF(OR('Base Encuesta'!AG326="",IFERROR(VALUE(LEFT('Base Encuesta'!K326,1)),"")&gt;=3),"",IF(W352=1,VALUE(LEFT('Base Encuesta'!AG326,1)),""))</f>
        <v/>
      </c>
      <c r="Z352" t="str">
        <f>IF(OR('Base Encuesta'!AH326="",IFERROR(VALUE(LEFT('Base Encuesta'!K326,1)),"")&gt;=3),"",IF(W352=1,VALUE(LEFT('Base Encuesta'!AH326,1)),""))</f>
        <v/>
      </c>
      <c r="AA352" t="str">
        <f>IF(OR('Base Encuesta'!AI326="",IFERROR(VALUE(LEFT('Base Encuesta'!K326,1)),"")&gt;=3),"",IF(W352=1,VALUE(LEFT('Base Encuesta'!AI326,1)),""))</f>
        <v/>
      </c>
      <c r="AB352" t="str">
        <f>IF(OR('Base Encuesta'!AJ326="",IFERROR(VALUE(LEFT('Base Encuesta'!K326,1)),"")&gt;=3),"",IF(W352=1,VALUE(LEFT('Base Encuesta'!AJ326,1)),""))</f>
        <v/>
      </c>
      <c r="AC352" t="str">
        <f>IF(OR('Base Encuesta'!AL326="",IFERROR(VALUE(LEFT('Base Encuesta'!K326,1)),"")&gt;=3),"",VALUE(LEFT('Base Encuesta'!AL326,1)))</f>
        <v/>
      </c>
      <c r="AD352" t="str">
        <f>IF(OR('Base Encuesta'!AM326="",IFERROR(VALUE(LEFT('Base Encuesta'!K326,1)),"")&gt;=3),"",VALUE(LEFT('Base Encuesta'!AM326,1)))</f>
        <v/>
      </c>
      <c r="AE352" t="str">
        <f>IF(OR('Base Encuesta'!AN326="",IFERROR(VALUE(LEFT('Base Encuesta'!K326,1)),"")&gt;=3),"",VALUE(LEFT('Base Encuesta'!AN326,1)))</f>
        <v/>
      </c>
      <c r="AF352" t="str">
        <f>IF(OR('Base Encuesta'!AO326="",IFERROR(VALUE(LEFT('Base Encuesta'!K326,1)),"")&gt;=3),"",VALUE(LEFT('Base Encuesta'!AO326,1)))</f>
        <v/>
      </c>
      <c r="AG352" t="str">
        <f>IF(OR('Base Encuesta'!AQ326="",IFERROR(VALUE(LEFT('Base Encuesta'!K326,1)),"")&gt;=3),"",VALUE(LEFT('Base Encuesta'!AQ326,1)))</f>
        <v/>
      </c>
      <c r="AH352" t="str">
        <f>IF(OR('Base Encuesta'!AR326="",IFERROR(VALUE(LEFT('Base Encuesta'!K326,1)),"")&gt;=3),"",VALUE(LEFT('Base Encuesta'!AR326,1)))</f>
        <v/>
      </c>
    </row>
    <row r="353" spans="1:34">
      <c r="A353" t="str">
        <f>IF('Base Encuesta'!C327="","",'Base Encuesta'!C327)</f>
        <v/>
      </c>
      <c r="B353" t="str">
        <f>IF('Base Encuesta'!D327="","",'Base Encuesta'!D327)</f>
        <v/>
      </c>
      <c r="C353" t="str">
        <f>IF('Base Encuesta'!E327="","",'Base Encuesta'!E327)</f>
        <v/>
      </c>
      <c r="D353" t="str">
        <f>IF('Base Encuesta'!F327="","",'Base Encuesta'!F327)</f>
        <v/>
      </c>
      <c r="E353" t="str">
        <f>IF('Base Encuesta'!G327="","",'Base Encuesta'!G327)</f>
        <v/>
      </c>
      <c r="F353" t="str">
        <f>IF('Base Encuesta'!H327="","",'Base Encuesta'!H327)</f>
        <v/>
      </c>
      <c r="G353" t="str">
        <f>IF('Base Encuesta'!I327="","",'Base Encuesta'!I327)</f>
        <v/>
      </c>
      <c r="H353" t="str">
        <f>IF('Base Encuesta'!J327="","",'Base Encuesta'!J327)</f>
        <v/>
      </c>
      <c r="I353" t="str">
        <f>IF('Base Encuesta'!K327="","",'Base Encuesta'!K327)</f>
        <v/>
      </c>
      <c r="J353" t="str">
        <f>IF(OR('Base Encuesta'!P327="",IFERROR(VALUE(LEFT('Base Encuesta'!K327,1)),"")&gt;=3),"",PROPER(TRIM('Base Encuesta'!P327)))</f>
        <v/>
      </c>
      <c r="K353" t="str">
        <f>IF(OR('Base Encuesta'!Q327="",IFERROR(VALUE(LEFT('Base Encuesta'!K327,1)),"")&gt;=3),"",'Base Encuesta'!Q327)</f>
        <v/>
      </c>
      <c r="L353" t="str">
        <f>IF(OR('Base Encuesta'!R327="",IFERROR(VALUE(LEFT('Base Encuesta'!K327,1)),"")&gt;=3),"",VALUE(LEFT('Base Encuesta'!R327,1)))</f>
        <v/>
      </c>
      <c r="M353" t="str">
        <f>IF(OR('Base Encuesta'!S327="",IFERROR(VALUE(LEFT('Base Encuesta'!K327,1)),"")&gt;=3),"",VALUE(LEFT('Base Encuesta'!S327,1)))</f>
        <v/>
      </c>
      <c r="N353" t="str">
        <f>IF(OR('Base Encuesta'!T327="",IFERROR(VALUE(LEFT('Base Encuesta'!K327,1)),"")&gt;=3),"",VALUE(LEFT('Base Encuesta'!T327,1)))</f>
        <v/>
      </c>
      <c r="O353" t="str">
        <f>IF(OR('Base Encuesta'!V327="",IFERROR(VALUE(LEFT('Base Encuesta'!K327,1)),"")&gt;=3),"",VALUE(LEFT('Base Encuesta'!V327,1)))</f>
        <v/>
      </c>
      <c r="P353" t="str">
        <f>IF(OR('Base Encuesta'!W327="",IFERROR(VALUE(LEFT('Base Encuesta'!K327,1)),"")&gt;=3),"",VALUE(LEFT('Base Encuesta'!W327,1)))</f>
        <v/>
      </c>
      <c r="Q353" t="str">
        <f>IF(OR('Base Encuesta'!X327="",IFERROR(VALUE(LEFT('Base Encuesta'!K327,1)),"")&gt;=3),"",VALUE(LEFT('Base Encuesta'!X327,1)))</f>
        <v/>
      </c>
      <c r="R353" t="str">
        <f>IF(OR('Base Encuesta'!Y327="",IFERROR(VALUE(LEFT('Base Encuesta'!K327,1)),"")&gt;=3),"",VALUE(LEFT('Base Encuesta'!Y327,1)))</f>
        <v/>
      </c>
      <c r="S353" t="str">
        <f>IF(OR('Base Encuesta'!Z327="",IFERROR(VALUE(LEFT('Base Encuesta'!K327,1)),"")&gt;=3),"",VALUE(LEFT('Base Encuesta'!Z327,1)))</f>
        <v/>
      </c>
      <c r="T353" t="str">
        <f>IF(OR('Base Encuesta'!AA327="",IFERROR(VALUE(LEFT('Base Encuesta'!K327,1)),"")&gt;=3),"",VALUE(LEFT('Base Encuesta'!AA327,1)))</f>
        <v/>
      </c>
      <c r="U353" t="str">
        <f>IF(OR('Base Encuesta'!AB327="",IFERROR(VALUE(LEFT('Base Encuesta'!K327,1)),"")&gt;=3),"",VALUE(LEFT('Base Encuesta'!AB327,1)))</f>
        <v/>
      </c>
      <c r="V353" t="str">
        <f>IF(OR('Base Encuesta'!AC327="",IFERROR(VALUE(LEFT('Base Encuesta'!K327,1)),"")&gt;=3),"",VALUE(LEFT('Base Encuesta'!AC327,1)))</f>
        <v/>
      </c>
      <c r="W353" t="str">
        <f>IF(OR('Base Encuesta'!AE327="",IFERROR(VALUE(LEFT('Base Encuesta'!K327,1)),"")&gt;=3),"",VALUE(LEFT('Base Encuesta'!AE327,1)))</f>
        <v/>
      </c>
      <c r="X353" t="str">
        <f>IF(OR('Base Encuesta'!AF327="",IFERROR(VALUE(LEFT('Base Encuesta'!K327,1)),"")&gt;=3),"",IF(W353=1,VALUE(LEFT('Base Encuesta'!AF327,1)),""))</f>
        <v/>
      </c>
      <c r="Y353" t="str">
        <f>IF(OR('Base Encuesta'!AG327="",IFERROR(VALUE(LEFT('Base Encuesta'!K327,1)),"")&gt;=3),"",IF(W353=1,VALUE(LEFT('Base Encuesta'!AG327,1)),""))</f>
        <v/>
      </c>
      <c r="Z353" t="str">
        <f>IF(OR('Base Encuesta'!AH327="",IFERROR(VALUE(LEFT('Base Encuesta'!K327,1)),"")&gt;=3),"",IF(W353=1,VALUE(LEFT('Base Encuesta'!AH327,1)),""))</f>
        <v/>
      </c>
      <c r="AA353" t="str">
        <f>IF(OR('Base Encuesta'!AI327="",IFERROR(VALUE(LEFT('Base Encuesta'!K327,1)),"")&gt;=3),"",IF(W353=1,VALUE(LEFT('Base Encuesta'!AI327,1)),""))</f>
        <v/>
      </c>
      <c r="AB353" t="str">
        <f>IF(OR('Base Encuesta'!AJ327="",IFERROR(VALUE(LEFT('Base Encuesta'!K327,1)),"")&gt;=3),"",IF(W353=1,VALUE(LEFT('Base Encuesta'!AJ327,1)),""))</f>
        <v/>
      </c>
      <c r="AC353" t="str">
        <f>IF(OR('Base Encuesta'!AL327="",IFERROR(VALUE(LEFT('Base Encuesta'!K327,1)),"")&gt;=3),"",VALUE(LEFT('Base Encuesta'!AL327,1)))</f>
        <v/>
      </c>
      <c r="AD353" t="str">
        <f>IF(OR('Base Encuesta'!AM327="",IFERROR(VALUE(LEFT('Base Encuesta'!K327,1)),"")&gt;=3),"",VALUE(LEFT('Base Encuesta'!AM327,1)))</f>
        <v/>
      </c>
      <c r="AE353" t="str">
        <f>IF(OR('Base Encuesta'!AN327="",IFERROR(VALUE(LEFT('Base Encuesta'!K327,1)),"")&gt;=3),"",VALUE(LEFT('Base Encuesta'!AN327,1)))</f>
        <v/>
      </c>
      <c r="AF353" t="str">
        <f>IF(OR('Base Encuesta'!AO327="",IFERROR(VALUE(LEFT('Base Encuesta'!K327,1)),"")&gt;=3),"",VALUE(LEFT('Base Encuesta'!AO327,1)))</f>
        <v/>
      </c>
      <c r="AG353" t="str">
        <f>IF(OR('Base Encuesta'!AQ327="",IFERROR(VALUE(LEFT('Base Encuesta'!K327,1)),"")&gt;=3),"",VALUE(LEFT('Base Encuesta'!AQ327,1)))</f>
        <v/>
      </c>
      <c r="AH353" t="str">
        <f>IF(OR('Base Encuesta'!AR327="",IFERROR(VALUE(LEFT('Base Encuesta'!K327,1)),"")&gt;=3),"",VALUE(LEFT('Base Encuesta'!AR327,1)))</f>
        <v/>
      </c>
    </row>
    <row r="354" spans="1:34">
      <c r="A354" t="str">
        <f>IF('Base Encuesta'!C328="","",'Base Encuesta'!C328)</f>
        <v/>
      </c>
      <c r="B354" t="str">
        <f>IF('Base Encuesta'!D328="","",'Base Encuesta'!D328)</f>
        <v/>
      </c>
      <c r="C354" t="str">
        <f>IF('Base Encuesta'!E328="","",'Base Encuesta'!E328)</f>
        <v/>
      </c>
      <c r="D354" t="str">
        <f>IF('Base Encuesta'!F328="","",'Base Encuesta'!F328)</f>
        <v/>
      </c>
      <c r="E354" t="str">
        <f>IF('Base Encuesta'!G328="","",'Base Encuesta'!G328)</f>
        <v/>
      </c>
      <c r="F354" t="str">
        <f>IF('Base Encuesta'!H328="","",'Base Encuesta'!H328)</f>
        <v/>
      </c>
      <c r="G354" t="str">
        <f>IF('Base Encuesta'!I328="","",'Base Encuesta'!I328)</f>
        <v/>
      </c>
      <c r="H354" t="str">
        <f>IF('Base Encuesta'!J328="","",'Base Encuesta'!J328)</f>
        <v/>
      </c>
      <c r="I354" t="str">
        <f>IF('Base Encuesta'!K328="","",'Base Encuesta'!K328)</f>
        <v/>
      </c>
      <c r="J354" t="str">
        <f>IF(OR('Base Encuesta'!P328="",IFERROR(VALUE(LEFT('Base Encuesta'!K328,1)),"")&gt;=3),"",PROPER(TRIM('Base Encuesta'!P328)))</f>
        <v/>
      </c>
      <c r="K354" t="str">
        <f>IF(OR('Base Encuesta'!Q328="",IFERROR(VALUE(LEFT('Base Encuesta'!K328,1)),"")&gt;=3),"",'Base Encuesta'!Q328)</f>
        <v/>
      </c>
      <c r="L354" t="str">
        <f>IF(OR('Base Encuesta'!R328="",IFERROR(VALUE(LEFT('Base Encuesta'!K328,1)),"")&gt;=3),"",VALUE(LEFT('Base Encuesta'!R328,1)))</f>
        <v/>
      </c>
      <c r="M354" t="str">
        <f>IF(OR('Base Encuesta'!S328="",IFERROR(VALUE(LEFT('Base Encuesta'!K328,1)),"")&gt;=3),"",VALUE(LEFT('Base Encuesta'!S328,1)))</f>
        <v/>
      </c>
      <c r="N354" t="str">
        <f>IF(OR('Base Encuesta'!T328="",IFERROR(VALUE(LEFT('Base Encuesta'!K328,1)),"")&gt;=3),"",VALUE(LEFT('Base Encuesta'!T328,1)))</f>
        <v/>
      </c>
      <c r="O354" t="str">
        <f>IF(OR('Base Encuesta'!V328="",IFERROR(VALUE(LEFT('Base Encuesta'!K328,1)),"")&gt;=3),"",VALUE(LEFT('Base Encuesta'!V328,1)))</f>
        <v/>
      </c>
      <c r="P354" t="str">
        <f>IF(OR('Base Encuesta'!W328="",IFERROR(VALUE(LEFT('Base Encuesta'!K328,1)),"")&gt;=3),"",VALUE(LEFT('Base Encuesta'!W328,1)))</f>
        <v/>
      </c>
      <c r="Q354" t="str">
        <f>IF(OR('Base Encuesta'!X328="",IFERROR(VALUE(LEFT('Base Encuesta'!K328,1)),"")&gt;=3),"",VALUE(LEFT('Base Encuesta'!X328,1)))</f>
        <v/>
      </c>
      <c r="R354" t="str">
        <f>IF(OR('Base Encuesta'!Y328="",IFERROR(VALUE(LEFT('Base Encuesta'!K328,1)),"")&gt;=3),"",VALUE(LEFT('Base Encuesta'!Y328,1)))</f>
        <v/>
      </c>
      <c r="S354" t="str">
        <f>IF(OR('Base Encuesta'!Z328="",IFERROR(VALUE(LEFT('Base Encuesta'!K328,1)),"")&gt;=3),"",VALUE(LEFT('Base Encuesta'!Z328,1)))</f>
        <v/>
      </c>
      <c r="T354" t="str">
        <f>IF(OR('Base Encuesta'!AA328="",IFERROR(VALUE(LEFT('Base Encuesta'!K328,1)),"")&gt;=3),"",VALUE(LEFT('Base Encuesta'!AA328,1)))</f>
        <v/>
      </c>
      <c r="U354" t="str">
        <f>IF(OR('Base Encuesta'!AB328="",IFERROR(VALUE(LEFT('Base Encuesta'!K328,1)),"")&gt;=3),"",VALUE(LEFT('Base Encuesta'!AB328,1)))</f>
        <v/>
      </c>
      <c r="V354" t="str">
        <f>IF(OR('Base Encuesta'!AC328="",IFERROR(VALUE(LEFT('Base Encuesta'!K328,1)),"")&gt;=3),"",VALUE(LEFT('Base Encuesta'!AC328,1)))</f>
        <v/>
      </c>
      <c r="W354" t="str">
        <f>IF(OR('Base Encuesta'!AE328="",IFERROR(VALUE(LEFT('Base Encuesta'!K328,1)),"")&gt;=3),"",VALUE(LEFT('Base Encuesta'!AE328,1)))</f>
        <v/>
      </c>
      <c r="X354" t="str">
        <f>IF(OR('Base Encuesta'!AF328="",IFERROR(VALUE(LEFT('Base Encuesta'!K328,1)),"")&gt;=3),"",IF(W354=1,VALUE(LEFT('Base Encuesta'!AF328,1)),""))</f>
        <v/>
      </c>
      <c r="Y354" t="str">
        <f>IF(OR('Base Encuesta'!AG328="",IFERROR(VALUE(LEFT('Base Encuesta'!K328,1)),"")&gt;=3),"",IF(W354=1,VALUE(LEFT('Base Encuesta'!AG328,1)),""))</f>
        <v/>
      </c>
      <c r="Z354" t="str">
        <f>IF(OR('Base Encuesta'!AH328="",IFERROR(VALUE(LEFT('Base Encuesta'!K328,1)),"")&gt;=3),"",IF(W354=1,VALUE(LEFT('Base Encuesta'!AH328,1)),""))</f>
        <v/>
      </c>
      <c r="AA354" t="str">
        <f>IF(OR('Base Encuesta'!AI328="",IFERROR(VALUE(LEFT('Base Encuesta'!K328,1)),"")&gt;=3),"",IF(W354=1,VALUE(LEFT('Base Encuesta'!AI328,1)),""))</f>
        <v/>
      </c>
      <c r="AB354" t="str">
        <f>IF(OR('Base Encuesta'!AJ328="",IFERROR(VALUE(LEFT('Base Encuesta'!K328,1)),"")&gt;=3),"",IF(W354=1,VALUE(LEFT('Base Encuesta'!AJ328,1)),""))</f>
        <v/>
      </c>
      <c r="AC354" t="str">
        <f>IF(OR('Base Encuesta'!AL328="",IFERROR(VALUE(LEFT('Base Encuesta'!K328,1)),"")&gt;=3),"",VALUE(LEFT('Base Encuesta'!AL328,1)))</f>
        <v/>
      </c>
      <c r="AD354" t="str">
        <f>IF(OR('Base Encuesta'!AM328="",IFERROR(VALUE(LEFT('Base Encuesta'!K328,1)),"")&gt;=3),"",VALUE(LEFT('Base Encuesta'!AM328,1)))</f>
        <v/>
      </c>
      <c r="AE354" t="str">
        <f>IF(OR('Base Encuesta'!AN328="",IFERROR(VALUE(LEFT('Base Encuesta'!K328,1)),"")&gt;=3),"",VALUE(LEFT('Base Encuesta'!AN328,1)))</f>
        <v/>
      </c>
      <c r="AF354" t="str">
        <f>IF(OR('Base Encuesta'!AO328="",IFERROR(VALUE(LEFT('Base Encuesta'!K328,1)),"")&gt;=3),"",VALUE(LEFT('Base Encuesta'!AO328,1)))</f>
        <v/>
      </c>
      <c r="AG354" t="str">
        <f>IF(OR('Base Encuesta'!AQ328="",IFERROR(VALUE(LEFT('Base Encuesta'!K328,1)),"")&gt;=3),"",VALUE(LEFT('Base Encuesta'!AQ328,1)))</f>
        <v/>
      </c>
      <c r="AH354" t="str">
        <f>IF(OR('Base Encuesta'!AR328="",IFERROR(VALUE(LEFT('Base Encuesta'!K328,1)),"")&gt;=3),"",VALUE(LEFT('Base Encuesta'!AR328,1)))</f>
        <v/>
      </c>
    </row>
    <row r="355" spans="1:34">
      <c r="A355" t="str">
        <f>IF('Base Encuesta'!C329="","",'Base Encuesta'!C329)</f>
        <v/>
      </c>
      <c r="B355" t="str">
        <f>IF('Base Encuesta'!D329="","",'Base Encuesta'!D329)</f>
        <v/>
      </c>
      <c r="C355" t="str">
        <f>IF('Base Encuesta'!E329="","",'Base Encuesta'!E329)</f>
        <v/>
      </c>
      <c r="D355" t="str">
        <f>IF('Base Encuesta'!F329="","",'Base Encuesta'!F329)</f>
        <v/>
      </c>
      <c r="E355" t="str">
        <f>IF('Base Encuesta'!G329="","",'Base Encuesta'!G329)</f>
        <v/>
      </c>
      <c r="F355" t="str">
        <f>IF('Base Encuesta'!H329="","",'Base Encuesta'!H329)</f>
        <v/>
      </c>
      <c r="G355" t="str">
        <f>IF('Base Encuesta'!I329="","",'Base Encuesta'!I329)</f>
        <v/>
      </c>
      <c r="H355" t="str">
        <f>IF('Base Encuesta'!J329="","",'Base Encuesta'!J329)</f>
        <v/>
      </c>
      <c r="I355" t="str">
        <f>IF('Base Encuesta'!K329="","",'Base Encuesta'!K329)</f>
        <v/>
      </c>
      <c r="J355" t="str">
        <f>IF(OR('Base Encuesta'!P329="",IFERROR(VALUE(LEFT('Base Encuesta'!K329,1)),"")&gt;=3),"",PROPER(TRIM('Base Encuesta'!P329)))</f>
        <v/>
      </c>
      <c r="K355" t="str">
        <f>IF(OR('Base Encuesta'!Q329="",IFERROR(VALUE(LEFT('Base Encuesta'!K329,1)),"")&gt;=3),"",'Base Encuesta'!Q329)</f>
        <v/>
      </c>
      <c r="L355" t="str">
        <f>IF(OR('Base Encuesta'!R329="",IFERROR(VALUE(LEFT('Base Encuesta'!K329,1)),"")&gt;=3),"",VALUE(LEFT('Base Encuesta'!R329,1)))</f>
        <v/>
      </c>
      <c r="M355" t="str">
        <f>IF(OR('Base Encuesta'!S329="",IFERROR(VALUE(LEFT('Base Encuesta'!K329,1)),"")&gt;=3),"",VALUE(LEFT('Base Encuesta'!S329,1)))</f>
        <v/>
      </c>
      <c r="N355" t="str">
        <f>IF(OR('Base Encuesta'!T329="",IFERROR(VALUE(LEFT('Base Encuesta'!K329,1)),"")&gt;=3),"",VALUE(LEFT('Base Encuesta'!T329,1)))</f>
        <v/>
      </c>
      <c r="O355" t="str">
        <f>IF(OR('Base Encuesta'!V329="",IFERROR(VALUE(LEFT('Base Encuesta'!K329,1)),"")&gt;=3),"",VALUE(LEFT('Base Encuesta'!V329,1)))</f>
        <v/>
      </c>
      <c r="P355" t="str">
        <f>IF(OR('Base Encuesta'!W329="",IFERROR(VALUE(LEFT('Base Encuesta'!K329,1)),"")&gt;=3),"",VALUE(LEFT('Base Encuesta'!W329,1)))</f>
        <v/>
      </c>
      <c r="Q355" t="str">
        <f>IF(OR('Base Encuesta'!X329="",IFERROR(VALUE(LEFT('Base Encuesta'!K329,1)),"")&gt;=3),"",VALUE(LEFT('Base Encuesta'!X329,1)))</f>
        <v/>
      </c>
      <c r="R355" t="str">
        <f>IF(OR('Base Encuesta'!Y329="",IFERROR(VALUE(LEFT('Base Encuesta'!K329,1)),"")&gt;=3),"",VALUE(LEFT('Base Encuesta'!Y329,1)))</f>
        <v/>
      </c>
      <c r="S355" t="str">
        <f>IF(OR('Base Encuesta'!Z329="",IFERROR(VALUE(LEFT('Base Encuesta'!K329,1)),"")&gt;=3),"",VALUE(LEFT('Base Encuesta'!Z329,1)))</f>
        <v/>
      </c>
      <c r="T355" t="str">
        <f>IF(OR('Base Encuesta'!AA329="",IFERROR(VALUE(LEFT('Base Encuesta'!K329,1)),"")&gt;=3),"",VALUE(LEFT('Base Encuesta'!AA329,1)))</f>
        <v/>
      </c>
      <c r="U355" t="str">
        <f>IF(OR('Base Encuesta'!AB329="",IFERROR(VALUE(LEFT('Base Encuesta'!K329,1)),"")&gt;=3),"",VALUE(LEFT('Base Encuesta'!AB329,1)))</f>
        <v/>
      </c>
      <c r="V355" t="str">
        <f>IF(OR('Base Encuesta'!AC329="",IFERROR(VALUE(LEFT('Base Encuesta'!K329,1)),"")&gt;=3),"",VALUE(LEFT('Base Encuesta'!AC329,1)))</f>
        <v/>
      </c>
      <c r="W355" t="str">
        <f>IF(OR('Base Encuesta'!AE329="",IFERROR(VALUE(LEFT('Base Encuesta'!K329,1)),"")&gt;=3),"",VALUE(LEFT('Base Encuesta'!AE329,1)))</f>
        <v/>
      </c>
      <c r="X355" t="str">
        <f>IF(OR('Base Encuesta'!AF329="",IFERROR(VALUE(LEFT('Base Encuesta'!K329,1)),"")&gt;=3),"",IF(W355=1,VALUE(LEFT('Base Encuesta'!AF329,1)),""))</f>
        <v/>
      </c>
      <c r="Y355" t="str">
        <f>IF(OR('Base Encuesta'!AG329="",IFERROR(VALUE(LEFT('Base Encuesta'!K329,1)),"")&gt;=3),"",IF(W355=1,VALUE(LEFT('Base Encuesta'!AG329,1)),""))</f>
        <v/>
      </c>
      <c r="Z355" t="str">
        <f>IF(OR('Base Encuesta'!AH329="",IFERROR(VALUE(LEFT('Base Encuesta'!K329,1)),"")&gt;=3),"",IF(W355=1,VALUE(LEFT('Base Encuesta'!AH329,1)),""))</f>
        <v/>
      </c>
      <c r="AA355" t="str">
        <f>IF(OR('Base Encuesta'!AI329="",IFERROR(VALUE(LEFT('Base Encuesta'!K329,1)),"")&gt;=3),"",IF(W355=1,VALUE(LEFT('Base Encuesta'!AI329,1)),""))</f>
        <v/>
      </c>
      <c r="AB355" t="str">
        <f>IF(OR('Base Encuesta'!AJ329="",IFERROR(VALUE(LEFT('Base Encuesta'!K329,1)),"")&gt;=3),"",IF(W355=1,VALUE(LEFT('Base Encuesta'!AJ329,1)),""))</f>
        <v/>
      </c>
      <c r="AC355" t="str">
        <f>IF(OR('Base Encuesta'!AL329="",IFERROR(VALUE(LEFT('Base Encuesta'!K329,1)),"")&gt;=3),"",VALUE(LEFT('Base Encuesta'!AL329,1)))</f>
        <v/>
      </c>
      <c r="AD355" t="str">
        <f>IF(OR('Base Encuesta'!AM329="",IFERROR(VALUE(LEFT('Base Encuesta'!K329,1)),"")&gt;=3),"",VALUE(LEFT('Base Encuesta'!AM329,1)))</f>
        <v/>
      </c>
      <c r="AE355" t="str">
        <f>IF(OR('Base Encuesta'!AN329="",IFERROR(VALUE(LEFT('Base Encuesta'!K329,1)),"")&gt;=3),"",VALUE(LEFT('Base Encuesta'!AN329,1)))</f>
        <v/>
      </c>
      <c r="AF355" t="str">
        <f>IF(OR('Base Encuesta'!AO329="",IFERROR(VALUE(LEFT('Base Encuesta'!K329,1)),"")&gt;=3),"",VALUE(LEFT('Base Encuesta'!AO329,1)))</f>
        <v/>
      </c>
      <c r="AG355" t="str">
        <f>IF(OR('Base Encuesta'!AQ329="",IFERROR(VALUE(LEFT('Base Encuesta'!K329,1)),"")&gt;=3),"",VALUE(LEFT('Base Encuesta'!AQ329,1)))</f>
        <v/>
      </c>
      <c r="AH355" t="str">
        <f>IF(OR('Base Encuesta'!AR329="",IFERROR(VALUE(LEFT('Base Encuesta'!K329,1)),"")&gt;=3),"",VALUE(LEFT('Base Encuesta'!AR329,1)))</f>
        <v/>
      </c>
    </row>
    <row r="356" spans="1:34">
      <c r="A356" t="str">
        <f>IF('Base Encuesta'!C330="","",'Base Encuesta'!C330)</f>
        <v/>
      </c>
      <c r="B356" t="str">
        <f>IF('Base Encuesta'!D330="","",'Base Encuesta'!D330)</f>
        <v/>
      </c>
      <c r="C356" t="str">
        <f>IF('Base Encuesta'!E330="","",'Base Encuesta'!E330)</f>
        <v/>
      </c>
      <c r="D356" t="str">
        <f>IF('Base Encuesta'!F330="","",'Base Encuesta'!F330)</f>
        <v/>
      </c>
      <c r="E356" t="str">
        <f>IF('Base Encuesta'!G330="","",'Base Encuesta'!G330)</f>
        <v/>
      </c>
      <c r="F356" t="str">
        <f>IF('Base Encuesta'!H330="","",'Base Encuesta'!H330)</f>
        <v/>
      </c>
      <c r="G356" t="str">
        <f>IF('Base Encuesta'!I330="","",'Base Encuesta'!I330)</f>
        <v/>
      </c>
      <c r="H356" t="str">
        <f>IF('Base Encuesta'!J330="","",'Base Encuesta'!J330)</f>
        <v/>
      </c>
      <c r="I356" t="str">
        <f>IF('Base Encuesta'!K330="","",'Base Encuesta'!K330)</f>
        <v/>
      </c>
      <c r="J356" t="str">
        <f>IF(OR('Base Encuesta'!P330="",IFERROR(VALUE(LEFT('Base Encuesta'!K330,1)),"")&gt;=3),"",PROPER(TRIM('Base Encuesta'!P330)))</f>
        <v/>
      </c>
      <c r="K356" t="str">
        <f>IF(OR('Base Encuesta'!Q330="",IFERROR(VALUE(LEFT('Base Encuesta'!K330,1)),"")&gt;=3),"",'Base Encuesta'!Q330)</f>
        <v/>
      </c>
      <c r="L356" t="str">
        <f>IF(OR('Base Encuesta'!R330="",IFERROR(VALUE(LEFT('Base Encuesta'!K330,1)),"")&gt;=3),"",VALUE(LEFT('Base Encuesta'!R330,1)))</f>
        <v/>
      </c>
      <c r="M356" t="str">
        <f>IF(OR('Base Encuesta'!S330="",IFERROR(VALUE(LEFT('Base Encuesta'!K330,1)),"")&gt;=3),"",VALUE(LEFT('Base Encuesta'!S330,1)))</f>
        <v/>
      </c>
      <c r="N356" t="str">
        <f>IF(OR('Base Encuesta'!T330="",IFERROR(VALUE(LEFT('Base Encuesta'!K330,1)),"")&gt;=3),"",VALUE(LEFT('Base Encuesta'!T330,1)))</f>
        <v/>
      </c>
      <c r="O356" t="str">
        <f>IF(OR('Base Encuesta'!V330="",IFERROR(VALUE(LEFT('Base Encuesta'!K330,1)),"")&gt;=3),"",VALUE(LEFT('Base Encuesta'!V330,1)))</f>
        <v/>
      </c>
      <c r="P356" t="str">
        <f>IF(OR('Base Encuesta'!W330="",IFERROR(VALUE(LEFT('Base Encuesta'!K330,1)),"")&gt;=3),"",VALUE(LEFT('Base Encuesta'!W330,1)))</f>
        <v/>
      </c>
      <c r="Q356" t="str">
        <f>IF(OR('Base Encuesta'!X330="",IFERROR(VALUE(LEFT('Base Encuesta'!K330,1)),"")&gt;=3),"",VALUE(LEFT('Base Encuesta'!X330,1)))</f>
        <v/>
      </c>
      <c r="R356" t="str">
        <f>IF(OR('Base Encuesta'!Y330="",IFERROR(VALUE(LEFT('Base Encuesta'!K330,1)),"")&gt;=3),"",VALUE(LEFT('Base Encuesta'!Y330,1)))</f>
        <v/>
      </c>
      <c r="S356" t="str">
        <f>IF(OR('Base Encuesta'!Z330="",IFERROR(VALUE(LEFT('Base Encuesta'!K330,1)),"")&gt;=3),"",VALUE(LEFT('Base Encuesta'!Z330,1)))</f>
        <v/>
      </c>
      <c r="T356" t="str">
        <f>IF(OR('Base Encuesta'!AA330="",IFERROR(VALUE(LEFT('Base Encuesta'!K330,1)),"")&gt;=3),"",VALUE(LEFT('Base Encuesta'!AA330,1)))</f>
        <v/>
      </c>
      <c r="U356" t="str">
        <f>IF(OR('Base Encuesta'!AB330="",IFERROR(VALUE(LEFT('Base Encuesta'!K330,1)),"")&gt;=3),"",VALUE(LEFT('Base Encuesta'!AB330,1)))</f>
        <v/>
      </c>
      <c r="V356" t="str">
        <f>IF(OR('Base Encuesta'!AC330="",IFERROR(VALUE(LEFT('Base Encuesta'!K330,1)),"")&gt;=3),"",VALUE(LEFT('Base Encuesta'!AC330,1)))</f>
        <v/>
      </c>
      <c r="W356" t="str">
        <f>IF(OR('Base Encuesta'!AE330="",IFERROR(VALUE(LEFT('Base Encuesta'!K330,1)),"")&gt;=3),"",VALUE(LEFT('Base Encuesta'!AE330,1)))</f>
        <v/>
      </c>
      <c r="X356" t="str">
        <f>IF(OR('Base Encuesta'!AF330="",IFERROR(VALUE(LEFT('Base Encuesta'!K330,1)),"")&gt;=3),"",IF(W356=1,VALUE(LEFT('Base Encuesta'!AF330,1)),""))</f>
        <v/>
      </c>
      <c r="Y356" t="str">
        <f>IF(OR('Base Encuesta'!AG330="",IFERROR(VALUE(LEFT('Base Encuesta'!K330,1)),"")&gt;=3),"",IF(W356=1,VALUE(LEFT('Base Encuesta'!AG330,1)),""))</f>
        <v/>
      </c>
      <c r="Z356" t="str">
        <f>IF(OR('Base Encuesta'!AH330="",IFERROR(VALUE(LEFT('Base Encuesta'!K330,1)),"")&gt;=3),"",IF(W356=1,VALUE(LEFT('Base Encuesta'!AH330,1)),""))</f>
        <v/>
      </c>
      <c r="AA356" t="str">
        <f>IF(OR('Base Encuesta'!AI330="",IFERROR(VALUE(LEFT('Base Encuesta'!K330,1)),"")&gt;=3),"",IF(W356=1,VALUE(LEFT('Base Encuesta'!AI330,1)),""))</f>
        <v/>
      </c>
      <c r="AB356" t="str">
        <f>IF(OR('Base Encuesta'!AJ330="",IFERROR(VALUE(LEFT('Base Encuesta'!K330,1)),"")&gt;=3),"",IF(W356=1,VALUE(LEFT('Base Encuesta'!AJ330,1)),""))</f>
        <v/>
      </c>
      <c r="AC356" t="str">
        <f>IF(OR('Base Encuesta'!AL330="",IFERROR(VALUE(LEFT('Base Encuesta'!K330,1)),"")&gt;=3),"",VALUE(LEFT('Base Encuesta'!AL330,1)))</f>
        <v/>
      </c>
      <c r="AD356" t="str">
        <f>IF(OR('Base Encuesta'!AM330="",IFERROR(VALUE(LEFT('Base Encuesta'!K330,1)),"")&gt;=3),"",VALUE(LEFT('Base Encuesta'!AM330,1)))</f>
        <v/>
      </c>
      <c r="AE356" t="str">
        <f>IF(OR('Base Encuesta'!AN330="",IFERROR(VALUE(LEFT('Base Encuesta'!K330,1)),"")&gt;=3),"",VALUE(LEFT('Base Encuesta'!AN330,1)))</f>
        <v/>
      </c>
      <c r="AF356" t="str">
        <f>IF(OR('Base Encuesta'!AO330="",IFERROR(VALUE(LEFT('Base Encuesta'!K330,1)),"")&gt;=3),"",VALUE(LEFT('Base Encuesta'!AO330,1)))</f>
        <v/>
      </c>
      <c r="AG356" t="str">
        <f>IF(OR('Base Encuesta'!AQ330="",IFERROR(VALUE(LEFT('Base Encuesta'!K330,1)),"")&gt;=3),"",VALUE(LEFT('Base Encuesta'!AQ330,1)))</f>
        <v/>
      </c>
      <c r="AH356" t="str">
        <f>IF(OR('Base Encuesta'!AR330="",IFERROR(VALUE(LEFT('Base Encuesta'!K330,1)),"")&gt;=3),"",VALUE(LEFT('Base Encuesta'!AR330,1)))</f>
        <v/>
      </c>
    </row>
    <row r="357" spans="1:34">
      <c r="A357" t="str">
        <f>IF('Base Encuesta'!C331="","",'Base Encuesta'!C331)</f>
        <v/>
      </c>
      <c r="B357" t="str">
        <f>IF('Base Encuesta'!D331="","",'Base Encuesta'!D331)</f>
        <v/>
      </c>
      <c r="C357" t="str">
        <f>IF('Base Encuesta'!E331="","",'Base Encuesta'!E331)</f>
        <v/>
      </c>
      <c r="D357" t="str">
        <f>IF('Base Encuesta'!F331="","",'Base Encuesta'!F331)</f>
        <v/>
      </c>
      <c r="E357" t="str">
        <f>IF('Base Encuesta'!G331="","",'Base Encuesta'!G331)</f>
        <v/>
      </c>
      <c r="F357" t="str">
        <f>IF('Base Encuesta'!H331="","",'Base Encuesta'!H331)</f>
        <v/>
      </c>
      <c r="G357" t="str">
        <f>IF('Base Encuesta'!I331="","",'Base Encuesta'!I331)</f>
        <v/>
      </c>
      <c r="H357" t="str">
        <f>IF('Base Encuesta'!J331="","",'Base Encuesta'!J331)</f>
        <v/>
      </c>
      <c r="I357" t="str">
        <f>IF('Base Encuesta'!K331="","",'Base Encuesta'!K331)</f>
        <v/>
      </c>
      <c r="J357" t="str">
        <f>IF(OR('Base Encuesta'!P331="",IFERROR(VALUE(LEFT('Base Encuesta'!K331,1)),"")&gt;=3),"",PROPER(TRIM('Base Encuesta'!P331)))</f>
        <v/>
      </c>
      <c r="K357" t="str">
        <f>IF(OR('Base Encuesta'!Q331="",IFERROR(VALUE(LEFT('Base Encuesta'!K331,1)),"")&gt;=3),"",'Base Encuesta'!Q331)</f>
        <v/>
      </c>
      <c r="L357" t="str">
        <f>IF(OR('Base Encuesta'!R331="",IFERROR(VALUE(LEFT('Base Encuesta'!K331,1)),"")&gt;=3),"",VALUE(LEFT('Base Encuesta'!R331,1)))</f>
        <v/>
      </c>
      <c r="M357" t="str">
        <f>IF(OR('Base Encuesta'!S331="",IFERROR(VALUE(LEFT('Base Encuesta'!K331,1)),"")&gt;=3),"",VALUE(LEFT('Base Encuesta'!S331,1)))</f>
        <v/>
      </c>
      <c r="N357" t="str">
        <f>IF(OR('Base Encuesta'!T331="",IFERROR(VALUE(LEFT('Base Encuesta'!K331,1)),"")&gt;=3),"",VALUE(LEFT('Base Encuesta'!T331,1)))</f>
        <v/>
      </c>
      <c r="O357" t="str">
        <f>IF(OR('Base Encuesta'!V331="",IFERROR(VALUE(LEFT('Base Encuesta'!K331,1)),"")&gt;=3),"",VALUE(LEFT('Base Encuesta'!V331,1)))</f>
        <v/>
      </c>
      <c r="P357" t="str">
        <f>IF(OR('Base Encuesta'!W331="",IFERROR(VALUE(LEFT('Base Encuesta'!K331,1)),"")&gt;=3),"",VALUE(LEFT('Base Encuesta'!W331,1)))</f>
        <v/>
      </c>
      <c r="Q357" t="str">
        <f>IF(OR('Base Encuesta'!X331="",IFERROR(VALUE(LEFT('Base Encuesta'!K331,1)),"")&gt;=3),"",VALUE(LEFT('Base Encuesta'!X331,1)))</f>
        <v/>
      </c>
      <c r="R357" t="str">
        <f>IF(OR('Base Encuesta'!Y331="",IFERROR(VALUE(LEFT('Base Encuesta'!K331,1)),"")&gt;=3),"",VALUE(LEFT('Base Encuesta'!Y331,1)))</f>
        <v/>
      </c>
      <c r="S357" t="str">
        <f>IF(OR('Base Encuesta'!Z331="",IFERROR(VALUE(LEFT('Base Encuesta'!K331,1)),"")&gt;=3),"",VALUE(LEFT('Base Encuesta'!Z331,1)))</f>
        <v/>
      </c>
      <c r="T357" t="str">
        <f>IF(OR('Base Encuesta'!AA331="",IFERROR(VALUE(LEFT('Base Encuesta'!K331,1)),"")&gt;=3),"",VALUE(LEFT('Base Encuesta'!AA331,1)))</f>
        <v/>
      </c>
      <c r="U357" t="str">
        <f>IF(OR('Base Encuesta'!AB331="",IFERROR(VALUE(LEFT('Base Encuesta'!K331,1)),"")&gt;=3),"",VALUE(LEFT('Base Encuesta'!AB331,1)))</f>
        <v/>
      </c>
      <c r="V357" t="str">
        <f>IF(OR('Base Encuesta'!AC331="",IFERROR(VALUE(LEFT('Base Encuesta'!K331,1)),"")&gt;=3),"",VALUE(LEFT('Base Encuesta'!AC331,1)))</f>
        <v/>
      </c>
      <c r="W357" t="str">
        <f>IF(OR('Base Encuesta'!AE331="",IFERROR(VALUE(LEFT('Base Encuesta'!K331,1)),"")&gt;=3),"",VALUE(LEFT('Base Encuesta'!AE331,1)))</f>
        <v/>
      </c>
      <c r="X357" t="str">
        <f>IF(OR('Base Encuesta'!AF331="",IFERROR(VALUE(LEFT('Base Encuesta'!K331,1)),"")&gt;=3),"",IF(W357=1,VALUE(LEFT('Base Encuesta'!AF331,1)),""))</f>
        <v/>
      </c>
      <c r="Y357" t="str">
        <f>IF(OR('Base Encuesta'!AG331="",IFERROR(VALUE(LEFT('Base Encuesta'!K331,1)),"")&gt;=3),"",IF(W357=1,VALUE(LEFT('Base Encuesta'!AG331,1)),""))</f>
        <v/>
      </c>
      <c r="Z357" t="str">
        <f>IF(OR('Base Encuesta'!AH331="",IFERROR(VALUE(LEFT('Base Encuesta'!K331,1)),"")&gt;=3),"",IF(W357=1,VALUE(LEFT('Base Encuesta'!AH331,1)),""))</f>
        <v/>
      </c>
      <c r="AA357" t="str">
        <f>IF(OR('Base Encuesta'!AI331="",IFERROR(VALUE(LEFT('Base Encuesta'!K331,1)),"")&gt;=3),"",IF(W357=1,VALUE(LEFT('Base Encuesta'!AI331,1)),""))</f>
        <v/>
      </c>
      <c r="AB357" t="str">
        <f>IF(OR('Base Encuesta'!AJ331="",IFERROR(VALUE(LEFT('Base Encuesta'!K331,1)),"")&gt;=3),"",IF(W357=1,VALUE(LEFT('Base Encuesta'!AJ331,1)),""))</f>
        <v/>
      </c>
      <c r="AC357" t="str">
        <f>IF(OR('Base Encuesta'!AL331="",IFERROR(VALUE(LEFT('Base Encuesta'!K331,1)),"")&gt;=3),"",VALUE(LEFT('Base Encuesta'!AL331,1)))</f>
        <v/>
      </c>
      <c r="AD357" t="str">
        <f>IF(OR('Base Encuesta'!AM331="",IFERROR(VALUE(LEFT('Base Encuesta'!K331,1)),"")&gt;=3),"",VALUE(LEFT('Base Encuesta'!AM331,1)))</f>
        <v/>
      </c>
      <c r="AE357" t="str">
        <f>IF(OR('Base Encuesta'!AN331="",IFERROR(VALUE(LEFT('Base Encuesta'!K331,1)),"")&gt;=3),"",VALUE(LEFT('Base Encuesta'!AN331,1)))</f>
        <v/>
      </c>
      <c r="AF357" t="str">
        <f>IF(OR('Base Encuesta'!AO331="",IFERROR(VALUE(LEFT('Base Encuesta'!K331,1)),"")&gt;=3),"",VALUE(LEFT('Base Encuesta'!AO331,1)))</f>
        <v/>
      </c>
      <c r="AG357" t="str">
        <f>IF(OR('Base Encuesta'!AQ331="",IFERROR(VALUE(LEFT('Base Encuesta'!K331,1)),"")&gt;=3),"",VALUE(LEFT('Base Encuesta'!AQ331,1)))</f>
        <v/>
      </c>
      <c r="AH357" t="str">
        <f>IF(OR('Base Encuesta'!AR331="",IFERROR(VALUE(LEFT('Base Encuesta'!K331,1)),"")&gt;=3),"",VALUE(LEFT('Base Encuesta'!AR331,1)))</f>
        <v/>
      </c>
    </row>
    <row r="358" spans="1:34">
      <c r="A358" t="str">
        <f>IF('Base Encuesta'!C332="","",'Base Encuesta'!C332)</f>
        <v/>
      </c>
      <c r="B358" t="str">
        <f>IF('Base Encuesta'!D332="","",'Base Encuesta'!D332)</f>
        <v/>
      </c>
      <c r="C358" t="str">
        <f>IF('Base Encuesta'!E332="","",'Base Encuesta'!E332)</f>
        <v/>
      </c>
      <c r="D358" t="str">
        <f>IF('Base Encuesta'!F332="","",'Base Encuesta'!F332)</f>
        <v/>
      </c>
      <c r="E358" t="str">
        <f>IF('Base Encuesta'!G332="","",'Base Encuesta'!G332)</f>
        <v/>
      </c>
      <c r="F358" t="str">
        <f>IF('Base Encuesta'!H332="","",'Base Encuesta'!H332)</f>
        <v/>
      </c>
      <c r="G358" t="str">
        <f>IF('Base Encuesta'!I332="","",'Base Encuesta'!I332)</f>
        <v/>
      </c>
      <c r="H358" t="str">
        <f>IF('Base Encuesta'!J332="","",'Base Encuesta'!J332)</f>
        <v/>
      </c>
      <c r="I358" t="str">
        <f>IF('Base Encuesta'!K332="","",'Base Encuesta'!K332)</f>
        <v/>
      </c>
      <c r="J358" t="str">
        <f>IF(OR('Base Encuesta'!P332="",IFERROR(VALUE(LEFT('Base Encuesta'!K332,1)),"")&gt;=3),"",PROPER(TRIM('Base Encuesta'!P332)))</f>
        <v/>
      </c>
      <c r="K358" t="str">
        <f>IF(OR('Base Encuesta'!Q332="",IFERROR(VALUE(LEFT('Base Encuesta'!K332,1)),"")&gt;=3),"",'Base Encuesta'!Q332)</f>
        <v/>
      </c>
      <c r="L358" t="str">
        <f>IF(OR('Base Encuesta'!R332="",IFERROR(VALUE(LEFT('Base Encuesta'!K332,1)),"")&gt;=3),"",VALUE(LEFT('Base Encuesta'!R332,1)))</f>
        <v/>
      </c>
      <c r="M358" t="str">
        <f>IF(OR('Base Encuesta'!S332="",IFERROR(VALUE(LEFT('Base Encuesta'!K332,1)),"")&gt;=3),"",VALUE(LEFT('Base Encuesta'!S332,1)))</f>
        <v/>
      </c>
      <c r="N358" t="str">
        <f>IF(OR('Base Encuesta'!T332="",IFERROR(VALUE(LEFT('Base Encuesta'!K332,1)),"")&gt;=3),"",VALUE(LEFT('Base Encuesta'!T332,1)))</f>
        <v/>
      </c>
      <c r="O358" t="str">
        <f>IF(OR('Base Encuesta'!V332="",IFERROR(VALUE(LEFT('Base Encuesta'!K332,1)),"")&gt;=3),"",VALUE(LEFT('Base Encuesta'!V332,1)))</f>
        <v/>
      </c>
      <c r="P358" t="str">
        <f>IF(OR('Base Encuesta'!W332="",IFERROR(VALUE(LEFT('Base Encuesta'!K332,1)),"")&gt;=3),"",VALUE(LEFT('Base Encuesta'!W332,1)))</f>
        <v/>
      </c>
      <c r="Q358" t="str">
        <f>IF(OR('Base Encuesta'!X332="",IFERROR(VALUE(LEFT('Base Encuesta'!K332,1)),"")&gt;=3),"",VALUE(LEFT('Base Encuesta'!X332,1)))</f>
        <v/>
      </c>
      <c r="R358" t="str">
        <f>IF(OR('Base Encuesta'!Y332="",IFERROR(VALUE(LEFT('Base Encuesta'!K332,1)),"")&gt;=3),"",VALUE(LEFT('Base Encuesta'!Y332,1)))</f>
        <v/>
      </c>
      <c r="S358" t="str">
        <f>IF(OR('Base Encuesta'!Z332="",IFERROR(VALUE(LEFT('Base Encuesta'!K332,1)),"")&gt;=3),"",VALUE(LEFT('Base Encuesta'!Z332,1)))</f>
        <v/>
      </c>
      <c r="T358" t="str">
        <f>IF(OR('Base Encuesta'!AA332="",IFERROR(VALUE(LEFT('Base Encuesta'!K332,1)),"")&gt;=3),"",VALUE(LEFT('Base Encuesta'!AA332,1)))</f>
        <v/>
      </c>
      <c r="U358" t="str">
        <f>IF(OR('Base Encuesta'!AB332="",IFERROR(VALUE(LEFT('Base Encuesta'!K332,1)),"")&gt;=3),"",VALUE(LEFT('Base Encuesta'!AB332,1)))</f>
        <v/>
      </c>
      <c r="V358" t="str">
        <f>IF(OR('Base Encuesta'!AC332="",IFERROR(VALUE(LEFT('Base Encuesta'!K332,1)),"")&gt;=3),"",VALUE(LEFT('Base Encuesta'!AC332,1)))</f>
        <v/>
      </c>
      <c r="W358" t="str">
        <f>IF(OR('Base Encuesta'!AE332="",IFERROR(VALUE(LEFT('Base Encuesta'!K332,1)),"")&gt;=3),"",VALUE(LEFT('Base Encuesta'!AE332,1)))</f>
        <v/>
      </c>
      <c r="X358" t="str">
        <f>IF(OR('Base Encuesta'!AF332="",IFERROR(VALUE(LEFT('Base Encuesta'!K332,1)),"")&gt;=3),"",IF(W358=1,VALUE(LEFT('Base Encuesta'!AF332,1)),""))</f>
        <v/>
      </c>
      <c r="Y358" t="str">
        <f>IF(OR('Base Encuesta'!AG332="",IFERROR(VALUE(LEFT('Base Encuesta'!K332,1)),"")&gt;=3),"",IF(W358=1,VALUE(LEFT('Base Encuesta'!AG332,1)),""))</f>
        <v/>
      </c>
      <c r="Z358" t="str">
        <f>IF(OR('Base Encuesta'!AH332="",IFERROR(VALUE(LEFT('Base Encuesta'!K332,1)),"")&gt;=3),"",IF(W358=1,VALUE(LEFT('Base Encuesta'!AH332,1)),""))</f>
        <v/>
      </c>
      <c r="AA358" t="str">
        <f>IF(OR('Base Encuesta'!AI332="",IFERROR(VALUE(LEFT('Base Encuesta'!K332,1)),"")&gt;=3),"",IF(W358=1,VALUE(LEFT('Base Encuesta'!AI332,1)),""))</f>
        <v/>
      </c>
      <c r="AB358" t="str">
        <f>IF(OR('Base Encuesta'!AJ332="",IFERROR(VALUE(LEFT('Base Encuesta'!K332,1)),"")&gt;=3),"",IF(W358=1,VALUE(LEFT('Base Encuesta'!AJ332,1)),""))</f>
        <v/>
      </c>
      <c r="AC358" t="str">
        <f>IF(OR('Base Encuesta'!AL332="",IFERROR(VALUE(LEFT('Base Encuesta'!K332,1)),"")&gt;=3),"",VALUE(LEFT('Base Encuesta'!AL332,1)))</f>
        <v/>
      </c>
      <c r="AD358" t="str">
        <f>IF(OR('Base Encuesta'!AM332="",IFERROR(VALUE(LEFT('Base Encuesta'!K332,1)),"")&gt;=3),"",VALUE(LEFT('Base Encuesta'!AM332,1)))</f>
        <v/>
      </c>
      <c r="AE358" t="str">
        <f>IF(OR('Base Encuesta'!AN332="",IFERROR(VALUE(LEFT('Base Encuesta'!K332,1)),"")&gt;=3),"",VALUE(LEFT('Base Encuesta'!AN332,1)))</f>
        <v/>
      </c>
      <c r="AF358" t="str">
        <f>IF(OR('Base Encuesta'!AO332="",IFERROR(VALUE(LEFT('Base Encuesta'!K332,1)),"")&gt;=3),"",VALUE(LEFT('Base Encuesta'!AO332,1)))</f>
        <v/>
      </c>
      <c r="AG358" t="str">
        <f>IF(OR('Base Encuesta'!AQ332="",IFERROR(VALUE(LEFT('Base Encuesta'!K332,1)),"")&gt;=3),"",VALUE(LEFT('Base Encuesta'!AQ332,1)))</f>
        <v/>
      </c>
      <c r="AH358" t="str">
        <f>IF(OR('Base Encuesta'!AR332="",IFERROR(VALUE(LEFT('Base Encuesta'!K332,1)),"")&gt;=3),"",VALUE(LEFT('Base Encuesta'!AR332,1)))</f>
        <v/>
      </c>
    </row>
    <row r="359" spans="1:34">
      <c r="A359" t="str">
        <f>IF('Base Encuesta'!C333="","",'Base Encuesta'!C333)</f>
        <v/>
      </c>
      <c r="B359" t="str">
        <f>IF('Base Encuesta'!D333="","",'Base Encuesta'!D333)</f>
        <v/>
      </c>
      <c r="C359" t="str">
        <f>IF('Base Encuesta'!E333="","",'Base Encuesta'!E333)</f>
        <v/>
      </c>
      <c r="D359" t="str">
        <f>IF('Base Encuesta'!F333="","",'Base Encuesta'!F333)</f>
        <v/>
      </c>
      <c r="E359" t="str">
        <f>IF('Base Encuesta'!G333="","",'Base Encuesta'!G333)</f>
        <v/>
      </c>
      <c r="F359" t="str">
        <f>IF('Base Encuesta'!H333="","",'Base Encuesta'!H333)</f>
        <v/>
      </c>
      <c r="G359" t="str">
        <f>IF('Base Encuesta'!I333="","",'Base Encuesta'!I333)</f>
        <v/>
      </c>
      <c r="H359" t="str">
        <f>IF('Base Encuesta'!J333="","",'Base Encuesta'!J333)</f>
        <v/>
      </c>
      <c r="I359" t="str">
        <f>IF('Base Encuesta'!K333="","",'Base Encuesta'!K333)</f>
        <v/>
      </c>
      <c r="J359" t="str">
        <f>IF(OR('Base Encuesta'!P333="",IFERROR(VALUE(LEFT('Base Encuesta'!K333,1)),"")&gt;=3),"",PROPER(TRIM('Base Encuesta'!P333)))</f>
        <v/>
      </c>
      <c r="K359" t="str">
        <f>IF(OR('Base Encuesta'!Q333="",IFERROR(VALUE(LEFT('Base Encuesta'!K333,1)),"")&gt;=3),"",'Base Encuesta'!Q333)</f>
        <v/>
      </c>
      <c r="L359" t="str">
        <f>IF(OR('Base Encuesta'!R333="",IFERROR(VALUE(LEFT('Base Encuesta'!K333,1)),"")&gt;=3),"",VALUE(LEFT('Base Encuesta'!R333,1)))</f>
        <v/>
      </c>
      <c r="M359" t="str">
        <f>IF(OR('Base Encuesta'!S333="",IFERROR(VALUE(LEFT('Base Encuesta'!K333,1)),"")&gt;=3),"",VALUE(LEFT('Base Encuesta'!S333,1)))</f>
        <v/>
      </c>
      <c r="N359" t="str">
        <f>IF(OR('Base Encuesta'!T333="",IFERROR(VALUE(LEFT('Base Encuesta'!K333,1)),"")&gt;=3),"",VALUE(LEFT('Base Encuesta'!T333,1)))</f>
        <v/>
      </c>
      <c r="O359" t="str">
        <f>IF(OR('Base Encuesta'!V333="",IFERROR(VALUE(LEFT('Base Encuesta'!K333,1)),"")&gt;=3),"",VALUE(LEFT('Base Encuesta'!V333,1)))</f>
        <v/>
      </c>
      <c r="P359" t="str">
        <f>IF(OR('Base Encuesta'!W333="",IFERROR(VALUE(LEFT('Base Encuesta'!K333,1)),"")&gt;=3),"",VALUE(LEFT('Base Encuesta'!W333,1)))</f>
        <v/>
      </c>
      <c r="Q359" t="str">
        <f>IF(OR('Base Encuesta'!X333="",IFERROR(VALUE(LEFT('Base Encuesta'!K333,1)),"")&gt;=3),"",VALUE(LEFT('Base Encuesta'!X333,1)))</f>
        <v/>
      </c>
      <c r="R359" t="str">
        <f>IF(OR('Base Encuesta'!Y333="",IFERROR(VALUE(LEFT('Base Encuesta'!K333,1)),"")&gt;=3),"",VALUE(LEFT('Base Encuesta'!Y333,1)))</f>
        <v/>
      </c>
      <c r="S359" t="str">
        <f>IF(OR('Base Encuesta'!Z333="",IFERROR(VALUE(LEFT('Base Encuesta'!K333,1)),"")&gt;=3),"",VALUE(LEFT('Base Encuesta'!Z333,1)))</f>
        <v/>
      </c>
      <c r="T359" t="str">
        <f>IF(OR('Base Encuesta'!AA333="",IFERROR(VALUE(LEFT('Base Encuesta'!K333,1)),"")&gt;=3),"",VALUE(LEFT('Base Encuesta'!AA333,1)))</f>
        <v/>
      </c>
      <c r="U359" t="str">
        <f>IF(OR('Base Encuesta'!AB333="",IFERROR(VALUE(LEFT('Base Encuesta'!K333,1)),"")&gt;=3),"",VALUE(LEFT('Base Encuesta'!AB333,1)))</f>
        <v/>
      </c>
      <c r="V359" t="str">
        <f>IF(OR('Base Encuesta'!AC333="",IFERROR(VALUE(LEFT('Base Encuesta'!K333,1)),"")&gt;=3),"",VALUE(LEFT('Base Encuesta'!AC333,1)))</f>
        <v/>
      </c>
      <c r="W359" t="str">
        <f>IF(OR('Base Encuesta'!AE333="",IFERROR(VALUE(LEFT('Base Encuesta'!K333,1)),"")&gt;=3),"",VALUE(LEFT('Base Encuesta'!AE333,1)))</f>
        <v/>
      </c>
      <c r="X359" t="str">
        <f>IF(OR('Base Encuesta'!AF333="",IFERROR(VALUE(LEFT('Base Encuesta'!K333,1)),"")&gt;=3),"",IF(W359=1,VALUE(LEFT('Base Encuesta'!AF333,1)),""))</f>
        <v/>
      </c>
      <c r="Y359" t="str">
        <f>IF(OR('Base Encuesta'!AG333="",IFERROR(VALUE(LEFT('Base Encuesta'!K333,1)),"")&gt;=3),"",IF(W359=1,VALUE(LEFT('Base Encuesta'!AG333,1)),""))</f>
        <v/>
      </c>
      <c r="Z359" t="str">
        <f>IF(OR('Base Encuesta'!AH333="",IFERROR(VALUE(LEFT('Base Encuesta'!K333,1)),"")&gt;=3),"",IF(W359=1,VALUE(LEFT('Base Encuesta'!AH333,1)),""))</f>
        <v/>
      </c>
      <c r="AA359" t="str">
        <f>IF(OR('Base Encuesta'!AI333="",IFERROR(VALUE(LEFT('Base Encuesta'!K333,1)),"")&gt;=3),"",IF(W359=1,VALUE(LEFT('Base Encuesta'!AI333,1)),""))</f>
        <v/>
      </c>
      <c r="AB359" t="str">
        <f>IF(OR('Base Encuesta'!AJ333="",IFERROR(VALUE(LEFT('Base Encuesta'!K333,1)),"")&gt;=3),"",IF(W359=1,VALUE(LEFT('Base Encuesta'!AJ333,1)),""))</f>
        <v/>
      </c>
      <c r="AC359" t="str">
        <f>IF(OR('Base Encuesta'!AL333="",IFERROR(VALUE(LEFT('Base Encuesta'!K333,1)),"")&gt;=3),"",VALUE(LEFT('Base Encuesta'!AL333,1)))</f>
        <v/>
      </c>
      <c r="AD359" t="str">
        <f>IF(OR('Base Encuesta'!AM333="",IFERROR(VALUE(LEFT('Base Encuesta'!K333,1)),"")&gt;=3),"",VALUE(LEFT('Base Encuesta'!AM333,1)))</f>
        <v/>
      </c>
      <c r="AE359" t="str">
        <f>IF(OR('Base Encuesta'!AN333="",IFERROR(VALUE(LEFT('Base Encuesta'!K333,1)),"")&gt;=3),"",VALUE(LEFT('Base Encuesta'!AN333,1)))</f>
        <v/>
      </c>
      <c r="AF359" t="str">
        <f>IF(OR('Base Encuesta'!AO333="",IFERROR(VALUE(LEFT('Base Encuesta'!K333,1)),"")&gt;=3),"",VALUE(LEFT('Base Encuesta'!AO333,1)))</f>
        <v/>
      </c>
      <c r="AG359" t="str">
        <f>IF(OR('Base Encuesta'!AQ333="",IFERROR(VALUE(LEFT('Base Encuesta'!K333,1)),"")&gt;=3),"",VALUE(LEFT('Base Encuesta'!AQ333,1)))</f>
        <v/>
      </c>
      <c r="AH359" t="str">
        <f>IF(OR('Base Encuesta'!AR333="",IFERROR(VALUE(LEFT('Base Encuesta'!K333,1)),"")&gt;=3),"",VALUE(LEFT('Base Encuesta'!AR333,1)))</f>
        <v/>
      </c>
    </row>
    <row r="360" spans="1:34">
      <c r="A360" t="str">
        <f>IF('Base Encuesta'!C334="","",'Base Encuesta'!C334)</f>
        <v/>
      </c>
      <c r="B360" t="str">
        <f>IF('Base Encuesta'!D334="","",'Base Encuesta'!D334)</f>
        <v/>
      </c>
      <c r="C360" t="str">
        <f>IF('Base Encuesta'!E334="","",'Base Encuesta'!E334)</f>
        <v/>
      </c>
      <c r="D360" t="str">
        <f>IF('Base Encuesta'!F334="","",'Base Encuesta'!F334)</f>
        <v/>
      </c>
      <c r="E360" t="str">
        <f>IF('Base Encuesta'!G334="","",'Base Encuesta'!G334)</f>
        <v/>
      </c>
      <c r="F360" t="str">
        <f>IF('Base Encuesta'!H334="","",'Base Encuesta'!H334)</f>
        <v/>
      </c>
      <c r="G360" t="str">
        <f>IF('Base Encuesta'!I334="","",'Base Encuesta'!I334)</f>
        <v/>
      </c>
      <c r="H360" t="str">
        <f>IF('Base Encuesta'!J334="","",'Base Encuesta'!J334)</f>
        <v/>
      </c>
      <c r="I360" t="str">
        <f>IF('Base Encuesta'!K334="","",'Base Encuesta'!K334)</f>
        <v/>
      </c>
      <c r="J360" t="str">
        <f>IF(OR('Base Encuesta'!P334="",IFERROR(VALUE(LEFT('Base Encuesta'!K334,1)),"")&gt;=3),"",PROPER(TRIM('Base Encuesta'!P334)))</f>
        <v/>
      </c>
      <c r="K360" t="str">
        <f>IF(OR('Base Encuesta'!Q334="",IFERROR(VALUE(LEFT('Base Encuesta'!K334,1)),"")&gt;=3),"",'Base Encuesta'!Q334)</f>
        <v/>
      </c>
      <c r="L360" t="str">
        <f>IF(OR('Base Encuesta'!R334="",IFERROR(VALUE(LEFT('Base Encuesta'!K334,1)),"")&gt;=3),"",VALUE(LEFT('Base Encuesta'!R334,1)))</f>
        <v/>
      </c>
      <c r="M360" t="str">
        <f>IF(OR('Base Encuesta'!S334="",IFERROR(VALUE(LEFT('Base Encuesta'!K334,1)),"")&gt;=3),"",VALUE(LEFT('Base Encuesta'!S334,1)))</f>
        <v/>
      </c>
      <c r="N360" t="str">
        <f>IF(OR('Base Encuesta'!T334="",IFERROR(VALUE(LEFT('Base Encuesta'!K334,1)),"")&gt;=3),"",VALUE(LEFT('Base Encuesta'!T334,1)))</f>
        <v/>
      </c>
      <c r="O360" t="str">
        <f>IF(OR('Base Encuesta'!V334="",IFERROR(VALUE(LEFT('Base Encuesta'!K334,1)),"")&gt;=3),"",VALUE(LEFT('Base Encuesta'!V334,1)))</f>
        <v/>
      </c>
      <c r="P360" t="str">
        <f>IF(OR('Base Encuesta'!W334="",IFERROR(VALUE(LEFT('Base Encuesta'!K334,1)),"")&gt;=3),"",VALUE(LEFT('Base Encuesta'!W334,1)))</f>
        <v/>
      </c>
      <c r="Q360" t="str">
        <f>IF(OR('Base Encuesta'!X334="",IFERROR(VALUE(LEFT('Base Encuesta'!K334,1)),"")&gt;=3),"",VALUE(LEFT('Base Encuesta'!X334,1)))</f>
        <v/>
      </c>
      <c r="R360" t="str">
        <f>IF(OR('Base Encuesta'!Y334="",IFERROR(VALUE(LEFT('Base Encuesta'!K334,1)),"")&gt;=3),"",VALUE(LEFT('Base Encuesta'!Y334,1)))</f>
        <v/>
      </c>
      <c r="S360" t="str">
        <f>IF(OR('Base Encuesta'!Z334="",IFERROR(VALUE(LEFT('Base Encuesta'!K334,1)),"")&gt;=3),"",VALUE(LEFT('Base Encuesta'!Z334,1)))</f>
        <v/>
      </c>
      <c r="T360" t="str">
        <f>IF(OR('Base Encuesta'!AA334="",IFERROR(VALUE(LEFT('Base Encuesta'!K334,1)),"")&gt;=3),"",VALUE(LEFT('Base Encuesta'!AA334,1)))</f>
        <v/>
      </c>
      <c r="U360" t="str">
        <f>IF(OR('Base Encuesta'!AB334="",IFERROR(VALUE(LEFT('Base Encuesta'!K334,1)),"")&gt;=3),"",VALUE(LEFT('Base Encuesta'!AB334,1)))</f>
        <v/>
      </c>
      <c r="V360" t="str">
        <f>IF(OR('Base Encuesta'!AC334="",IFERROR(VALUE(LEFT('Base Encuesta'!K334,1)),"")&gt;=3),"",VALUE(LEFT('Base Encuesta'!AC334,1)))</f>
        <v/>
      </c>
      <c r="W360" t="str">
        <f>IF(OR('Base Encuesta'!AE334="",IFERROR(VALUE(LEFT('Base Encuesta'!K334,1)),"")&gt;=3),"",VALUE(LEFT('Base Encuesta'!AE334,1)))</f>
        <v/>
      </c>
      <c r="X360" t="str">
        <f>IF(OR('Base Encuesta'!AF334="",IFERROR(VALUE(LEFT('Base Encuesta'!K334,1)),"")&gt;=3),"",IF(W360=1,VALUE(LEFT('Base Encuesta'!AF334,1)),""))</f>
        <v/>
      </c>
      <c r="Y360" t="str">
        <f>IF(OR('Base Encuesta'!AG334="",IFERROR(VALUE(LEFT('Base Encuesta'!K334,1)),"")&gt;=3),"",IF(W360=1,VALUE(LEFT('Base Encuesta'!AG334,1)),""))</f>
        <v/>
      </c>
      <c r="Z360" t="str">
        <f>IF(OR('Base Encuesta'!AH334="",IFERROR(VALUE(LEFT('Base Encuesta'!K334,1)),"")&gt;=3),"",IF(W360=1,VALUE(LEFT('Base Encuesta'!AH334,1)),""))</f>
        <v/>
      </c>
      <c r="AA360" t="str">
        <f>IF(OR('Base Encuesta'!AI334="",IFERROR(VALUE(LEFT('Base Encuesta'!K334,1)),"")&gt;=3),"",IF(W360=1,VALUE(LEFT('Base Encuesta'!AI334,1)),""))</f>
        <v/>
      </c>
      <c r="AB360" t="str">
        <f>IF(OR('Base Encuesta'!AJ334="",IFERROR(VALUE(LEFT('Base Encuesta'!K334,1)),"")&gt;=3),"",IF(W360=1,VALUE(LEFT('Base Encuesta'!AJ334,1)),""))</f>
        <v/>
      </c>
      <c r="AC360" t="str">
        <f>IF(OR('Base Encuesta'!AL334="",IFERROR(VALUE(LEFT('Base Encuesta'!K334,1)),"")&gt;=3),"",VALUE(LEFT('Base Encuesta'!AL334,1)))</f>
        <v/>
      </c>
      <c r="AD360" t="str">
        <f>IF(OR('Base Encuesta'!AM334="",IFERROR(VALUE(LEFT('Base Encuesta'!K334,1)),"")&gt;=3),"",VALUE(LEFT('Base Encuesta'!AM334,1)))</f>
        <v/>
      </c>
      <c r="AE360" t="str">
        <f>IF(OR('Base Encuesta'!AN334="",IFERROR(VALUE(LEFT('Base Encuesta'!K334,1)),"")&gt;=3),"",VALUE(LEFT('Base Encuesta'!AN334,1)))</f>
        <v/>
      </c>
      <c r="AF360" t="str">
        <f>IF(OR('Base Encuesta'!AO334="",IFERROR(VALUE(LEFT('Base Encuesta'!K334,1)),"")&gt;=3),"",VALUE(LEFT('Base Encuesta'!AO334,1)))</f>
        <v/>
      </c>
      <c r="AG360" t="str">
        <f>IF(OR('Base Encuesta'!AQ334="",IFERROR(VALUE(LEFT('Base Encuesta'!K334,1)),"")&gt;=3),"",VALUE(LEFT('Base Encuesta'!AQ334,1)))</f>
        <v/>
      </c>
      <c r="AH360" t="str">
        <f>IF(OR('Base Encuesta'!AR334="",IFERROR(VALUE(LEFT('Base Encuesta'!K334,1)),"")&gt;=3),"",VALUE(LEFT('Base Encuesta'!AR334,1)))</f>
        <v/>
      </c>
    </row>
    <row r="361" spans="1:34">
      <c r="A361" t="str">
        <f>IF('Base Encuesta'!C335="","",'Base Encuesta'!C335)</f>
        <v/>
      </c>
      <c r="B361" t="str">
        <f>IF('Base Encuesta'!D335="","",'Base Encuesta'!D335)</f>
        <v/>
      </c>
      <c r="C361" t="str">
        <f>IF('Base Encuesta'!E335="","",'Base Encuesta'!E335)</f>
        <v/>
      </c>
      <c r="D361" t="str">
        <f>IF('Base Encuesta'!F335="","",'Base Encuesta'!F335)</f>
        <v/>
      </c>
      <c r="E361" t="str">
        <f>IF('Base Encuesta'!G335="","",'Base Encuesta'!G335)</f>
        <v/>
      </c>
      <c r="F361" t="str">
        <f>IF('Base Encuesta'!H335="","",'Base Encuesta'!H335)</f>
        <v/>
      </c>
      <c r="G361" t="str">
        <f>IF('Base Encuesta'!I335="","",'Base Encuesta'!I335)</f>
        <v/>
      </c>
      <c r="H361" t="str">
        <f>IF('Base Encuesta'!J335="","",'Base Encuesta'!J335)</f>
        <v/>
      </c>
      <c r="I361" t="str">
        <f>IF('Base Encuesta'!K335="","",'Base Encuesta'!K335)</f>
        <v/>
      </c>
      <c r="J361" t="str">
        <f>IF(OR('Base Encuesta'!P335="",IFERROR(VALUE(LEFT('Base Encuesta'!K335,1)),"")&gt;=3),"",PROPER(TRIM('Base Encuesta'!P335)))</f>
        <v/>
      </c>
      <c r="K361" t="str">
        <f>IF(OR('Base Encuesta'!Q335="",IFERROR(VALUE(LEFT('Base Encuesta'!K335,1)),"")&gt;=3),"",'Base Encuesta'!Q335)</f>
        <v/>
      </c>
      <c r="L361" t="str">
        <f>IF(OR('Base Encuesta'!R335="",IFERROR(VALUE(LEFT('Base Encuesta'!K335,1)),"")&gt;=3),"",VALUE(LEFT('Base Encuesta'!R335,1)))</f>
        <v/>
      </c>
      <c r="M361" t="str">
        <f>IF(OR('Base Encuesta'!S335="",IFERROR(VALUE(LEFT('Base Encuesta'!K335,1)),"")&gt;=3),"",VALUE(LEFT('Base Encuesta'!S335,1)))</f>
        <v/>
      </c>
      <c r="N361" t="str">
        <f>IF(OR('Base Encuesta'!T335="",IFERROR(VALUE(LEFT('Base Encuesta'!K335,1)),"")&gt;=3),"",VALUE(LEFT('Base Encuesta'!T335,1)))</f>
        <v/>
      </c>
      <c r="O361" t="str">
        <f>IF(OR('Base Encuesta'!V335="",IFERROR(VALUE(LEFT('Base Encuesta'!K335,1)),"")&gt;=3),"",VALUE(LEFT('Base Encuesta'!V335,1)))</f>
        <v/>
      </c>
      <c r="P361" t="str">
        <f>IF(OR('Base Encuesta'!W335="",IFERROR(VALUE(LEFT('Base Encuesta'!K335,1)),"")&gt;=3),"",VALUE(LEFT('Base Encuesta'!W335,1)))</f>
        <v/>
      </c>
      <c r="Q361" t="str">
        <f>IF(OR('Base Encuesta'!X335="",IFERROR(VALUE(LEFT('Base Encuesta'!K335,1)),"")&gt;=3),"",VALUE(LEFT('Base Encuesta'!X335,1)))</f>
        <v/>
      </c>
      <c r="R361" t="str">
        <f>IF(OR('Base Encuesta'!Y335="",IFERROR(VALUE(LEFT('Base Encuesta'!K335,1)),"")&gt;=3),"",VALUE(LEFT('Base Encuesta'!Y335,1)))</f>
        <v/>
      </c>
      <c r="S361" t="str">
        <f>IF(OR('Base Encuesta'!Z335="",IFERROR(VALUE(LEFT('Base Encuesta'!K335,1)),"")&gt;=3),"",VALUE(LEFT('Base Encuesta'!Z335,1)))</f>
        <v/>
      </c>
      <c r="T361" t="str">
        <f>IF(OR('Base Encuesta'!AA335="",IFERROR(VALUE(LEFT('Base Encuesta'!K335,1)),"")&gt;=3),"",VALUE(LEFT('Base Encuesta'!AA335,1)))</f>
        <v/>
      </c>
      <c r="U361" t="str">
        <f>IF(OR('Base Encuesta'!AB335="",IFERROR(VALUE(LEFT('Base Encuesta'!K335,1)),"")&gt;=3),"",VALUE(LEFT('Base Encuesta'!AB335,1)))</f>
        <v/>
      </c>
      <c r="V361" t="str">
        <f>IF(OR('Base Encuesta'!AC335="",IFERROR(VALUE(LEFT('Base Encuesta'!K335,1)),"")&gt;=3),"",VALUE(LEFT('Base Encuesta'!AC335,1)))</f>
        <v/>
      </c>
      <c r="W361" t="str">
        <f>IF(OR('Base Encuesta'!AE335="",IFERROR(VALUE(LEFT('Base Encuesta'!K335,1)),"")&gt;=3),"",VALUE(LEFT('Base Encuesta'!AE335,1)))</f>
        <v/>
      </c>
      <c r="X361" t="str">
        <f>IF(OR('Base Encuesta'!AF335="",IFERROR(VALUE(LEFT('Base Encuesta'!K335,1)),"")&gt;=3),"",IF(W361=1,VALUE(LEFT('Base Encuesta'!AF335,1)),""))</f>
        <v/>
      </c>
      <c r="Y361" t="str">
        <f>IF(OR('Base Encuesta'!AG335="",IFERROR(VALUE(LEFT('Base Encuesta'!K335,1)),"")&gt;=3),"",IF(W361=1,VALUE(LEFT('Base Encuesta'!AG335,1)),""))</f>
        <v/>
      </c>
      <c r="Z361" t="str">
        <f>IF(OR('Base Encuesta'!AH335="",IFERROR(VALUE(LEFT('Base Encuesta'!K335,1)),"")&gt;=3),"",IF(W361=1,VALUE(LEFT('Base Encuesta'!AH335,1)),""))</f>
        <v/>
      </c>
      <c r="AA361" t="str">
        <f>IF(OR('Base Encuesta'!AI335="",IFERROR(VALUE(LEFT('Base Encuesta'!K335,1)),"")&gt;=3),"",IF(W361=1,VALUE(LEFT('Base Encuesta'!AI335,1)),""))</f>
        <v/>
      </c>
      <c r="AB361" t="str">
        <f>IF(OR('Base Encuesta'!AJ335="",IFERROR(VALUE(LEFT('Base Encuesta'!K335,1)),"")&gt;=3),"",IF(W361=1,VALUE(LEFT('Base Encuesta'!AJ335,1)),""))</f>
        <v/>
      </c>
      <c r="AC361" t="str">
        <f>IF(OR('Base Encuesta'!AL335="",IFERROR(VALUE(LEFT('Base Encuesta'!K335,1)),"")&gt;=3),"",VALUE(LEFT('Base Encuesta'!AL335,1)))</f>
        <v/>
      </c>
      <c r="AD361" t="str">
        <f>IF(OR('Base Encuesta'!AM335="",IFERROR(VALUE(LEFT('Base Encuesta'!K335,1)),"")&gt;=3),"",VALUE(LEFT('Base Encuesta'!AM335,1)))</f>
        <v/>
      </c>
      <c r="AE361" t="str">
        <f>IF(OR('Base Encuesta'!AN335="",IFERROR(VALUE(LEFT('Base Encuesta'!K335,1)),"")&gt;=3),"",VALUE(LEFT('Base Encuesta'!AN335,1)))</f>
        <v/>
      </c>
      <c r="AF361" t="str">
        <f>IF(OR('Base Encuesta'!AO335="",IFERROR(VALUE(LEFT('Base Encuesta'!K335,1)),"")&gt;=3),"",VALUE(LEFT('Base Encuesta'!AO335,1)))</f>
        <v/>
      </c>
      <c r="AG361" t="str">
        <f>IF(OR('Base Encuesta'!AQ335="",IFERROR(VALUE(LEFT('Base Encuesta'!K335,1)),"")&gt;=3),"",VALUE(LEFT('Base Encuesta'!AQ335,1)))</f>
        <v/>
      </c>
      <c r="AH361" t="str">
        <f>IF(OR('Base Encuesta'!AR335="",IFERROR(VALUE(LEFT('Base Encuesta'!K335,1)),"")&gt;=3),"",VALUE(LEFT('Base Encuesta'!AR335,1)))</f>
        <v/>
      </c>
    </row>
    <row r="362" spans="1:34">
      <c r="A362" t="str">
        <f>IF('Base Encuesta'!C336="","",'Base Encuesta'!C336)</f>
        <v/>
      </c>
      <c r="B362" t="str">
        <f>IF('Base Encuesta'!D336="","",'Base Encuesta'!D336)</f>
        <v/>
      </c>
      <c r="C362" t="str">
        <f>IF('Base Encuesta'!E336="","",'Base Encuesta'!E336)</f>
        <v/>
      </c>
      <c r="D362" t="str">
        <f>IF('Base Encuesta'!F336="","",'Base Encuesta'!F336)</f>
        <v/>
      </c>
      <c r="E362" t="str">
        <f>IF('Base Encuesta'!G336="","",'Base Encuesta'!G336)</f>
        <v/>
      </c>
      <c r="F362" t="str">
        <f>IF('Base Encuesta'!H336="","",'Base Encuesta'!H336)</f>
        <v/>
      </c>
      <c r="G362" t="str">
        <f>IF('Base Encuesta'!I336="","",'Base Encuesta'!I336)</f>
        <v/>
      </c>
      <c r="H362" t="str">
        <f>IF('Base Encuesta'!J336="","",'Base Encuesta'!J336)</f>
        <v/>
      </c>
      <c r="I362" t="str">
        <f>IF('Base Encuesta'!K336="","",'Base Encuesta'!K336)</f>
        <v/>
      </c>
      <c r="J362" t="str">
        <f>IF(OR('Base Encuesta'!P336="",IFERROR(VALUE(LEFT('Base Encuesta'!K336,1)),"")&gt;=3),"",PROPER(TRIM('Base Encuesta'!P336)))</f>
        <v/>
      </c>
      <c r="K362" t="str">
        <f>IF(OR('Base Encuesta'!Q336="",IFERROR(VALUE(LEFT('Base Encuesta'!K336,1)),"")&gt;=3),"",'Base Encuesta'!Q336)</f>
        <v/>
      </c>
      <c r="L362" t="str">
        <f>IF(OR('Base Encuesta'!R336="",IFERROR(VALUE(LEFT('Base Encuesta'!K336,1)),"")&gt;=3),"",VALUE(LEFT('Base Encuesta'!R336,1)))</f>
        <v/>
      </c>
      <c r="M362" t="str">
        <f>IF(OR('Base Encuesta'!S336="",IFERROR(VALUE(LEFT('Base Encuesta'!K336,1)),"")&gt;=3),"",VALUE(LEFT('Base Encuesta'!S336,1)))</f>
        <v/>
      </c>
      <c r="N362" t="str">
        <f>IF(OR('Base Encuesta'!T336="",IFERROR(VALUE(LEFT('Base Encuesta'!K336,1)),"")&gt;=3),"",VALUE(LEFT('Base Encuesta'!T336,1)))</f>
        <v/>
      </c>
      <c r="O362" t="str">
        <f>IF(OR('Base Encuesta'!V336="",IFERROR(VALUE(LEFT('Base Encuesta'!K336,1)),"")&gt;=3),"",VALUE(LEFT('Base Encuesta'!V336,1)))</f>
        <v/>
      </c>
      <c r="P362" t="str">
        <f>IF(OR('Base Encuesta'!W336="",IFERROR(VALUE(LEFT('Base Encuesta'!K336,1)),"")&gt;=3),"",VALUE(LEFT('Base Encuesta'!W336,1)))</f>
        <v/>
      </c>
      <c r="Q362" t="str">
        <f>IF(OR('Base Encuesta'!X336="",IFERROR(VALUE(LEFT('Base Encuesta'!K336,1)),"")&gt;=3),"",VALUE(LEFT('Base Encuesta'!X336,1)))</f>
        <v/>
      </c>
      <c r="R362" t="str">
        <f>IF(OR('Base Encuesta'!Y336="",IFERROR(VALUE(LEFT('Base Encuesta'!K336,1)),"")&gt;=3),"",VALUE(LEFT('Base Encuesta'!Y336,1)))</f>
        <v/>
      </c>
      <c r="S362" t="str">
        <f>IF(OR('Base Encuesta'!Z336="",IFERROR(VALUE(LEFT('Base Encuesta'!K336,1)),"")&gt;=3),"",VALUE(LEFT('Base Encuesta'!Z336,1)))</f>
        <v/>
      </c>
      <c r="T362" t="str">
        <f>IF(OR('Base Encuesta'!AA336="",IFERROR(VALUE(LEFT('Base Encuesta'!K336,1)),"")&gt;=3),"",VALUE(LEFT('Base Encuesta'!AA336,1)))</f>
        <v/>
      </c>
      <c r="U362" t="str">
        <f>IF(OR('Base Encuesta'!AB336="",IFERROR(VALUE(LEFT('Base Encuesta'!K336,1)),"")&gt;=3),"",VALUE(LEFT('Base Encuesta'!AB336,1)))</f>
        <v/>
      </c>
      <c r="V362" t="str">
        <f>IF(OR('Base Encuesta'!AC336="",IFERROR(VALUE(LEFT('Base Encuesta'!K336,1)),"")&gt;=3),"",VALUE(LEFT('Base Encuesta'!AC336,1)))</f>
        <v/>
      </c>
      <c r="W362" t="str">
        <f>IF(OR('Base Encuesta'!AE336="",IFERROR(VALUE(LEFT('Base Encuesta'!K336,1)),"")&gt;=3),"",VALUE(LEFT('Base Encuesta'!AE336,1)))</f>
        <v/>
      </c>
      <c r="X362" t="str">
        <f>IF(OR('Base Encuesta'!AF336="",IFERROR(VALUE(LEFT('Base Encuesta'!K336,1)),"")&gt;=3),"",IF(W362=1,VALUE(LEFT('Base Encuesta'!AF336,1)),""))</f>
        <v/>
      </c>
      <c r="Y362" t="str">
        <f>IF(OR('Base Encuesta'!AG336="",IFERROR(VALUE(LEFT('Base Encuesta'!K336,1)),"")&gt;=3),"",IF(W362=1,VALUE(LEFT('Base Encuesta'!AG336,1)),""))</f>
        <v/>
      </c>
      <c r="Z362" t="str">
        <f>IF(OR('Base Encuesta'!AH336="",IFERROR(VALUE(LEFT('Base Encuesta'!K336,1)),"")&gt;=3),"",IF(W362=1,VALUE(LEFT('Base Encuesta'!AH336,1)),""))</f>
        <v/>
      </c>
      <c r="AA362" t="str">
        <f>IF(OR('Base Encuesta'!AI336="",IFERROR(VALUE(LEFT('Base Encuesta'!K336,1)),"")&gt;=3),"",IF(W362=1,VALUE(LEFT('Base Encuesta'!AI336,1)),""))</f>
        <v/>
      </c>
      <c r="AB362" t="str">
        <f>IF(OR('Base Encuesta'!AJ336="",IFERROR(VALUE(LEFT('Base Encuesta'!K336,1)),"")&gt;=3),"",IF(W362=1,VALUE(LEFT('Base Encuesta'!AJ336,1)),""))</f>
        <v/>
      </c>
      <c r="AC362" t="str">
        <f>IF(OR('Base Encuesta'!AL336="",IFERROR(VALUE(LEFT('Base Encuesta'!K336,1)),"")&gt;=3),"",VALUE(LEFT('Base Encuesta'!AL336,1)))</f>
        <v/>
      </c>
      <c r="AD362" t="str">
        <f>IF(OR('Base Encuesta'!AM336="",IFERROR(VALUE(LEFT('Base Encuesta'!K336,1)),"")&gt;=3),"",VALUE(LEFT('Base Encuesta'!AM336,1)))</f>
        <v/>
      </c>
      <c r="AE362" t="str">
        <f>IF(OR('Base Encuesta'!AN336="",IFERROR(VALUE(LEFT('Base Encuesta'!K336,1)),"")&gt;=3),"",VALUE(LEFT('Base Encuesta'!AN336,1)))</f>
        <v/>
      </c>
      <c r="AF362" t="str">
        <f>IF(OR('Base Encuesta'!AO336="",IFERROR(VALUE(LEFT('Base Encuesta'!K336,1)),"")&gt;=3),"",VALUE(LEFT('Base Encuesta'!AO336,1)))</f>
        <v/>
      </c>
      <c r="AG362" t="str">
        <f>IF(OR('Base Encuesta'!AQ336="",IFERROR(VALUE(LEFT('Base Encuesta'!K336,1)),"")&gt;=3),"",VALUE(LEFT('Base Encuesta'!AQ336,1)))</f>
        <v/>
      </c>
      <c r="AH362" t="str">
        <f>IF(OR('Base Encuesta'!AR336="",IFERROR(VALUE(LEFT('Base Encuesta'!K336,1)),"")&gt;=3),"",VALUE(LEFT('Base Encuesta'!AR336,1)))</f>
        <v/>
      </c>
    </row>
    <row r="363" spans="1:34">
      <c r="A363" t="str">
        <f>IF('Base Encuesta'!C337="","",'Base Encuesta'!C337)</f>
        <v/>
      </c>
      <c r="B363" t="str">
        <f>IF('Base Encuesta'!D337="","",'Base Encuesta'!D337)</f>
        <v/>
      </c>
      <c r="C363" t="str">
        <f>IF('Base Encuesta'!E337="","",'Base Encuesta'!E337)</f>
        <v/>
      </c>
      <c r="D363" t="str">
        <f>IF('Base Encuesta'!F337="","",'Base Encuesta'!F337)</f>
        <v/>
      </c>
      <c r="E363" t="str">
        <f>IF('Base Encuesta'!G337="","",'Base Encuesta'!G337)</f>
        <v/>
      </c>
      <c r="F363" t="str">
        <f>IF('Base Encuesta'!H337="","",'Base Encuesta'!H337)</f>
        <v/>
      </c>
      <c r="G363" t="str">
        <f>IF('Base Encuesta'!I337="","",'Base Encuesta'!I337)</f>
        <v/>
      </c>
      <c r="H363" t="str">
        <f>IF('Base Encuesta'!J337="","",'Base Encuesta'!J337)</f>
        <v/>
      </c>
      <c r="I363" t="str">
        <f>IF('Base Encuesta'!K337="","",'Base Encuesta'!K337)</f>
        <v/>
      </c>
      <c r="J363" t="str">
        <f>IF(OR('Base Encuesta'!P337="",IFERROR(VALUE(LEFT('Base Encuesta'!K337,1)),"")&gt;=3),"",PROPER(TRIM('Base Encuesta'!P337)))</f>
        <v/>
      </c>
      <c r="K363" t="str">
        <f>IF(OR('Base Encuesta'!Q337="",IFERROR(VALUE(LEFT('Base Encuesta'!K337,1)),"")&gt;=3),"",'Base Encuesta'!Q337)</f>
        <v/>
      </c>
      <c r="L363" t="str">
        <f>IF(OR('Base Encuesta'!R337="",IFERROR(VALUE(LEFT('Base Encuesta'!K337,1)),"")&gt;=3),"",VALUE(LEFT('Base Encuesta'!R337,1)))</f>
        <v/>
      </c>
      <c r="M363" t="str">
        <f>IF(OR('Base Encuesta'!S337="",IFERROR(VALUE(LEFT('Base Encuesta'!K337,1)),"")&gt;=3),"",VALUE(LEFT('Base Encuesta'!S337,1)))</f>
        <v/>
      </c>
      <c r="N363" t="str">
        <f>IF(OR('Base Encuesta'!T337="",IFERROR(VALUE(LEFT('Base Encuesta'!K337,1)),"")&gt;=3),"",VALUE(LEFT('Base Encuesta'!T337,1)))</f>
        <v/>
      </c>
      <c r="O363" t="str">
        <f>IF(OR('Base Encuesta'!V337="",IFERROR(VALUE(LEFT('Base Encuesta'!K337,1)),"")&gt;=3),"",VALUE(LEFT('Base Encuesta'!V337,1)))</f>
        <v/>
      </c>
      <c r="P363" t="str">
        <f>IF(OR('Base Encuesta'!W337="",IFERROR(VALUE(LEFT('Base Encuesta'!K337,1)),"")&gt;=3),"",VALUE(LEFT('Base Encuesta'!W337,1)))</f>
        <v/>
      </c>
      <c r="Q363" t="str">
        <f>IF(OR('Base Encuesta'!X337="",IFERROR(VALUE(LEFT('Base Encuesta'!K337,1)),"")&gt;=3),"",VALUE(LEFT('Base Encuesta'!X337,1)))</f>
        <v/>
      </c>
      <c r="R363" t="str">
        <f>IF(OR('Base Encuesta'!Y337="",IFERROR(VALUE(LEFT('Base Encuesta'!K337,1)),"")&gt;=3),"",VALUE(LEFT('Base Encuesta'!Y337,1)))</f>
        <v/>
      </c>
      <c r="S363" t="str">
        <f>IF(OR('Base Encuesta'!Z337="",IFERROR(VALUE(LEFT('Base Encuesta'!K337,1)),"")&gt;=3),"",VALUE(LEFT('Base Encuesta'!Z337,1)))</f>
        <v/>
      </c>
      <c r="T363" t="str">
        <f>IF(OR('Base Encuesta'!AA337="",IFERROR(VALUE(LEFT('Base Encuesta'!K337,1)),"")&gt;=3),"",VALUE(LEFT('Base Encuesta'!AA337,1)))</f>
        <v/>
      </c>
      <c r="U363" t="str">
        <f>IF(OR('Base Encuesta'!AB337="",IFERROR(VALUE(LEFT('Base Encuesta'!K337,1)),"")&gt;=3),"",VALUE(LEFT('Base Encuesta'!AB337,1)))</f>
        <v/>
      </c>
      <c r="V363" t="str">
        <f>IF(OR('Base Encuesta'!AC337="",IFERROR(VALUE(LEFT('Base Encuesta'!K337,1)),"")&gt;=3),"",VALUE(LEFT('Base Encuesta'!AC337,1)))</f>
        <v/>
      </c>
      <c r="W363" t="str">
        <f>IF(OR('Base Encuesta'!AE337="",IFERROR(VALUE(LEFT('Base Encuesta'!K337,1)),"")&gt;=3),"",VALUE(LEFT('Base Encuesta'!AE337,1)))</f>
        <v/>
      </c>
      <c r="X363" t="str">
        <f>IF(OR('Base Encuesta'!AF337="",IFERROR(VALUE(LEFT('Base Encuesta'!K337,1)),"")&gt;=3),"",IF(W363=1,VALUE(LEFT('Base Encuesta'!AF337,1)),""))</f>
        <v/>
      </c>
      <c r="Y363" t="str">
        <f>IF(OR('Base Encuesta'!AG337="",IFERROR(VALUE(LEFT('Base Encuesta'!K337,1)),"")&gt;=3),"",IF(W363=1,VALUE(LEFT('Base Encuesta'!AG337,1)),""))</f>
        <v/>
      </c>
      <c r="Z363" t="str">
        <f>IF(OR('Base Encuesta'!AH337="",IFERROR(VALUE(LEFT('Base Encuesta'!K337,1)),"")&gt;=3),"",IF(W363=1,VALUE(LEFT('Base Encuesta'!AH337,1)),""))</f>
        <v/>
      </c>
      <c r="AA363" t="str">
        <f>IF(OR('Base Encuesta'!AI337="",IFERROR(VALUE(LEFT('Base Encuesta'!K337,1)),"")&gt;=3),"",IF(W363=1,VALUE(LEFT('Base Encuesta'!AI337,1)),""))</f>
        <v/>
      </c>
      <c r="AB363" t="str">
        <f>IF(OR('Base Encuesta'!AJ337="",IFERROR(VALUE(LEFT('Base Encuesta'!K337,1)),"")&gt;=3),"",IF(W363=1,VALUE(LEFT('Base Encuesta'!AJ337,1)),""))</f>
        <v/>
      </c>
      <c r="AC363" t="str">
        <f>IF(OR('Base Encuesta'!AL337="",IFERROR(VALUE(LEFT('Base Encuesta'!K337,1)),"")&gt;=3),"",VALUE(LEFT('Base Encuesta'!AL337,1)))</f>
        <v/>
      </c>
      <c r="AD363" t="str">
        <f>IF(OR('Base Encuesta'!AM337="",IFERROR(VALUE(LEFT('Base Encuesta'!K337,1)),"")&gt;=3),"",VALUE(LEFT('Base Encuesta'!AM337,1)))</f>
        <v/>
      </c>
      <c r="AE363" t="str">
        <f>IF(OR('Base Encuesta'!AN337="",IFERROR(VALUE(LEFT('Base Encuesta'!K337,1)),"")&gt;=3),"",VALUE(LEFT('Base Encuesta'!AN337,1)))</f>
        <v/>
      </c>
      <c r="AF363" t="str">
        <f>IF(OR('Base Encuesta'!AO337="",IFERROR(VALUE(LEFT('Base Encuesta'!K337,1)),"")&gt;=3),"",VALUE(LEFT('Base Encuesta'!AO337,1)))</f>
        <v/>
      </c>
      <c r="AG363" t="str">
        <f>IF(OR('Base Encuesta'!AQ337="",IFERROR(VALUE(LEFT('Base Encuesta'!K337,1)),"")&gt;=3),"",VALUE(LEFT('Base Encuesta'!AQ337,1)))</f>
        <v/>
      </c>
      <c r="AH363" t="str">
        <f>IF(OR('Base Encuesta'!AR337="",IFERROR(VALUE(LEFT('Base Encuesta'!K337,1)),"")&gt;=3),"",VALUE(LEFT('Base Encuesta'!AR337,1)))</f>
        <v/>
      </c>
    </row>
    <row r="364" spans="1:34">
      <c r="A364" t="str">
        <f>IF('Base Encuesta'!C338="","",'Base Encuesta'!C338)</f>
        <v/>
      </c>
      <c r="B364" t="str">
        <f>IF('Base Encuesta'!D338="","",'Base Encuesta'!D338)</f>
        <v/>
      </c>
      <c r="C364" t="str">
        <f>IF('Base Encuesta'!E338="","",'Base Encuesta'!E338)</f>
        <v/>
      </c>
      <c r="D364" t="str">
        <f>IF('Base Encuesta'!F338="","",'Base Encuesta'!F338)</f>
        <v/>
      </c>
      <c r="E364" t="str">
        <f>IF('Base Encuesta'!G338="","",'Base Encuesta'!G338)</f>
        <v/>
      </c>
      <c r="F364" t="str">
        <f>IF('Base Encuesta'!H338="","",'Base Encuesta'!H338)</f>
        <v/>
      </c>
      <c r="G364" t="str">
        <f>IF('Base Encuesta'!I338="","",'Base Encuesta'!I338)</f>
        <v/>
      </c>
      <c r="H364" t="str">
        <f>IF('Base Encuesta'!J338="","",'Base Encuesta'!J338)</f>
        <v/>
      </c>
      <c r="I364" t="str">
        <f>IF('Base Encuesta'!K338="","",'Base Encuesta'!K338)</f>
        <v/>
      </c>
      <c r="J364" t="str">
        <f>IF(OR('Base Encuesta'!P338="",IFERROR(VALUE(LEFT('Base Encuesta'!K338,1)),"")&gt;=3),"",PROPER(TRIM('Base Encuesta'!P338)))</f>
        <v/>
      </c>
      <c r="K364" t="str">
        <f>IF(OR('Base Encuesta'!Q338="",IFERROR(VALUE(LEFT('Base Encuesta'!K338,1)),"")&gt;=3),"",'Base Encuesta'!Q338)</f>
        <v/>
      </c>
      <c r="L364" t="str">
        <f>IF(OR('Base Encuesta'!R338="",IFERROR(VALUE(LEFT('Base Encuesta'!K338,1)),"")&gt;=3),"",VALUE(LEFT('Base Encuesta'!R338,1)))</f>
        <v/>
      </c>
      <c r="M364" t="str">
        <f>IF(OR('Base Encuesta'!S338="",IFERROR(VALUE(LEFT('Base Encuesta'!K338,1)),"")&gt;=3),"",VALUE(LEFT('Base Encuesta'!S338,1)))</f>
        <v/>
      </c>
      <c r="N364" t="str">
        <f>IF(OR('Base Encuesta'!T338="",IFERROR(VALUE(LEFT('Base Encuesta'!K338,1)),"")&gt;=3),"",VALUE(LEFT('Base Encuesta'!T338,1)))</f>
        <v/>
      </c>
      <c r="O364" t="str">
        <f>IF(OR('Base Encuesta'!V338="",IFERROR(VALUE(LEFT('Base Encuesta'!K338,1)),"")&gt;=3),"",VALUE(LEFT('Base Encuesta'!V338,1)))</f>
        <v/>
      </c>
      <c r="P364" t="str">
        <f>IF(OR('Base Encuesta'!W338="",IFERROR(VALUE(LEFT('Base Encuesta'!K338,1)),"")&gt;=3),"",VALUE(LEFT('Base Encuesta'!W338,1)))</f>
        <v/>
      </c>
      <c r="Q364" t="str">
        <f>IF(OR('Base Encuesta'!X338="",IFERROR(VALUE(LEFT('Base Encuesta'!K338,1)),"")&gt;=3),"",VALUE(LEFT('Base Encuesta'!X338,1)))</f>
        <v/>
      </c>
      <c r="R364" t="str">
        <f>IF(OR('Base Encuesta'!Y338="",IFERROR(VALUE(LEFT('Base Encuesta'!K338,1)),"")&gt;=3),"",VALUE(LEFT('Base Encuesta'!Y338,1)))</f>
        <v/>
      </c>
      <c r="S364" t="str">
        <f>IF(OR('Base Encuesta'!Z338="",IFERROR(VALUE(LEFT('Base Encuesta'!K338,1)),"")&gt;=3),"",VALUE(LEFT('Base Encuesta'!Z338,1)))</f>
        <v/>
      </c>
      <c r="T364" t="str">
        <f>IF(OR('Base Encuesta'!AA338="",IFERROR(VALUE(LEFT('Base Encuesta'!K338,1)),"")&gt;=3),"",VALUE(LEFT('Base Encuesta'!AA338,1)))</f>
        <v/>
      </c>
      <c r="U364" t="str">
        <f>IF(OR('Base Encuesta'!AB338="",IFERROR(VALUE(LEFT('Base Encuesta'!K338,1)),"")&gt;=3),"",VALUE(LEFT('Base Encuesta'!AB338,1)))</f>
        <v/>
      </c>
      <c r="V364" t="str">
        <f>IF(OR('Base Encuesta'!AC338="",IFERROR(VALUE(LEFT('Base Encuesta'!K338,1)),"")&gt;=3),"",VALUE(LEFT('Base Encuesta'!AC338,1)))</f>
        <v/>
      </c>
      <c r="W364" t="str">
        <f>IF(OR('Base Encuesta'!AE338="",IFERROR(VALUE(LEFT('Base Encuesta'!K338,1)),"")&gt;=3),"",VALUE(LEFT('Base Encuesta'!AE338,1)))</f>
        <v/>
      </c>
      <c r="X364" t="str">
        <f>IF(OR('Base Encuesta'!AF338="",IFERROR(VALUE(LEFT('Base Encuesta'!K338,1)),"")&gt;=3),"",IF(W364=1,VALUE(LEFT('Base Encuesta'!AF338,1)),""))</f>
        <v/>
      </c>
      <c r="Y364" t="str">
        <f>IF(OR('Base Encuesta'!AG338="",IFERROR(VALUE(LEFT('Base Encuesta'!K338,1)),"")&gt;=3),"",IF(W364=1,VALUE(LEFT('Base Encuesta'!AG338,1)),""))</f>
        <v/>
      </c>
      <c r="Z364" t="str">
        <f>IF(OR('Base Encuesta'!AH338="",IFERROR(VALUE(LEFT('Base Encuesta'!K338,1)),"")&gt;=3),"",IF(W364=1,VALUE(LEFT('Base Encuesta'!AH338,1)),""))</f>
        <v/>
      </c>
      <c r="AA364" t="str">
        <f>IF(OR('Base Encuesta'!AI338="",IFERROR(VALUE(LEFT('Base Encuesta'!K338,1)),"")&gt;=3),"",IF(W364=1,VALUE(LEFT('Base Encuesta'!AI338,1)),""))</f>
        <v/>
      </c>
      <c r="AB364" t="str">
        <f>IF(OR('Base Encuesta'!AJ338="",IFERROR(VALUE(LEFT('Base Encuesta'!K338,1)),"")&gt;=3),"",IF(W364=1,VALUE(LEFT('Base Encuesta'!AJ338,1)),""))</f>
        <v/>
      </c>
      <c r="AC364" t="str">
        <f>IF(OR('Base Encuesta'!AL338="",IFERROR(VALUE(LEFT('Base Encuesta'!K338,1)),"")&gt;=3),"",VALUE(LEFT('Base Encuesta'!AL338,1)))</f>
        <v/>
      </c>
      <c r="AD364" t="str">
        <f>IF(OR('Base Encuesta'!AM338="",IFERROR(VALUE(LEFT('Base Encuesta'!K338,1)),"")&gt;=3),"",VALUE(LEFT('Base Encuesta'!AM338,1)))</f>
        <v/>
      </c>
      <c r="AE364" t="str">
        <f>IF(OR('Base Encuesta'!AN338="",IFERROR(VALUE(LEFT('Base Encuesta'!K338,1)),"")&gt;=3),"",VALUE(LEFT('Base Encuesta'!AN338,1)))</f>
        <v/>
      </c>
      <c r="AF364" t="str">
        <f>IF(OR('Base Encuesta'!AO338="",IFERROR(VALUE(LEFT('Base Encuesta'!K338,1)),"")&gt;=3),"",VALUE(LEFT('Base Encuesta'!AO338,1)))</f>
        <v/>
      </c>
      <c r="AG364" t="str">
        <f>IF(OR('Base Encuesta'!AQ338="",IFERROR(VALUE(LEFT('Base Encuesta'!K338,1)),"")&gt;=3),"",VALUE(LEFT('Base Encuesta'!AQ338,1)))</f>
        <v/>
      </c>
      <c r="AH364" t="str">
        <f>IF(OR('Base Encuesta'!AR338="",IFERROR(VALUE(LEFT('Base Encuesta'!K338,1)),"")&gt;=3),"",VALUE(LEFT('Base Encuesta'!AR338,1)))</f>
        <v/>
      </c>
    </row>
    <row r="365" spans="1:34">
      <c r="A365" t="str">
        <f>IF('Base Encuesta'!C339="","",'Base Encuesta'!C339)</f>
        <v/>
      </c>
      <c r="B365" t="str">
        <f>IF('Base Encuesta'!D339="","",'Base Encuesta'!D339)</f>
        <v/>
      </c>
      <c r="C365" t="str">
        <f>IF('Base Encuesta'!E339="","",'Base Encuesta'!E339)</f>
        <v/>
      </c>
      <c r="D365" t="str">
        <f>IF('Base Encuesta'!F339="","",'Base Encuesta'!F339)</f>
        <v/>
      </c>
      <c r="E365" t="str">
        <f>IF('Base Encuesta'!G339="","",'Base Encuesta'!G339)</f>
        <v/>
      </c>
      <c r="F365" t="str">
        <f>IF('Base Encuesta'!H339="","",'Base Encuesta'!H339)</f>
        <v/>
      </c>
      <c r="G365" t="str">
        <f>IF('Base Encuesta'!I339="","",'Base Encuesta'!I339)</f>
        <v/>
      </c>
      <c r="H365" t="str">
        <f>IF('Base Encuesta'!J339="","",'Base Encuesta'!J339)</f>
        <v/>
      </c>
      <c r="I365" t="str">
        <f>IF('Base Encuesta'!K339="","",'Base Encuesta'!K339)</f>
        <v/>
      </c>
      <c r="J365" t="str">
        <f>IF(OR('Base Encuesta'!P339="",IFERROR(VALUE(LEFT('Base Encuesta'!K339,1)),"")&gt;=3),"",PROPER(TRIM('Base Encuesta'!P339)))</f>
        <v/>
      </c>
      <c r="K365" t="str">
        <f>IF(OR('Base Encuesta'!Q339="",IFERROR(VALUE(LEFT('Base Encuesta'!K339,1)),"")&gt;=3),"",'Base Encuesta'!Q339)</f>
        <v/>
      </c>
      <c r="L365" t="str">
        <f>IF(OR('Base Encuesta'!R339="",IFERROR(VALUE(LEFT('Base Encuesta'!K339,1)),"")&gt;=3),"",VALUE(LEFT('Base Encuesta'!R339,1)))</f>
        <v/>
      </c>
      <c r="M365" t="str">
        <f>IF(OR('Base Encuesta'!S339="",IFERROR(VALUE(LEFT('Base Encuesta'!K339,1)),"")&gt;=3),"",VALUE(LEFT('Base Encuesta'!S339,1)))</f>
        <v/>
      </c>
      <c r="N365" t="str">
        <f>IF(OR('Base Encuesta'!T339="",IFERROR(VALUE(LEFT('Base Encuesta'!K339,1)),"")&gt;=3),"",VALUE(LEFT('Base Encuesta'!T339,1)))</f>
        <v/>
      </c>
      <c r="O365" t="str">
        <f>IF(OR('Base Encuesta'!V339="",IFERROR(VALUE(LEFT('Base Encuesta'!K339,1)),"")&gt;=3),"",VALUE(LEFT('Base Encuesta'!V339,1)))</f>
        <v/>
      </c>
      <c r="P365" t="str">
        <f>IF(OR('Base Encuesta'!W339="",IFERROR(VALUE(LEFT('Base Encuesta'!K339,1)),"")&gt;=3),"",VALUE(LEFT('Base Encuesta'!W339,1)))</f>
        <v/>
      </c>
      <c r="Q365" t="str">
        <f>IF(OR('Base Encuesta'!X339="",IFERROR(VALUE(LEFT('Base Encuesta'!K339,1)),"")&gt;=3),"",VALUE(LEFT('Base Encuesta'!X339,1)))</f>
        <v/>
      </c>
      <c r="R365" t="str">
        <f>IF(OR('Base Encuesta'!Y339="",IFERROR(VALUE(LEFT('Base Encuesta'!K339,1)),"")&gt;=3),"",VALUE(LEFT('Base Encuesta'!Y339,1)))</f>
        <v/>
      </c>
      <c r="S365" t="str">
        <f>IF(OR('Base Encuesta'!Z339="",IFERROR(VALUE(LEFT('Base Encuesta'!K339,1)),"")&gt;=3),"",VALUE(LEFT('Base Encuesta'!Z339,1)))</f>
        <v/>
      </c>
      <c r="T365" t="str">
        <f>IF(OR('Base Encuesta'!AA339="",IFERROR(VALUE(LEFT('Base Encuesta'!K339,1)),"")&gt;=3),"",VALUE(LEFT('Base Encuesta'!AA339,1)))</f>
        <v/>
      </c>
      <c r="U365" t="str">
        <f>IF(OR('Base Encuesta'!AB339="",IFERROR(VALUE(LEFT('Base Encuesta'!K339,1)),"")&gt;=3),"",VALUE(LEFT('Base Encuesta'!AB339,1)))</f>
        <v/>
      </c>
      <c r="V365" t="str">
        <f>IF(OR('Base Encuesta'!AC339="",IFERROR(VALUE(LEFT('Base Encuesta'!K339,1)),"")&gt;=3),"",VALUE(LEFT('Base Encuesta'!AC339,1)))</f>
        <v/>
      </c>
      <c r="W365" t="str">
        <f>IF(OR('Base Encuesta'!AE339="",IFERROR(VALUE(LEFT('Base Encuesta'!K339,1)),"")&gt;=3),"",VALUE(LEFT('Base Encuesta'!AE339,1)))</f>
        <v/>
      </c>
      <c r="X365" t="str">
        <f>IF(OR('Base Encuesta'!AF339="",IFERROR(VALUE(LEFT('Base Encuesta'!K339,1)),"")&gt;=3),"",IF(W365=1,VALUE(LEFT('Base Encuesta'!AF339,1)),""))</f>
        <v/>
      </c>
      <c r="Y365" t="str">
        <f>IF(OR('Base Encuesta'!AG339="",IFERROR(VALUE(LEFT('Base Encuesta'!K339,1)),"")&gt;=3),"",IF(W365=1,VALUE(LEFT('Base Encuesta'!AG339,1)),""))</f>
        <v/>
      </c>
      <c r="Z365" t="str">
        <f>IF(OR('Base Encuesta'!AH339="",IFERROR(VALUE(LEFT('Base Encuesta'!K339,1)),"")&gt;=3),"",IF(W365=1,VALUE(LEFT('Base Encuesta'!AH339,1)),""))</f>
        <v/>
      </c>
      <c r="AA365" t="str">
        <f>IF(OR('Base Encuesta'!AI339="",IFERROR(VALUE(LEFT('Base Encuesta'!K339,1)),"")&gt;=3),"",IF(W365=1,VALUE(LEFT('Base Encuesta'!AI339,1)),""))</f>
        <v/>
      </c>
      <c r="AB365" t="str">
        <f>IF(OR('Base Encuesta'!AJ339="",IFERROR(VALUE(LEFT('Base Encuesta'!K339,1)),"")&gt;=3),"",IF(W365=1,VALUE(LEFT('Base Encuesta'!AJ339,1)),""))</f>
        <v/>
      </c>
      <c r="AC365" t="str">
        <f>IF(OR('Base Encuesta'!AL339="",IFERROR(VALUE(LEFT('Base Encuesta'!K339,1)),"")&gt;=3),"",VALUE(LEFT('Base Encuesta'!AL339,1)))</f>
        <v/>
      </c>
      <c r="AD365" t="str">
        <f>IF(OR('Base Encuesta'!AM339="",IFERROR(VALUE(LEFT('Base Encuesta'!K339,1)),"")&gt;=3),"",VALUE(LEFT('Base Encuesta'!AM339,1)))</f>
        <v/>
      </c>
      <c r="AE365" t="str">
        <f>IF(OR('Base Encuesta'!AN339="",IFERROR(VALUE(LEFT('Base Encuesta'!K339,1)),"")&gt;=3),"",VALUE(LEFT('Base Encuesta'!AN339,1)))</f>
        <v/>
      </c>
      <c r="AF365" t="str">
        <f>IF(OR('Base Encuesta'!AO339="",IFERROR(VALUE(LEFT('Base Encuesta'!K339,1)),"")&gt;=3),"",VALUE(LEFT('Base Encuesta'!AO339,1)))</f>
        <v/>
      </c>
      <c r="AG365" t="str">
        <f>IF(OR('Base Encuesta'!AQ339="",IFERROR(VALUE(LEFT('Base Encuesta'!K339,1)),"")&gt;=3),"",VALUE(LEFT('Base Encuesta'!AQ339,1)))</f>
        <v/>
      </c>
      <c r="AH365" t="str">
        <f>IF(OR('Base Encuesta'!AR339="",IFERROR(VALUE(LEFT('Base Encuesta'!K339,1)),"")&gt;=3),"",VALUE(LEFT('Base Encuesta'!AR339,1)))</f>
        <v/>
      </c>
    </row>
    <row r="366" spans="1:34">
      <c r="A366" t="str">
        <f>IF('Base Encuesta'!C340="","",'Base Encuesta'!C340)</f>
        <v/>
      </c>
      <c r="B366" t="str">
        <f>IF('Base Encuesta'!D340="","",'Base Encuesta'!D340)</f>
        <v/>
      </c>
      <c r="C366" t="str">
        <f>IF('Base Encuesta'!E340="","",'Base Encuesta'!E340)</f>
        <v/>
      </c>
      <c r="D366" t="str">
        <f>IF('Base Encuesta'!F340="","",'Base Encuesta'!F340)</f>
        <v/>
      </c>
      <c r="E366" t="str">
        <f>IF('Base Encuesta'!G340="","",'Base Encuesta'!G340)</f>
        <v/>
      </c>
      <c r="F366" t="str">
        <f>IF('Base Encuesta'!H340="","",'Base Encuesta'!H340)</f>
        <v/>
      </c>
      <c r="G366" t="str">
        <f>IF('Base Encuesta'!I340="","",'Base Encuesta'!I340)</f>
        <v/>
      </c>
      <c r="H366" t="str">
        <f>IF('Base Encuesta'!J340="","",'Base Encuesta'!J340)</f>
        <v/>
      </c>
      <c r="I366" t="str">
        <f>IF('Base Encuesta'!K340="","",'Base Encuesta'!K340)</f>
        <v/>
      </c>
      <c r="J366" t="str">
        <f>IF(OR('Base Encuesta'!P340="",IFERROR(VALUE(LEFT('Base Encuesta'!K340,1)),"")&gt;=3),"",PROPER(TRIM('Base Encuesta'!P340)))</f>
        <v/>
      </c>
      <c r="K366" t="str">
        <f>IF(OR('Base Encuesta'!Q340="",IFERROR(VALUE(LEFT('Base Encuesta'!K340,1)),"")&gt;=3),"",'Base Encuesta'!Q340)</f>
        <v/>
      </c>
      <c r="L366" t="str">
        <f>IF(OR('Base Encuesta'!R340="",IFERROR(VALUE(LEFT('Base Encuesta'!K340,1)),"")&gt;=3),"",VALUE(LEFT('Base Encuesta'!R340,1)))</f>
        <v/>
      </c>
      <c r="M366" t="str">
        <f>IF(OR('Base Encuesta'!S340="",IFERROR(VALUE(LEFT('Base Encuesta'!K340,1)),"")&gt;=3),"",VALUE(LEFT('Base Encuesta'!S340,1)))</f>
        <v/>
      </c>
      <c r="N366" t="str">
        <f>IF(OR('Base Encuesta'!T340="",IFERROR(VALUE(LEFT('Base Encuesta'!K340,1)),"")&gt;=3),"",VALUE(LEFT('Base Encuesta'!T340,1)))</f>
        <v/>
      </c>
      <c r="O366" t="str">
        <f>IF(OR('Base Encuesta'!V340="",IFERROR(VALUE(LEFT('Base Encuesta'!K340,1)),"")&gt;=3),"",VALUE(LEFT('Base Encuesta'!V340,1)))</f>
        <v/>
      </c>
      <c r="P366" t="str">
        <f>IF(OR('Base Encuesta'!W340="",IFERROR(VALUE(LEFT('Base Encuesta'!K340,1)),"")&gt;=3),"",VALUE(LEFT('Base Encuesta'!W340,1)))</f>
        <v/>
      </c>
      <c r="Q366" t="str">
        <f>IF(OR('Base Encuesta'!X340="",IFERROR(VALUE(LEFT('Base Encuesta'!K340,1)),"")&gt;=3),"",VALUE(LEFT('Base Encuesta'!X340,1)))</f>
        <v/>
      </c>
      <c r="R366" t="str">
        <f>IF(OR('Base Encuesta'!Y340="",IFERROR(VALUE(LEFT('Base Encuesta'!K340,1)),"")&gt;=3),"",VALUE(LEFT('Base Encuesta'!Y340,1)))</f>
        <v/>
      </c>
      <c r="S366" t="str">
        <f>IF(OR('Base Encuesta'!Z340="",IFERROR(VALUE(LEFT('Base Encuesta'!K340,1)),"")&gt;=3),"",VALUE(LEFT('Base Encuesta'!Z340,1)))</f>
        <v/>
      </c>
      <c r="T366" t="str">
        <f>IF(OR('Base Encuesta'!AA340="",IFERROR(VALUE(LEFT('Base Encuesta'!K340,1)),"")&gt;=3),"",VALUE(LEFT('Base Encuesta'!AA340,1)))</f>
        <v/>
      </c>
      <c r="U366" t="str">
        <f>IF(OR('Base Encuesta'!AB340="",IFERROR(VALUE(LEFT('Base Encuesta'!K340,1)),"")&gt;=3),"",VALUE(LEFT('Base Encuesta'!AB340,1)))</f>
        <v/>
      </c>
      <c r="V366" t="str">
        <f>IF(OR('Base Encuesta'!AC340="",IFERROR(VALUE(LEFT('Base Encuesta'!K340,1)),"")&gt;=3),"",VALUE(LEFT('Base Encuesta'!AC340,1)))</f>
        <v/>
      </c>
      <c r="W366" t="str">
        <f>IF(OR('Base Encuesta'!AE340="",IFERROR(VALUE(LEFT('Base Encuesta'!K340,1)),"")&gt;=3),"",VALUE(LEFT('Base Encuesta'!AE340,1)))</f>
        <v/>
      </c>
      <c r="X366" t="str">
        <f>IF(OR('Base Encuesta'!AF340="",IFERROR(VALUE(LEFT('Base Encuesta'!K340,1)),"")&gt;=3),"",IF(W366=1,VALUE(LEFT('Base Encuesta'!AF340,1)),""))</f>
        <v/>
      </c>
      <c r="Y366" t="str">
        <f>IF(OR('Base Encuesta'!AG340="",IFERROR(VALUE(LEFT('Base Encuesta'!K340,1)),"")&gt;=3),"",IF(W366=1,VALUE(LEFT('Base Encuesta'!AG340,1)),""))</f>
        <v/>
      </c>
      <c r="Z366" t="str">
        <f>IF(OR('Base Encuesta'!AH340="",IFERROR(VALUE(LEFT('Base Encuesta'!K340,1)),"")&gt;=3),"",IF(W366=1,VALUE(LEFT('Base Encuesta'!AH340,1)),""))</f>
        <v/>
      </c>
      <c r="AA366" t="str">
        <f>IF(OR('Base Encuesta'!AI340="",IFERROR(VALUE(LEFT('Base Encuesta'!K340,1)),"")&gt;=3),"",IF(W366=1,VALUE(LEFT('Base Encuesta'!AI340,1)),""))</f>
        <v/>
      </c>
      <c r="AB366" t="str">
        <f>IF(OR('Base Encuesta'!AJ340="",IFERROR(VALUE(LEFT('Base Encuesta'!K340,1)),"")&gt;=3),"",IF(W366=1,VALUE(LEFT('Base Encuesta'!AJ340,1)),""))</f>
        <v/>
      </c>
      <c r="AC366" t="str">
        <f>IF(OR('Base Encuesta'!AL340="",IFERROR(VALUE(LEFT('Base Encuesta'!K340,1)),"")&gt;=3),"",VALUE(LEFT('Base Encuesta'!AL340,1)))</f>
        <v/>
      </c>
      <c r="AD366" t="str">
        <f>IF(OR('Base Encuesta'!AM340="",IFERROR(VALUE(LEFT('Base Encuesta'!K340,1)),"")&gt;=3),"",VALUE(LEFT('Base Encuesta'!AM340,1)))</f>
        <v/>
      </c>
      <c r="AE366" t="str">
        <f>IF(OR('Base Encuesta'!AN340="",IFERROR(VALUE(LEFT('Base Encuesta'!K340,1)),"")&gt;=3),"",VALUE(LEFT('Base Encuesta'!AN340,1)))</f>
        <v/>
      </c>
      <c r="AF366" t="str">
        <f>IF(OR('Base Encuesta'!AO340="",IFERROR(VALUE(LEFT('Base Encuesta'!K340,1)),"")&gt;=3),"",VALUE(LEFT('Base Encuesta'!AO340,1)))</f>
        <v/>
      </c>
      <c r="AG366" t="str">
        <f>IF(OR('Base Encuesta'!AQ340="",IFERROR(VALUE(LEFT('Base Encuesta'!K340,1)),"")&gt;=3),"",VALUE(LEFT('Base Encuesta'!AQ340,1)))</f>
        <v/>
      </c>
      <c r="AH366" t="str">
        <f>IF(OR('Base Encuesta'!AR340="",IFERROR(VALUE(LEFT('Base Encuesta'!K340,1)),"")&gt;=3),"",VALUE(LEFT('Base Encuesta'!AR340,1)))</f>
        <v/>
      </c>
    </row>
    <row r="367" spans="1:34">
      <c r="A367" t="str">
        <f>IF('Base Encuesta'!C341="","",'Base Encuesta'!C341)</f>
        <v/>
      </c>
      <c r="B367" t="str">
        <f>IF('Base Encuesta'!D341="","",'Base Encuesta'!D341)</f>
        <v/>
      </c>
      <c r="C367" t="str">
        <f>IF('Base Encuesta'!E341="","",'Base Encuesta'!E341)</f>
        <v/>
      </c>
      <c r="D367" t="str">
        <f>IF('Base Encuesta'!F341="","",'Base Encuesta'!F341)</f>
        <v/>
      </c>
      <c r="E367" t="str">
        <f>IF('Base Encuesta'!G341="","",'Base Encuesta'!G341)</f>
        <v/>
      </c>
      <c r="F367" t="str">
        <f>IF('Base Encuesta'!H341="","",'Base Encuesta'!H341)</f>
        <v/>
      </c>
      <c r="G367" t="str">
        <f>IF('Base Encuesta'!I341="","",'Base Encuesta'!I341)</f>
        <v/>
      </c>
      <c r="H367" t="str">
        <f>IF('Base Encuesta'!J341="","",'Base Encuesta'!J341)</f>
        <v/>
      </c>
      <c r="I367" t="str">
        <f>IF('Base Encuesta'!K341="","",'Base Encuesta'!K341)</f>
        <v/>
      </c>
      <c r="J367" t="str">
        <f>IF(OR('Base Encuesta'!P341="",IFERROR(VALUE(LEFT('Base Encuesta'!K341,1)),"")&gt;=3),"",PROPER(TRIM('Base Encuesta'!P341)))</f>
        <v/>
      </c>
      <c r="K367" t="str">
        <f>IF(OR('Base Encuesta'!Q341="",IFERROR(VALUE(LEFT('Base Encuesta'!K341,1)),"")&gt;=3),"",'Base Encuesta'!Q341)</f>
        <v/>
      </c>
      <c r="L367" t="str">
        <f>IF(OR('Base Encuesta'!R341="",IFERROR(VALUE(LEFT('Base Encuesta'!K341,1)),"")&gt;=3),"",VALUE(LEFT('Base Encuesta'!R341,1)))</f>
        <v/>
      </c>
      <c r="M367" t="str">
        <f>IF(OR('Base Encuesta'!S341="",IFERROR(VALUE(LEFT('Base Encuesta'!K341,1)),"")&gt;=3),"",VALUE(LEFT('Base Encuesta'!S341,1)))</f>
        <v/>
      </c>
      <c r="N367" t="str">
        <f>IF(OR('Base Encuesta'!T341="",IFERROR(VALUE(LEFT('Base Encuesta'!K341,1)),"")&gt;=3),"",VALUE(LEFT('Base Encuesta'!T341,1)))</f>
        <v/>
      </c>
      <c r="O367" t="str">
        <f>IF(OR('Base Encuesta'!V341="",IFERROR(VALUE(LEFT('Base Encuesta'!K341,1)),"")&gt;=3),"",VALUE(LEFT('Base Encuesta'!V341,1)))</f>
        <v/>
      </c>
      <c r="P367" t="str">
        <f>IF(OR('Base Encuesta'!W341="",IFERROR(VALUE(LEFT('Base Encuesta'!K341,1)),"")&gt;=3),"",VALUE(LEFT('Base Encuesta'!W341,1)))</f>
        <v/>
      </c>
      <c r="Q367" t="str">
        <f>IF(OR('Base Encuesta'!X341="",IFERROR(VALUE(LEFT('Base Encuesta'!K341,1)),"")&gt;=3),"",VALUE(LEFT('Base Encuesta'!X341,1)))</f>
        <v/>
      </c>
      <c r="R367" t="str">
        <f>IF(OR('Base Encuesta'!Y341="",IFERROR(VALUE(LEFT('Base Encuesta'!K341,1)),"")&gt;=3),"",VALUE(LEFT('Base Encuesta'!Y341,1)))</f>
        <v/>
      </c>
      <c r="S367" t="str">
        <f>IF(OR('Base Encuesta'!Z341="",IFERROR(VALUE(LEFT('Base Encuesta'!K341,1)),"")&gt;=3),"",VALUE(LEFT('Base Encuesta'!Z341,1)))</f>
        <v/>
      </c>
      <c r="T367" t="str">
        <f>IF(OR('Base Encuesta'!AA341="",IFERROR(VALUE(LEFT('Base Encuesta'!K341,1)),"")&gt;=3),"",VALUE(LEFT('Base Encuesta'!AA341,1)))</f>
        <v/>
      </c>
      <c r="U367" t="str">
        <f>IF(OR('Base Encuesta'!AB341="",IFERROR(VALUE(LEFT('Base Encuesta'!K341,1)),"")&gt;=3),"",VALUE(LEFT('Base Encuesta'!AB341,1)))</f>
        <v/>
      </c>
      <c r="V367" t="str">
        <f>IF(OR('Base Encuesta'!AC341="",IFERROR(VALUE(LEFT('Base Encuesta'!K341,1)),"")&gt;=3),"",VALUE(LEFT('Base Encuesta'!AC341,1)))</f>
        <v/>
      </c>
      <c r="W367" t="str">
        <f>IF(OR('Base Encuesta'!AE341="",IFERROR(VALUE(LEFT('Base Encuesta'!K341,1)),"")&gt;=3),"",VALUE(LEFT('Base Encuesta'!AE341,1)))</f>
        <v/>
      </c>
      <c r="X367" t="str">
        <f>IF(OR('Base Encuesta'!AF341="",IFERROR(VALUE(LEFT('Base Encuesta'!K341,1)),"")&gt;=3),"",IF(W367=1,VALUE(LEFT('Base Encuesta'!AF341,1)),""))</f>
        <v/>
      </c>
      <c r="Y367" t="str">
        <f>IF(OR('Base Encuesta'!AG341="",IFERROR(VALUE(LEFT('Base Encuesta'!K341,1)),"")&gt;=3),"",IF(W367=1,VALUE(LEFT('Base Encuesta'!AG341,1)),""))</f>
        <v/>
      </c>
      <c r="Z367" t="str">
        <f>IF(OR('Base Encuesta'!AH341="",IFERROR(VALUE(LEFT('Base Encuesta'!K341,1)),"")&gt;=3),"",IF(W367=1,VALUE(LEFT('Base Encuesta'!AH341,1)),""))</f>
        <v/>
      </c>
      <c r="AA367" t="str">
        <f>IF(OR('Base Encuesta'!AI341="",IFERROR(VALUE(LEFT('Base Encuesta'!K341,1)),"")&gt;=3),"",IF(W367=1,VALUE(LEFT('Base Encuesta'!AI341,1)),""))</f>
        <v/>
      </c>
      <c r="AB367" t="str">
        <f>IF(OR('Base Encuesta'!AJ341="",IFERROR(VALUE(LEFT('Base Encuesta'!K341,1)),"")&gt;=3),"",IF(W367=1,VALUE(LEFT('Base Encuesta'!AJ341,1)),""))</f>
        <v/>
      </c>
      <c r="AC367" t="str">
        <f>IF(OR('Base Encuesta'!AL341="",IFERROR(VALUE(LEFT('Base Encuesta'!K341,1)),"")&gt;=3),"",VALUE(LEFT('Base Encuesta'!AL341,1)))</f>
        <v/>
      </c>
      <c r="AD367" t="str">
        <f>IF(OR('Base Encuesta'!AM341="",IFERROR(VALUE(LEFT('Base Encuesta'!K341,1)),"")&gt;=3),"",VALUE(LEFT('Base Encuesta'!AM341,1)))</f>
        <v/>
      </c>
      <c r="AE367" t="str">
        <f>IF(OR('Base Encuesta'!AN341="",IFERROR(VALUE(LEFT('Base Encuesta'!K341,1)),"")&gt;=3),"",VALUE(LEFT('Base Encuesta'!AN341,1)))</f>
        <v/>
      </c>
      <c r="AF367" t="str">
        <f>IF(OR('Base Encuesta'!AO341="",IFERROR(VALUE(LEFT('Base Encuesta'!K341,1)),"")&gt;=3),"",VALUE(LEFT('Base Encuesta'!AO341,1)))</f>
        <v/>
      </c>
      <c r="AG367" t="str">
        <f>IF(OR('Base Encuesta'!AQ341="",IFERROR(VALUE(LEFT('Base Encuesta'!K341,1)),"")&gt;=3),"",VALUE(LEFT('Base Encuesta'!AQ341,1)))</f>
        <v/>
      </c>
      <c r="AH367" t="str">
        <f>IF(OR('Base Encuesta'!AR341="",IFERROR(VALUE(LEFT('Base Encuesta'!K341,1)),"")&gt;=3),"",VALUE(LEFT('Base Encuesta'!AR341,1)))</f>
        <v/>
      </c>
    </row>
    <row r="368" spans="1:34">
      <c r="A368" t="str">
        <f>IF('Base Encuesta'!C342="","",'Base Encuesta'!C342)</f>
        <v/>
      </c>
      <c r="B368" t="str">
        <f>IF('Base Encuesta'!D342="","",'Base Encuesta'!D342)</f>
        <v/>
      </c>
      <c r="C368" t="str">
        <f>IF('Base Encuesta'!E342="","",'Base Encuesta'!E342)</f>
        <v/>
      </c>
      <c r="D368" t="str">
        <f>IF('Base Encuesta'!F342="","",'Base Encuesta'!F342)</f>
        <v/>
      </c>
      <c r="E368" t="str">
        <f>IF('Base Encuesta'!G342="","",'Base Encuesta'!G342)</f>
        <v/>
      </c>
      <c r="F368" t="str">
        <f>IF('Base Encuesta'!H342="","",'Base Encuesta'!H342)</f>
        <v/>
      </c>
      <c r="G368" t="str">
        <f>IF('Base Encuesta'!I342="","",'Base Encuesta'!I342)</f>
        <v/>
      </c>
      <c r="H368" t="str">
        <f>IF('Base Encuesta'!J342="","",'Base Encuesta'!J342)</f>
        <v/>
      </c>
      <c r="I368" t="str">
        <f>IF('Base Encuesta'!K342="","",'Base Encuesta'!K342)</f>
        <v/>
      </c>
      <c r="J368" t="str">
        <f>IF(OR('Base Encuesta'!P342="",IFERROR(VALUE(LEFT('Base Encuesta'!K342,1)),"")&gt;=3),"",PROPER(TRIM('Base Encuesta'!P342)))</f>
        <v/>
      </c>
      <c r="K368" t="str">
        <f>IF(OR('Base Encuesta'!Q342="",IFERROR(VALUE(LEFT('Base Encuesta'!K342,1)),"")&gt;=3),"",'Base Encuesta'!Q342)</f>
        <v/>
      </c>
      <c r="L368" t="str">
        <f>IF(OR('Base Encuesta'!R342="",IFERROR(VALUE(LEFT('Base Encuesta'!K342,1)),"")&gt;=3),"",VALUE(LEFT('Base Encuesta'!R342,1)))</f>
        <v/>
      </c>
      <c r="M368" t="str">
        <f>IF(OR('Base Encuesta'!S342="",IFERROR(VALUE(LEFT('Base Encuesta'!K342,1)),"")&gt;=3),"",VALUE(LEFT('Base Encuesta'!S342,1)))</f>
        <v/>
      </c>
      <c r="N368" t="str">
        <f>IF(OR('Base Encuesta'!T342="",IFERROR(VALUE(LEFT('Base Encuesta'!K342,1)),"")&gt;=3),"",VALUE(LEFT('Base Encuesta'!T342,1)))</f>
        <v/>
      </c>
      <c r="O368" t="str">
        <f>IF(OR('Base Encuesta'!V342="",IFERROR(VALUE(LEFT('Base Encuesta'!K342,1)),"")&gt;=3),"",VALUE(LEFT('Base Encuesta'!V342,1)))</f>
        <v/>
      </c>
      <c r="P368" t="str">
        <f>IF(OR('Base Encuesta'!W342="",IFERROR(VALUE(LEFT('Base Encuesta'!K342,1)),"")&gt;=3),"",VALUE(LEFT('Base Encuesta'!W342,1)))</f>
        <v/>
      </c>
      <c r="Q368" t="str">
        <f>IF(OR('Base Encuesta'!X342="",IFERROR(VALUE(LEFT('Base Encuesta'!K342,1)),"")&gt;=3),"",VALUE(LEFT('Base Encuesta'!X342,1)))</f>
        <v/>
      </c>
      <c r="R368" t="str">
        <f>IF(OR('Base Encuesta'!Y342="",IFERROR(VALUE(LEFT('Base Encuesta'!K342,1)),"")&gt;=3),"",VALUE(LEFT('Base Encuesta'!Y342,1)))</f>
        <v/>
      </c>
      <c r="S368" t="str">
        <f>IF(OR('Base Encuesta'!Z342="",IFERROR(VALUE(LEFT('Base Encuesta'!K342,1)),"")&gt;=3),"",VALUE(LEFT('Base Encuesta'!Z342,1)))</f>
        <v/>
      </c>
      <c r="T368" t="str">
        <f>IF(OR('Base Encuesta'!AA342="",IFERROR(VALUE(LEFT('Base Encuesta'!K342,1)),"")&gt;=3),"",VALUE(LEFT('Base Encuesta'!AA342,1)))</f>
        <v/>
      </c>
      <c r="U368" t="str">
        <f>IF(OR('Base Encuesta'!AB342="",IFERROR(VALUE(LEFT('Base Encuesta'!K342,1)),"")&gt;=3),"",VALUE(LEFT('Base Encuesta'!AB342,1)))</f>
        <v/>
      </c>
      <c r="V368" t="str">
        <f>IF(OR('Base Encuesta'!AC342="",IFERROR(VALUE(LEFT('Base Encuesta'!K342,1)),"")&gt;=3),"",VALUE(LEFT('Base Encuesta'!AC342,1)))</f>
        <v/>
      </c>
      <c r="W368" t="str">
        <f>IF(OR('Base Encuesta'!AE342="",IFERROR(VALUE(LEFT('Base Encuesta'!K342,1)),"")&gt;=3),"",VALUE(LEFT('Base Encuesta'!AE342,1)))</f>
        <v/>
      </c>
      <c r="X368" t="str">
        <f>IF(OR('Base Encuesta'!AF342="",IFERROR(VALUE(LEFT('Base Encuesta'!K342,1)),"")&gt;=3),"",IF(W368=1,VALUE(LEFT('Base Encuesta'!AF342,1)),""))</f>
        <v/>
      </c>
      <c r="Y368" t="str">
        <f>IF(OR('Base Encuesta'!AG342="",IFERROR(VALUE(LEFT('Base Encuesta'!K342,1)),"")&gt;=3),"",IF(W368=1,VALUE(LEFT('Base Encuesta'!AG342,1)),""))</f>
        <v/>
      </c>
      <c r="Z368" t="str">
        <f>IF(OR('Base Encuesta'!AH342="",IFERROR(VALUE(LEFT('Base Encuesta'!K342,1)),"")&gt;=3),"",IF(W368=1,VALUE(LEFT('Base Encuesta'!AH342,1)),""))</f>
        <v/>
      </c>
      <c r="AA368" t="str">
        <f>IF(OR('Base Encuesta'!AI342="",IFERROR(VALUE(LEFT('Base Encuesta'!K342,1)),"")&gt;=3),"",IF(W368=1,VALUE(LEFT('Base Encuesta'!AI342,1)),""))</f>
        <v/>
      </c>
      <c r="AB368" t="str">
        <f>IF(OR('Base Encuesta'!AJ342="",IFERROR(VALUE(LEFT('Base Encuesta'!K342,1)),"")&gt;=3),"",IF(W368=1,VALUE(LEFT('Base Encuesta'!AJ342,1)),""))</f>
        <v/>
      </c>
      <c r="AC368" t="str">
        <f>IF(OR('Base Encuesta'!AL342="",IFERROR(VALUE(LEFT('Base Encuesta'!K342,1)),"")&gt;=3),"",VALUE(LEFT('Base Encuesta'!AL342,1)))</f>
        <v/>
      </c>
      <c r="AD368" t="str">
        <f>IF(OR('Base Encuesta'!AM342="",IFERROR(VALUE(LEFT('Base Encuesta'!K342,1)),"")&gt;=3),"",VALUE(LEFT('Base Encuesta'!AM342,1)))</f>
        <v/>
      </c>
      <c r="AE368" t="str">
        <f>IF(OR('Base Encuesta'!AN342="",IFERROR(VALUE(LEFT('Base Encuesta'!K342,1)),"")&gt;=3),"",VALUE(LEFT('Base Encuesta'!AN342,1)))</f>
        <v/>
      </c>
      <c r="AF368" t="str">
        <f>IF(OR('Base Encuesta'!AO342="",IFERROR(VALUE(LEFT('Base Encuesta'!K342,1)),"")&gt;=3),"",VALUE(LEFT('Base Encuesta'!AO342,1)))</f>
        <v/>
      </c>
      <c r="AG368" t="str">
        <f>IF(OR('Base Encuesta'!AQ342="",IFERROR(VALUE(LEFT('Base Encuesta'!K342,1)),"")&gt;=3),"",VALUE(LEFT('Base Encuesta'!AQ342,1)))</f>
        <v/>
      </c>
      <c r="AH368" t="str">
        <f>IF(OR('Base Encuesta'!AR342="",IFERROR(VALUE(LEFT('Base Encuesta'!K342,1)),"")&gt;=3),"",VALUE(LEFT('Base Encuesta'!AR342,1)))</f>
        <v/>
      </c>
    </row>
    <row r="369" spans="1:34">
      <c r="A369" t="str">
        <f>IF('Base Encuesta'!C343="","",'Base Encuesta'!C343)</f>
        <v/>
      </c>
      <c r="B369" t="str">
        <f>IF('Base Encuesta'!D343="","",'Base Encuesta'!D343)</f>
        <v/>
      </c>
      <c r="C369" t="str">
        <f>IF('Base Encuesta'!E343="","",'Base Encuesta'!E343)</f>
        <v/>
      </c>
      <c r="D369" t="str">
        <f>IF('Base Encuesta'!F343="","",'Base Encuesta'!F343)</f>
        <v/>
      </c>
      <c r="E369" t="str">
        <f>IF('Base Encuesta'!G343="","",'Base Encuesta'!G343)</f>
        <v/>
      </c>
      <c r="F369" t="str">
        <f>IF('Base Encuesta'!H343="","",'Base Encuesta'!H343)</f>
        <v/>
      </c>
      <c r="G369" t="str">
        <f>IF('Base Encuesta'!I343="","",'Base Encuesta'!I343)</f>
        <v/>
      </c>
      <c r="H369" t="str">
        <f>IF('Base Encuesta'!J343="","",'Base Encuesta'!J343)</f>
        <v/>
      </c>
      <c r="I369" t="str">
        <f>IF('Base Encuesta'!K343="","",'Base Encuesta'!K343)</f>
        <v/>
      </c>
      <c r="J369" t="str">
        <f>IF(OR('Base Encuesta'!P343="",IFERROR(VALUE(LEFT('Base Encuesta'!K343,1)),"")&gt;=3),"",PROPER(TRIM('Base Encuesta'!P343)))</f>
        <v/>
      </c>
      <c r="K369" t="str">
        <f>IF(OR('Base Encuesta'!Q343="",IFERROR(VALUE(LEFT('Base Encuesta'!K343,1)),"")&gt;=3),"",'Base Encuesta'!Q343)</f>
        <v/>
      </c>
      <c r="L369" t="str">
        <f>IF(OR('Base Encuesta'!R343="",IFERROR(VALUE(LEFT('Base Encuesta'!K343,1)),"")&gt;=3),"",VALUE(LEFT('Base Encuesta'!R343,1)))</f>
        <v/>
      </c>
      <c r="M369" t="str">
        <f>IF(OR('Base Encuesta'!S343="",IFERROR(VALUE(LEFT('Base Encuesta'!K343,1)),"")&gt;=3),"",VALUE(LEFT('Base Encuesta'!S343,1)))</f>
        <v/>
      </c>
      <c r="N369" t="str">
        <f>IF(OR('Base Encuesta'!T343="",IFERROR(VALUE(LEFT('Base Encuesta'!K343,1)),"")&gt;=3),"",VALUE(LEFT('Base Encuesta'!T343,1)))</f>
        <v/>
      </c>
      <c r="O369" t="str">
        <f>IF(OR('Base Encuesta'!V343="",IFERROR(VALUE(LEFT('Base Encuesta'!K343,1)),"")&gt;=3),"",VALUE(LEFT('Base Encuesta'!V343,1)))</f>
        <v/>
      </c>
      <c r="P369" t="str">
        <f>IF(OR('Base Encuesta'!W343="",IFERROR(VALUE(LEFT('Base Encuesta'!K343,1)),"")&gt;=3),"",VALUE(LEFT('Base Encuesta'!W343,1)))</f>
        <v/>
      </c>
      <c r="Q369" t="str">
        <f>IF(OR('Base Encuesta'!X343="",IFERROR(VALUE(LEFT('Base Encuesta'!K343,1)),"")&gt;=3),"",VALUE(LEFT('Base Encuesta'!X343,1)))</f>
        <v/>
      </c>
      <c r="R369" t="str">
        <f>IF(OR('Base Encuesta'!Y343="",IFERROR(VALUE(LEFT('Base Encuesta'!K343,1)),"")&gt;=3),"",VALUE(LEFT('Base Encuesta'!Y343,1)))</f>
        <v/>
      </c>
      <c r="S369" t="str">
        <f>IF(OR('Base Encuesta'!Z343="",IFERROR(VALUE(LEFT('Base Encuesta'!K343,1)),"")&gt;=3),"",VALUE(LEFT('Base Encuesta'!Z343,1)))</f>
        <v/>
      </c>
      <c r="T369" t="str">
        <f>IF(OR('Base Encuesta'!AA343="",IFERROR(VALUE(LEFT('Base Encuesta'!K343,1)),"")&gt;=3),"",VALUE(LEFT('Base Encuesta'!AA343,1)))</f>
        <v/>
      </c>
      <c r="U369" t="str">
        <f>IF(OR('Base Encuesta'!AB343="",IFERROR(VALUE(LEFT('Base Encuesta'!K343,1)),"")&gt;=3),"",VALUE(LEFT('Base Encuesta'!AB343,1)))</f>
        <v/>
      </c>
      <c r="V369" t="str">
        <f>IF(OR('Base Encuesta'!AC343="",IFERROR(VALUE(LEFT('Base Encuesta'!K343,1)),"")&gt;=3),"",VALUE(LEFT('Base Encuesta'!AC343,1)))</f>
        <v/>
      </c>
      <c r="W369" t="str">
        <f>IF(OR('Base Encuesta'!AE343="",IFERROR(VALUE(LEFT('Base Encuesta'!K343,1)),"")&gt;=3),"",VALUE(LEFT('Base Encuesta'!AE343,1)))</f>
        <v/>
      </c>
      <c r="X369" t="str">
        <f>IF(OR('Base Encuesta'!AF343="",IFERROR(VALUE(LEFT('Base Encuesta'!K343,1)),"")&gt;=3),"",IF(W369=1,VALUE(LEFT('Base Encuesta'!AF343,1)),""))</f>
        <v/>
      </c>
      <c r="Y369" t="str">
        <f>IF(OR('Base Encuesta'!AG343="",IFERROR(VALUE(LEFT('Base Encuesta'!K343,1)),"")&gt;=3),"",IF(W369=1,VALUE(LEFT('Base Encuesta'!AG343,1)),""))</f>
        <v/>
      </c>
      <c r="Z369" t="str">
        <f>IF(OR('Base Encuesta'!AH343="",IFERROR(VALUE(LEFT('Base Encuesta'!K343,1)),"")&gt;=3),"",IF(W369=1,VALUE(LEFT('Base Encuesta'!AH343,1)),""))</f>
        <v/>
      </c>
      <c r="AA369" t="str">
        <f>IF(OR('Base Encuesta'!AI343="",IFERROR(VALUE(LEFT('Base Encuesta'!K343,1)),"")&gt;=3),"",IF(W369=1,VALUE(LEFT('Base Encuesta'!AI343,1)),""))</f>
        <v/>
      </c>
      <c r="AB369" t="str">
        <f>IF(OR('Base Encuesta'!AJ343="",IFERROR(VALUE(LEFT('Base Encuesta'!K343,1)),"")&gt;=3),"",IF(W369=1,VALUE(LEFT('Base Encuesta'!AJ343,1)),""))</f>
        <v/>
      </c>
      <c r="AC369" t="str">
        <f>IF(OR('Base Encuesta'!AL343="",IFERROR(VALUE(LEFT('Base Encuesta'!K343,1)),"")&gt;=3),"",VALUE(LEFT('Base Encuesta'!AL343,1)))</f>
        <v/>
      </c>
      <c r="AD369" t="str">
        <f>IF(OR('Base Encuesta'!AM343="",IFERROR(VALUE(LEFT('Base Encuesta'!K343,1)),"")&gt;=3),"",VALUE(LEFT('Base Encuesta'!AM343,1)))</f>
        <v/>
      </c>
      <c r="AE369" t="str">
        <f>IF(OR('Base Encuesta'!AN343="",IFERROR(VALUE(LEFT('Base Encuesta'!K343,1)),"")&gt;=3),"",VALUE(LEFT('Base Encuesta'!AN343,1)))</f>
        <v/>
      </c>
      <c r="AF369" t="str">
        <f>IF(OR('Base Encuesta'!AO343="",IFERROR(VALUE(LEFT('Base Encuesta'!K343,1)),"")&gt;=3),"",VALUE(LEFT('Base Encuesta'!AO343,1)))</f>
        <v/>
      </c>
      <c r="AG369" t="str">
        <f>IF(OR('Base Encuesta'!AQ343="",IFERROR(VALUE(LEFT('Base Encuesta'!K343,1)),"")&gt;=3),"",VALUE(LEFT('Base Encuesta'!AQ343,1)))</f>
        <v/>
      </c>
      <c r="AH369" t="str">
        <f>IF(OR('Base Encuesta'!AR343="",IFERROR(VALUE(LEFT('Base Encuesta'!K343,1)),"")&gt;=3),"",VALUE(LEFT('Base Encuesta'!AR343,1)))</f>
        <v/>
      </c>
    </row>
    <row r="370" spans="1:34">
      <c r="A370" t="str">
        <f>IF('Base Encuesta'!C344="","",'Base Encuesta'!C344)</f>
        <v/>
      </c>
      <c r="B370" t="str">
        <f>IF('Base Encuesta'!D344="","",'Base Encuesta'!D344)</f>
        <v/>
      </c>
      <c r="C370" t="str">
        <f>IF('Base Encuesta'!E344="","",'Base Encuesta'!E344)</f>
        <v/>
      </c>
      <c r="D370" t="str">
        <f>IF('Base Encuesta'!F344="","",'Base Encuesta'!F344)</f>
        <v/>
      </c>
      <c r="E370" t="str">
        <f>IF('Base Encuesta'!G344="","",'Base Encuesta'!G344)</f>
        <v/>
      </c>
      <c r="F370" t="str">
        <f>IF('Base Encuesta'!H344="","",'Base Encuesta'!H344)</f>
        <v/>
      </c>
      <c r="G370" t="str">
        <f>IF('Base Encuesta'!I344="","",'Base Encuesta'!I344)</f>
        <v/>
      </c>
      <c r="H370" t="str">
        <f>IF('Base Encuesta'!J344="","",'Base Encuesta'!J344)</f>
        <v/>
      </c>
      <c r="I370" t="str">
        <f>IF('Base Encuesta'!K344="","",'Base Encuesta'!K344)</f>
        <v/>
      </c>
      <c r="J370" t="str">
        <f>IF(OR('Base Encuesta'!P344="",IFERROR(VALUE(LEFT('Base Encuesta'!K344,1)),"")&gt;=3),"",PROPER(TRIM('Base Encuesta'!P344)))</f>
        <v/>
      </c>
      <c r="K370" t="str">
        <f>IF(OR('Base Encuesta'!Q344="",IFERROR(VALUE(LEFT('Base Encuesta'!K344,1)),"")&gt;=3),"",'Base Encuesta'!Q344)</f>
        <v/>
      </c>
      <c r="L370" t="str">
        <f>IF(OR('Base Encuesta'!R344="",IFERROR(VALUE(LEFT('Base Encuesta'!K344,1)),"")&gt;=3),"",VALUE(LEFT('Base Encuesta'!R344,1)))</f>
        <v/>
      </c>
      <c r="M370" t="str">
        <f>IF(OR('Base Encuesta'!S344="",IFERROR(VALUE(LEFT('Base Encuesta'!K344,1)),"")&gt;=3),"",VALUE(LEFT('Base Encuesta'!S344,1)))</f>
        <v/>
      </c>
      <c r="N370" t="str">
        <f>IF(OR('Base Encuesta'!T344="",IFERROR(VALUE(LEFT('Base Encuesta'!K344,1)),"")&gt;=3),"",VALUE(LEFT('Base Encuesta'!T344,1)))</f>
        <v/>
      </c>
      <c r="O370" t="str">
        <f>IF(OR('Base Encuesta'!V344="",IFERROR(VALUE(LEFT('Base Encuesta'!K344,1)),"")&gt;=3),"",VALUE(LEFT('Base Encuesta'!V344,1)))</f>
        <v/>
      </c>
      <c r="P370" t="str">
        <f>IF(OR('Base Encuesta'!W344="",IFERROR(VALUE(LEFT('Base Encuesta'!K344,1)),"")&gt;=3),"",VALUE(LEFT('Base Encuesta'!W344,1)))</f>
        <v/>
      </c>
      <c r="Q370" t="str">
        <f>IF(OR('Base Encuesta'!X344="",IFERROR(VALUE(LEFT('Base Encuesta'!K344,1)),"")&gt;=3),"",VALUE(LEFT('Base Encuesta'!X344,1)))</f>
        <v/>
      </c>
      <c r="R370" t="str">
        <f>IF(OR('Base Encuesta'!Y344="",IFERROR(VALUE(LEFT('Base Encuesta'!K344,1)),"")&gt;=3),"",VALUE(LEFT('Base Encuesta'!Y344,1)))</f>
        <v/>
      </c>
      <c r="S370" t="str">
        <f>IF(OR('Base Encuesta'!Z344="",IFERROR(VALUE(LEFT('Base Encuesta'!K344,1)),"")&gt;=3),"",VALUE(LEFT('Base Encuesta'!Z344,1)))</f>
        <v/>
      </c>
      <c r="T370" t="str">
        <f>IF(OR('Base Encuesta'!AA344="",IFERROR(VALUE(LEFT('Base Encuesta'!K344,1)),"")&gt;=3),"",VALUE(LEFT('Base Encuesta'!AA344,1)))</f>
        <v/>
      </c>
      <c r="U370" t="str">
        <f>IF(OR('Base Encuesta'!AB344="",IFERROR(VALUE(LEFT('Base Encuesta'!K344,1)),"")&gt;=3),"",VALUE(LEFT('Base Encuesta'!AB344,1)))</f>
        <v/>
      </c>
      <c r="V370" t="str">
        <f>IF(OR('Base Encuesta'!AC344="",IFERROR(VALUE(LEFT('Base Encuesta'!K344,1)),"")&gt;=3),"",VALUE(LEFT('Base Encuesta'!AC344,1)))</f>
        <v/>
      </c>
      <c r="W370" t="str">
        <f>IF(OR('Base Encuesta'!AE344="",IFERROR(VALUE(LEFT('Base Encuesta'!K344,1)),"")&gt;=3),"",VALUE(LEFT('Base Encuesta'!AE344,1)))</f>
        <v/>
      </c>
      <c r="X370" t="str">
        <f>IF(OR('Base Encuesta'!AF344="",IFERROR(VALUE(LEFT('Base Encuesta'!K344,1)),"")&gt;=3),"",IF(W370=1,VALUE(LEFT('Base Encuesta'!AF344,1)),""))</f>
        <v/>
      </c>
      <c r="Y370" t="str">
        <f>IF(OR('Base Encuesta'!AG344="",IFERROR(VALUE(LEFT('Base Encuesta'!K344,1)),"")&gt;=3),"",IF(W370=1,VALUE(LEFT('Base Encuesta'!AG344,1)),""))</f>
        <v/>
      </c>
      <c r="Z370" t="str">
        <f>IF(OR('Base Encuesta'!AH344="",IFERROR(VALUE(LEFT('Base Encuesta'!K344,1)),"")&gt;=3),"",IF(W370=1,VALUE(LEFT('Base Encuesta'!AH344,1)),""))</f>
        <v/>
      </c>
      <c r="AA370" t="str">
        <f>IF(OR('Base Encuesta'!AI344="",IFERROR(VALUE(LEFT('Base Encuesta'!K344,1)),"")&gt;=3),"",IF(W370=1,VALUE(LEFT('Base Encuesta'!AI344,1)),""))</f>
        <v/>
      </c>
      <c r="AB370" t="str">
        <f>IF(OR('Base Encuesta'!AJ344="",IFERROR(VALUE(LEFT('Base Encuesta'!K344,1)),"")&gt;=3),"",IF(W370=1,VALUE(LEFT('Base Encuesta'!AJ344,1)),""))</f>
        <v/>
      </c>
      <c r="AC370" t="str">
        <f>IF(OR('Base Encuesta'!AL344="",IFERROR(VALUE(LEFT('Base Encuesta'!K344,1)),"")&gt;=3),"",VALUE(LEFT('Base Encuesta'!AL344,1)))</f>
        <v/>
      </c>
      <c r="AD370" t="str">
        <f>IF(OR('Base Encuesta'!AM344="",IFERROR(VALUE(LEFT('Base Encuesta'!K344,1)),"")&gt;=3),"",VALUE(LEFT('Base Encuesta'!AM344,1)))</f>
        <v/>
      </c>
      <c r="AE370" t="str">
        <f>IF(OR('Base Encuesta'!AN344="",IFERROR(VALUE(LEFT('Base Encuesta'!K344,1)),"")&gt;=3),"",VALUE(LEFT('Base Encuesta'!AN344,1)))</f>
        <v/>
      </c>
      <c r="AF370" t="str">
        <f>IF(OR('Base Encuesta'!AO344="",IFERROR(VALUE(LEFT('Base Encuesta'!K344,1)),"")&gt;=3),"",VALUE(LEFT('Base Encuesta'!AO344,1)))</f>
        <v/>
      </c>
      <c r="AG370" t="str">
        <f>IF(OR('Base Encuesta'!AQ344="",IFERROR(VALUE(LEFT('Base Encuesta'!K344,1)),"")&gt;=3),"",VALUE(LEFT('Base Encuesta'!AQ344,1)))</f>
        <v/>
      </c>
      <c r="AH370" t="str">
        <f>IF(OR('Base Encuesta'!AR344="",IFERROR(VALUE(LEFT('Base Encuesta'!K344,1)),"")&gt;=3),"",VALUE(LEFT('Base Encuesta'!AR344,1)))</f>
        <v/>
      </c>
    </row>
    <row r="371" spans="1:34">
      <c r="A371" t="str">
        <f>IF('Base Encuesta'!C345="","",'Base Encuesta'!C345)</f>
        <v/>
      </c>
      <c r="B371" t="str">
        <f>IF('Base Encuesta'!D345="","",'Base Encuesta'!D345)</f>
        <v/>
      </c>
      <c r="C371" t="str">
        <f>IF('Base Encuesta'!E345="","",'Base Encuesta'!E345)</f>
        <v/>
      </c>
      <c r="D371" t="str">
        <f>IF('Base Encuesta'!F345="","",'Base Encuesta'!F345)</f>
        <v/>
      </c>
      <c r="E371" t="str">
        <f>IF('Base Encuesta'!G345="","",'Base Encuesta'!G345)</f>
        <v/>
      </c>
      <c r="F371" t="str">
        <f>IF('Base Encuesta'!H345="","",'Base Encuesta'!H345)</f>
        <v/>
      </c>
      <c r="G371" t="str">
        <f>IF('Base Encuesta'!I345="","",'Base Encuesta'!I345)</f>
        <v/>
      </c>
      <c r="H371" t="str">
        <f>IF('Base Encuesta'!J345="","",'Base Encuesta'!J345)</f>
        <v/>
      </c>
      <c r="I371" t="str">
        <f>IF('Base Encuesta'!K345="","",'Base Encuesta'!K345)</f>
        <v/>
      </c>
      <c r="J371" t="str">
        <f>IF(OR('Base Encuesta'!P345="",IFERROR(VALUE(LEFT('Base Encuesta'!K345,1)),"")&gt;=3),"",PROPER(TRIM('Base Encuesta'!P345)))</f>
        <v/>
      </c>
      <c r="K371" t="str">
        <f>IF(OR('Base Encuesta'!Q345="",IFERROR(VALUE(LEFT('Base Encuesta'!K345,1)),"")&gt;=3),"",'Base Encuesta'!Q345)</f>
        <v/>
      </c>
      <c r="L371" t="str">
        <f>IF(OR('Base Encuesta'!R345="",IFERROR(VALUE(LEFT('Base Encuesta'!K345,1)),"")&gt;=3),"",VALUE(LEFT('Base Encuesta'!R345,1)))</f>
        <v/>
      </c>
      <c r="M371" t="str">
        <f>IF(OR('Base Encuesta'!S345="",IFERROR(VALUE(LEFT('Base Encuesta'!K345,1)),"")&gt;=3),"",VALUE(LEFT('Base Encuesta'!S345,1)))</f>
        <v/>
      </c>
      <c r="N371" t="str">
        <f>IF(OR('Base Encuesta'!T345="",IFERROR(VALUE(LEFT('Base Encuesta'!K345,1)),"")&gt;=3),"",VALUE(LEFT('Base Encuesta'!T345,1)))</f>
        <v/>
      </c>
      <c r="O371" t="str">
        <f>IF(OR('Base Encuesta'!V345="",IFERROR(VALUE(LEFT('Base Encuesta'!K345,1)),"")&gt;=3),"",VALUE(LEFT('Base Encuesta'!V345,1)))</f>
        <v/>
      </c>
      <c r="P371" t="str">
        <f>IF(OR('Base Encuesta'!W345="",IFERROR(VALUE(LEFT('Base Encuesta'!K345,1)),"")&gt;=3),"",VALUE(LEFT('Base Encuesta'!W345,1)))</f>
        <v/>
      </c>
      <c r="Q371" t="str">
        <f>IF(OR('Base Encuesta'!X345="",IFERROR(VALUE(LEFT('Base Encuesta'!K345,1)),"")&gt;=3),"",VALUE(LEFT('Base Encuesta'!X345,1)))</f>
        <v/>
      </c>
      <c r="R371" t="str">
        <f>IF(OR('Base Encuesta'!Y345="",IFERROR(VALUE(LEFT('Base Encuesta'!K345,1)),"")&gt;=3),"",VALUE(LEFT('Base Encuesta'!Y345,1)))</f>
        <v/>
      </c>
      <c r="S371" t="str">
        <f>IF(OR('Base Encuesta'!Z345="",IFERROR(VALUE(LEFT('Base Encuesta'!K345,1)),"")&gt;=3),"",VALUE(LEFT('Base Encuesta'!Z345,1)))</f>
        <v/>
      </c>
      <c r="T371" t="str">
        <f>IF(OR('Base Encuesta'!AA345="",IFERROR(VALUE(LEFT('Base Encuesta'!K345,1)),"")&gt;=3),"",VALUE(LEFT('Base Encuesta'!AA345,1)))</f>
        <v/>
      </c>
      <c r="U371" t="str">
        <f>IF(OR('Base Encuesta'!AB345="",IFERROR(VALUE(LEFT('Base Encuesta'!K345,1)),"")&gt;=3),"",VALUE(LEFT('Base Encuesta'!AB345,1)))</f>
        <v/>
      </c>
      <c r="V371" t="str">
        <f>IF(OR('Base Encuesta'!AC345="",IFERROR(VALUE(LEFT('Base Encuesta'!K345,1)),"")&gt;=3),"",VALUE(LEFT('Base Encuesta'!AC345,1)))</f>
        <v/>
      </c>
      <c r="W371" t="str">
        <f>IF(OR('Base Encuesta'!AE345="",IFERROR(VALUE(LEFT('Base Encuesta'!K345,1)),"")&gt;=3),"",VALUE(LEFT('Base Encuesta'!AE345,1)))</f>
        <v/>
      </c>
      <c r="X371" t="str">
        <f>IF(OR('Base Encuesta'!AF345="",IFERROR(VALUE(LEFT('Base Encuesta'!K345,1)),"")&gt;=3),"",IF(W371=1,VALUE(LEFT('Base Encuesta'!AF345,1)),""))</f>
        <v/>
      </c>
      <c r="Y371" t="str">
        <f>IF(OR('Base Encuesta'!AG345="",IFERROR(VALUE(LEFT('Base Encuesta'!K345,1)),"")&gt;=3),"",IF(W371=1,VALUE(LEFT('Base Encuesta'!AG345,1)),""))</f>
        <v/>
      </c>
      <c r="Z371" t="str">
        <f>IF(OR('Base Encuesta'!AH345="",IFERROR(VALUE(LEFT('Base Encuesta'!K345,1)),"")&gt;=3),"",IF(W371=1,VALUE(LEFT('Base Encuesta'!AH345,1)),""))</f>
        <v/>
      </c>
      <c r="AA371" t="str">
        <f>IF(OR('Base Encuesta'!AI345="",IFERROR(VALUE(LEFT('Base Encuesta'!K345,1)),"")&gt;=3),"",IF(W371=1,VALUE(LEFT('Base Encuesta'!AI345,1)),""))</f>
        <v/>
      </c>
      <c r="AB371" t="str">
        <f>IF(OR('Base Encuesta'!AJ345="",IFERROR(VALUE(LEFT('Base Encuesta'!K345,1)),"")&gt;=3),"",IF(W371=1,VALUE(LEFT('Base Encuesta'!AJ345,1)),""))</f>
        <v/>
      </c>
      <c r="AC371" t="str">
        <f>IF(OR('Base Encuesta'!AL345="",IFERROR(VALUE(LEFT('Base Encuesta'!K345,1)),"")&gt;=3),"",VALUE(LEFT('Base Encuesta'!AL345,1)))</f>
        <v/>
      </c>
      <c r="AD371" t="str">
        <f>IF(OR('Base Encuesta'!AM345="",IFERROR(VALUE(LEFT('Base Encuesta'!K345,1)),"")&gt;=3),"",VALUE(LEFT('Base Encuesta'!AM345,1)))</f>
        <v/>
      </c>
      <c r="AE371" t="str">
        <f>IF(OR('Base Encuesta'!AN345="",IFERROR(VALUE(LEFT('Base Encuesta'!K345,1)),"")&gt;=3),"",VALUE(LEFT('Base Encuesta'!AN345,1)))</f>
        <v/>
      </c>
      <c r="AF371" t="str">
        <f>IF(OR('Base Encuesta'!AO345="",IFERROR(VALUE(LEFT('Base Encuesta'!K345,1)),"")&gt;=3),"",VALUE(LEFT('Base Encuesta'!AO345,1)))</f>
        <v/>
      </c>
      <c r="AG371" t="str">
        <f>IF(OR('Base Encuesta'!AQ345="",IFERROR(VALUE(LEFT('Base Encuesta'!K345,1)),"")&gt;=3),"",VALUE(LEFT('Base Encuesta'!AQ345,1)))</f>
        <v/>
      </c>
      <c r="AH371" t="str">
        <f>IF(OR('Base Encuesta'!AR345="",IFERROR(VALUE(LEFT('Base Encuesta'!K345,1)),"")&gt;=3),"",VALUE(LEFT('Base Encuesta'!AR345,1)))</f>
        <v/>
      </c>
    </row>
    <row r="372" spans="1:34">
      <c r="A372" t="str">
        <f>IF('Base Encuesta'!C346="","",'Base Encuesta'!C346)</f>
        <v/>
      </c>
      <c r="B372" t="str">
        <f>IF('Base Encuesta'!D346="","",'Base Encuesta'!D346)</f>
        <v/>
      </c>
      <c r="C372" t="str">
        <f>IF('Base Encuesta'!E346="","",'Base Encuesta'!E346)</f>
        <v/>
      </c>
      <c r="D372" t="str">
        <f>IF('Base Encuesta'!F346="","",'Base Encuesta'!F346)</f>
        <v/>
      </c>
      <c r="E372" t="str">
        <f>IF('Base Encuesta'!G346="","",'Base Encuesta'!G346)</f>
        <v/>
      </c>
      <c r="F372" t="str">
        <f>IF('Base Encuesta'!H346="","",'Base Encuesta'!H346)</f>
        <v/>
      </c>
      <c r="G372" t="str">
        <f>IF('Base Encuesta'!I346="","",'Base Encuesta'!I346)</f>
        <v/>
      </c>
      <c r="H372" t="str">
        <f>IF('Base Encuesta'!J346="","",'Base Encuesta'!J346)</f>
        <v/>
      </c>
      <c r="I372" t="str">
        <f>IF('Base Encuesta'!K346="","",'Base Encuesta'!K346)</f>
        <v/>
      </c>
      <c r="J372" t="str">
        <f>IF(OR('Base Encuesta'!P346="",IFERROR(VALUE(LEFT('Base Encuesta'!K346,1)),"")&gt;=3),"",PROPER(TRIM('Base Encuesta'!P346)))</f>
        <v/>
      </c>
      <c r="K372" t="str">
        <f>IF(OR('Base Encuesta'!Q346="",IFERROR(VALUE(LEFT('Base Encuesta'!K346,1)),"")&gt;=3),"",'Base Encuesta'!Q346)</f>
        <v/>
      </c>
      <c r="L372" t="str">
        <f>IF(OR('Base Encuesta'!R346="",IFERROR(VALUE(LEFT('Base Encuesta'!K346,1)),"")&gt;=3),"",VALUE(LEFT('Base Encuesta'!R346,1)))</f>
        <v/>
      </c>
      <c r="M372" t="str">
        <f>IF(OR('Base Encuesta'!S346="",IFERROR(VALUE(LEFT('Base Encuesta'!K346,1)),"")&gt;=3),"",VALUE(LEFT('Base Encuesta'!S346,1)))</f>
        <v/>
      </c>
      <c r="N372" t="str">
        <f>IF(OR('Base Encuesta'!T346="",IFERROR(VALUE(LEFT('Base Encuesta'!K346,1)),"")&gt;=3),"",VALUE(LEFT('Base Encuesta'!T346,1)))</f>
        <v/>
      </c>
      <c r="O372" t="str">
        <f>IF(OR('Base Encuesta'!V346="",IFERROR(VALUE(LEFT('Base Encuesta'!K346,1)),"")&gt;=3),"",VALUE(LEFT('Base Encuesta'!V346,1)))</f>
        <v/>
      </c>
      <c r="P372" t="str">
        <f>IF(OR('Base Encuesta'!W346="",IFERROR(VALUE(LEFT('Base Encuesta'!K346,1)),"")&gt;=3),"",VALUE(LEFT('Base Encuesta'!W346,1)))</f>
        <v/>
      </c>
      <c r="Q372" t="str">
        <f>IF(OR('Base Encuesta'!X346="",IFERROR(VALUE(LEFT('Base Encuesta'!K346,1)),"")&gt;=3),"",VALUE(LEFT('Base Encuesta'!X346,1)))</f>
        <v/>
      </c>
      <c r="R372" t="str">
        <f>IF(OR('Base Encuesta'!Y346="",IFERROR(VALUE(LEFT('Base Encuesta'!K346,1)),"")&gt;=3),"",VALUE(LEFT('Base Encuesta'!Y346,1)))</f>
        <v/>
      </c>
      <c r="S372" t="str">
        <f>IF(OR('Base Encuesta'!Z346="",IFERROR(VALUE(LEFT('Base Encuesta'!K346,1)),"")&gt;=3),"",VALUE(LEFT('Base Encuesta'!Z346,1)))</f>
        <v/>
      </c>
      <c r="T372" t="str">
        <f>IF(OR('Base Encuesta'!AA346="",IFERROR(VALUE(LEFT('Base Encuesta'!K346,1)),"")&gt;=3),"",VALUE(LEFT('Base Encuesta'!AA346,1)))</f>
        <v/>
      </c>
      <c r="U372" t="str">
        <f>IF(OR('Base Encuesta'!AB346="",IFERROR(VALUE(LEFT('Base Encuesta'!K346,1)),"")&gt;=3),"",VALUE(LEFT('Base Encuesta'!AB346,1)))</f>
        <v/>
      </c>
      <c r="V372" t="str">
        <f>IF(OR('Base Encuesta'!AC346="",IFERROR(VALUE(LEFT('Base Encuesta'!K346,1)),"")&gt;=3),"",VALUE(LEFT('Base Encuesta'!AC346,1)))</f>
        <v/>
      </c>
      <c r="W372" t="str">
        <f>IF(OR('Base Encuesta'!AE346="",IFERROR(VALUE(LEFT('Base Encuesta'!K346,1)),"")&gt;=3),"",VALUE(LEFT('Base Encuesta'!AE346,1)))</f>
        <v/>
      </c>
      <c r="X372" t="str">
        <f>IF(OR('Base Encuesta'!AF346="",IFERROR(VALUE(LEFT('Base Encuesta'!K346,1)),"")&gt;=3),"",IF(W372=1,VALUE(LEFT('Base Encuesta'!AF346,1)),""))</f>
        <v/>
      </c>
      <c r="Y372" t="str">
        <f>IF(OR('Base Encuesta'!AG346="",IFERROR(VALUE(LEFT('Base Encuesta'!K346,1)),"")&gt;=3),"",IF(W372=1,VALUE(LEFT('Base Encuesta'!AG346,1)),""))</f>
        <v/>
      </c>
      <c r="Z372" t="str">
        <f>IF(OR('Base Encuesta'!AH346="",IFERROR(VALUE(LEFT('Base Encuesta'!K346,1)),"")&gt;=3),"",IF(W372=1,VALUE(LEFT('Base Encuesta'!AH346,1)),""))</f>
        <v/>
      </c>
      <c r="AA372" t="str">
        <f>IF(OR('Base Encuesta'!AI346="",IFERROR(VALUE(LEFT('Base Encuesta'!K346,1)),"")&gt;=3),"",IF(W372=1,VALUE(LEFT('Base Encuesta'!AI346,1)),""))</f>
        <v/>
      </c>
      <c r="AB372" t="str">
        <f>IF(OR('Base Encuesta'!AJ346="",IFERROR(VALUE(LEFT('Base Encuesta'!K346,1)),"")&gt;=3),"",IF(W372=1,VALUE(LEFT('Base Encuesta'!AJ346,1)),""))</f>
        <v/>
      </c>
      <c r="AC372" t="str">
        <f>IF(OR('Base Encuesta'!AL346="",IFERROR(VALUE(LEFT('Base Encuesta'!K346,1)),"")&gt;=3),"",VALUE(LEFT('Base Encuesta'!AL346,1)))</f>
        <v/>
      </c>
      <c r="AD372" t="str">
        <f>IF(OR('Base Encuesta'!AM346="",IFERROR(VALUE(LEFT('Base Encuesta'!K346,1)),"")&gt;=3),"",VALUE(LEFT('Base Encuesta'!AM346,1)))</f>
        <v/>
      </c>
      <c r="AE372" t="str">
        <f>IF(OR('Base Encuesta'!AN346="",IFERROR(VALUE(LEFT('Base Encuesta'!K346,1)),"")&gt;=3),"",VALUE(LEFT('Base Encuesta'!AN346,1)))</f>
        <v/>
      </c>
      <c r="AF372" t="str">
        <f>IF(OR('Base Encuesta'!AO346="",IFERROR(VALUE(LEFT('Base Encuesta'!K346,1)),"")&gt;=3),"",VALUE(LEFT('Base Encuesta'!AO346,1)))</f>
        <v/>
      </c>
      <c r="AG372" t="str">
        <f>IF(OR('Base Encuesta'!AQ346="",IFERROR(VALUE(LEFT('Base Encuesta'!K346,1)),"")&gt;=3),"",VALUE(LEFT('Base Encuesta'!AQ346,1)))</f>
        <v/>
      </c>
      <c r="AH372" t="str">
        <f>IF(OR('Base Encuesta'!AR346="",IFERROR(VALUE(LEFT('Base Encuesta'!K346,1)),"")&gt;=3),"",VALUE(LEFT('Base Encuesta'!AR346,1)))</f>
        <v/>
      </c>
    </row>
    <row r="373" spans="1:34">
      <c r="A373" t="str">
        <f>IF('Base Encuesta'!C347="","",'Base Encuesta'!C347)</f>
        <v/>
      </c>
      <c r="B373" t="str">
        <f>IF('Base Encuesta'!D347="","",'Base Encuesta'!D347)</f>
        <v/>
      </c>
      <c r="C373" t="str">
        <f>IF('Base Encuesta'!E347="","",'Base Encuesta'!E347)</f>
        <v/>
      </c>
      <c r="D373" t="str">
        <f>IF('Base Encuesta'!F347="","",'Base Encuesta'!F347)</f>
        <v/>
      </c>
      <c r="E373" t="str">
        <f>IF('Base Encuesta'!G347="","",'Base Encuesta'!G347)</f>
        <v/>
      </c>
      <c r="F373" t="str">
        <f>IF('Base Encuesta'!H347="","",'Base Encuesta'!H347)</f>
        <v/>
      </c>
      <c r="G373" t="str">
        <f>IF('Base Encuesta'!I347="","",'Base Encuesta'!I347)</f>
        <v/>
      </c>
      <c r="H373" t="str">
        <f>IF('Base Encuesta'!J347="","",'Base Encuesta'!J347)</f>
        <v/>
      </c>
      <c r="I373" t="str">
        <f>IF('Base Encuesta'!K347="","",'Base Encuesta'!K347)</f>
        <v/>
      </c>
      <c r="J373" t="str">
        <f>IF(OR('Base Encuesta'!P347="",IFERROR(VALUE(LEFT('Base Encuesta'!K347,1)),"")&gt;=3),"",PROPER(TRIM('Base Encuesta'!P347)))</f>
        <v/>
      </c>
      <c r="K373" t="str">
        <f>IF(OR('Base Encuesta'!Q347="",IFERROR(VALUE(LEFT('Base Encuesta'!K347,1)),"")&gt;=3),"",'Base Encuesta'!Q347)</f>
        <v/>
      </c>
      <c r="L373" t="str">
        <f>IF(OR('Base Encuesta'!R347="",IFERROR(VALUE(LEFT('Base Encuesta'!K347,1)),"")&gt;=3),"",VALUE(LEFT('Base Encuesta'!R347,1)))</f>
        <v/>
      </c>
      <c r="M373" t="str">
        <f>IF(OR('Base Encuesta'!S347="",IFERROR(VALUE(LEFT('Base Encuesta'!K347,1)),"")&gt;=3),"",VALUE(LEFT('Base Encuesta'!S347,1)))</f>
        <v/>
      </c>
      <c r="N373" t="str">
        <f>IF(OR('Base Encuesta'!T347="",IFERROR(VALUE(LEFT('Base Encuesta'!K347,1)),"")&gt;=3),"",VALUE(LEFT('Base Encuesta'!T347,1)))</f>
        <v/>
      </c>
      <c r="O373" t="str">
        <f>IF(OR('Base Encuesta'!V347="",IFERROR(VALUE(LEFT('Base Encuesta'!K347,1)),"")&gt;=3),"",VALUE(LEFT('Base Encuesta'!V347,1)))</f>
        <v/>
      </c>
      <c r="P373" t="str">
        <f>IF(OR('Base Encuesta'!W347="",IFERROR(VALUE(LEFT('Base Encuesta'!K347,1)),"")&gt;=3),"",VALUE(LEFT('Base Encuesta'!W347,1)))</f>
        <v/>
      </c>
      <c r="Q373" t="str">
        <f>IF(OR('Base Encuesta'!X347="",IFERROR(VALUE(LEFT('Base Encuesta'!K347,1)),"")&gt;=3),"",VALUE(LEFT('Base Encuesta'!X347,1)))</f>
        <v/>
      </c>
      <c r="R373" t="str">
        <f>IF(OR('Base Encuesta'!Y347="",IFERROR(VALUE(LEFT('Base Encuesta'!K347,1)),"")&gt;=3),"",VALUE(LEFT('Base Encuesta'!Y347,1)))</f>
        <v/>
      </c>
      <c r="S373" t="str">
        <f>IF(OR('Base Encuesta'!Z347="",IFERROR(VALUE(LEFT('Base Encuesta'!K347,1)),"")&gt;=3),"",VALUE(LEFT('Base Encuesta'!Z347,1)))</f>
        <v/>
      </c>
      <c r="T373" t="str">
        <f>IF(OR('Base Encuesta'!AA347="",IFERROR(VALUE(LEFT('Base Encuesta'!K347,1)),"")&gt;=3),"",VALUE(LEFT('Base Encuesta'!AA347,1)))</f>
        <v/>
      </c>
      <c r="U373" t="str">
        <f>IF(OR('Base Encuesta'!AB347="",IFERROR(VALUE(LEFT('Base Encuesta'!K347,1)),"")&gt;=3),"",VALUE(LEFT('Base Encuesta'!AB347,1)))</f>
        <v/>
      </c>
      <c r="V373" t="str">
        <f>IF(OR('Base Encuesta'!AC347="",IFERROR(VALUE(LEFT('Base Encuesta'!K347,1)),"")&gt;=3),"",VALUE(LEFT('Base Encuesta'!AC347,1)))</f>
        <v/>
      </c>
      <c r="W373" t="str">
        <f>IF(OR('Base Encuesta'!AE347="",IFERROR(VALUE(LEFT('Base Encuesta'!K347,1)),"")&gt;=3),"",VALUE(LEFT('Base Encuesta'!AE347,1)))</f>
        <v/>
      </c>
      <c r="X373" t="str">
        <f>IF(OR('Base Encuesta'!AF347="",IFERROR(VALUE(LEFT('Base Encuesta'!K347,1)),"")&gt;=3),"",IF(W373=1,VALUE(LEFT('Base Encuesta'!AF347,1)),""))</f>
        <v/>
      </c>
      <c r="Y373" t="str">
        <f>IF(OR('Base Encuesta'!AG347="",IFERROR(VALUE(LEFT('Base Encuesta'!K347,1)),"")&gt;=3),"",IF(W373=1,VALUE(LEFT('Base Encuesta'!AG347,1)),""))</f>
        <v/>
      </c>
      <c r="Z373" t="str">
        <f>IF(OR('Base Encuesta'!AH347="",IFERROR(VALUE(LEFT('Base Encuesta'!K347,1)),"")&gt;=3),"",IF(W373=1,VALUE(LEFT('Base Encuesta'!AH347,1)),""))</f>
        <v/>
      </c>
      <c r="AA373" t="str">
        <f>IF(OR('Base Encuesta'!AI347="",IFERROR(VALUE(LEFT('Base Encuesta'!K347,1)),"")&gt;=3),"",IF(W373=1,VALUE(LEFT('Base Encuesta'!AI347,1)),""))</f>
        <v/>
      </c>
      <c r="AB373" t="str">
        <f>IF(OR('Base Encuesta'!AJ347="",IFERROR(VALUE(LEFT('Base Encuesta'!K347,1)),"")&gt;=3),"",IF(W373=1,VALUE(LEFT('Base Encuesta'!AJ347,1)),""))</f>
        <v/>
      </c>
      <c r="AC373" t="str">
        <f>IF(OR('Base Encuesta'!AL347="",IFERROR(VALUE(LEFT('Base Encuesta'!K347,1)),"")&gt;=3),"",VALUE(LEFT('Base Encuesta'!AL347,1)))</f>
        <v/>
      </c>
      <c r="AD373" t="str">
        <f>IF(OR('Base Encuesta'!AM347="",IFERROR(VALUE(LEFT('Base Encuesta'!K347,1)),"")&gt;=3),"",VALUE(LEFT('Base Encuesta'!AM347,1)))</f>
        <v/>
      </c>
      <c r="AE373" t="str">
        <f>IF(OR('Base Encuesta'!AN347="",IFERROR(VALUE(LEFT('Base Encuesta'!K347,1)),"")&gt;=3),"",VALUE(LEFT('Base Encuesta'!AN347,1)))</f>
        <v/>
      </c>
      <c r="AF373" t="str">
        <f>IF(OR('Base Encuesta'!AO347="",IFERROR(VALUE(LEFT('Base Encuesta'!K347,1)),"")&gt;=3),"",VALUE(LEFT('Base Encuesta'!AO347,1)))</f>
        <v/>
      </c>
      <c r="AG373" t="str">
        <f>IF(OR('Base Encuesta'!AQ347="",IFERROR(VALUE(LEFT('Base Encuesta'!K347,1)),"")&gt;=3),"",VALUE(LEFT('Base Encuesta'!AQ347,1)))</f>
        <v/>
      </c>
      <c r="AH373" t="str">
        <f>IF(OR('Base Encuesta'!AR347="",IFERROR(VALUE(LEFT('Base Encuesta'!K347,1)),"")&gt;=3),"",VALUE(LEFT('Base Encuesta'!AR347,1)))</f>
        <v/>
      </c>
    </row>
    <row r="374" spans="1:34">
      <c r="A374" t="str">
        <f>IF('Base Encuesta'!C348="","",'Base Encuesta'!C348)</f>
        <v/>
      </c>
      <c r="B374" t="str">
        <f>IF('Base Encuesta'!D348="","",'Base Encuesta'!D348)</f>
        <v/>
      </c>
      <c r="C374" t="str">
        <f>IF('Base Encuesta'!E348="","",'Base Encuesta'!E348)</f>
        <v/>
      </c>
      <c r="D374" t="str">
        <f>IF('Base Encuesta'!F348="","",'Base Encuesta'!F348)</f>
        <v/>
      </c>
      <c r="E374" t="str">
        <f>IF('Base Encuesta'!G348="","",'Base Encuesta'!G348)</f>
        <v/>
      </c>
      <c r="F374" t="str">
        <f>IF('Base Encuesta'!H348="","",'Base Encuesta'!H348)</f>
        <v/>
      </c>
      <c r="G374" t="str">
        <f>IF('Base Encuesta'!I348="","",'Base Encuesta'!I348)</f>
        <v/>
      </c>
      <c r="H374" t="str">
        <f>IF('Base Encuesta'!J348="","",'Base Encuesta'!J348)</f>
        <v/>
      </c>
      <c r="I374" t="str">
        <f>IF('Base Encuesta'!K348="","",'Base Encuesta'!K348)</f>
        <v/>
      </c>
      <c r="J374" t="str">
        <f>IF(OR('Base Encuesta'!P348="",IFERROR(VALUE(LEFT('Base Encuesta'!K348,1)),"")&gt;=3),"",PROPER(TRIM('Base Encuesta'!P348)))</f>
        <v/>
      </c>
      <c r="K374" t="str">
        <f>IF(OR('Base Encuesta'!Q348="",IFERROR(VALUE(LEFT('Base Encuesta'!K348,1)),"")&gt;=3),"",'Base Encuesta'!Q348)</f>
        <v/>
      </c>
      <c r="L374" t="str">
        <f>IF(OR('Base Encuesta'!R348="",IFERROR(VALUE(LEFT('Base Encuesta'!K348,1)),"")&gt;=3),"",VALUE(LEFT('Base Encuesta'!R348,1)))</f>
        <v/>
      </c>
      <c r="M374" t="str">
        <f>IF(OR('Base Encuesta'!S348="",IFERROR(VALUE(LEFT('Base Encuesta'!K348,1)),"")&gt;=3),"",VALUE(LEFT('Base Encuesta'!S348,1)))</f>
        <v/>
      </c>
      <c r="N374" t="str">
        <f>IF(OR('Base Encuesta'!T348="",IFERROR(VALUE(LEFT('Base Encuesta'!K348,1)),"")&gt;=3),"",VALUE(LEFT('Base Encuesta'!T348,1)))</f>
        <v/>
      </c>
      <c r="O374" t="str">
        <f>IF(OR('Base Encuesta'!V348="",IFERROR(VALUE(LEFT('Base Encuesta'!K348,1)),"")&gt;=3),"",VALUE(LEFT('Base Encuesta'!V348,1)))</f>
        <v/>
      </c>
      <c r="P374" t="str">
        <f>IF(OR('Base Encuesta'!W348="",IFERROR(VALUE(LEFT('Base Encuesta'!K348,1)),"")&gt;=3),"",VALUE(LEFT('Base Encuesta'!W348,1)))</f>
        <v/>
      </c>
      <c r="Q374" t="str">
        <f>IF(OR('Base Encuesta'!X348="",IFERROR(VALUE(LEFT('Base Encuesta'!K348,1)),"")&gt;=3),"",VALUE(LEFT('Base Encuesta'!X348,1)))</f>
        <v/>
      </c>
      <c r="R374" t="str">
        <f>IF(OR('Base Encuesta'!Y348="",IFERROR(VALUE(LEFT('Base Encuesta'!K348,1)),"")&gt;=3),"",VALUE(LEFT('Base Encuesta'!Y348,1)))</f>
        <v/>
      </c>
      <c r="S374" t="str">
        <f>IF(OR('Base Encuesta'!Z348="",IFERROR(VALUE(LEFT('Base Encuesta'!K348,1)),"")&gt;=3),"",VALUE(LEFT('Base Encuesta'!Z348,1)))</f>
        <v/>
      </c>
      <c r="T374" t="str">
        <f>IF(OR('Base Encuesta'!AA348="",IFERROR(VALUE(LEFT('Base Encuesta'!K348,1)),"")&gt;=3),"",VALUE(LEFT('Base Encuesta'!AA348,1)))</f>
        <v/>
      </c>
      <c r="U374" t="str">
        <f>IF(OR('Base Encuesta'!AB348="",IFERROR(VALUE(LEFT('Base Encuesta'!K348,1)),"")&gt;=3),"",VALUE(LEFT('Base Encuesta'!AB348,1)))</f>
        <v/>
      </c>
      <c r="V374" t="str">
        <f>IF(OR('Base Encuesta'!AC348="",IFERROR(VALUE(LEFT('Base Encuesta'!K348,1)),"")&gt;=3),"",VALUE(LEFT('Base Encuesta'!AC348,1)))</f>
        <v/>
      </c>
      <c r="W374" t="str">
        <f>IF(OR('Base Encuesta'!AE348="",IFERROR(VALUE(LEFT('Base Encuesta'!K348,1)),"")&gt;=3),"",VALUE(LEFT('Base Encuesta'!AE348,1)))</f>
        <v/>
      </c>
      <c r="X374" t="str">
        <f>IF(OR('Base Encuesta'!AF348="",IFERROR(VALUE(LEFT('Base Encuesta'!K348,1)),"")&gt;=3),"",IF(W374=1,VALUE(LEFT('Base Encuesta'!AF348,1)),""))</f>
        <v/>
      </c>
      <c r="Y374" t="str">
        <f>IF(OR('Base Encuesta'!AG348="",IFERROR(VALUE(LEFT('Base Encuesta'!K348,1)),"")&gt;=3),"",IF(W374=1,VALUE(LEFT('Base Encuesta'!AG348,1)),""))</f>
        <v/>
      </c>
      <c r="Z374" t="str">
        <f>IF(OR('Base Encuesta'!AH348="",IFERROR(VALUE(LEFT('Base Encuesta'!K348,1)),"")&gt;=3),"",IF(W374=1,VALUE(LEFT('Base Encuesta'!AH348,1)),""))</f>
        <v/>
      </c>
      <c r="AA374" t="str">
        <f>IF(OR('Base Encuesta'!AI348="",IFERROR(VALUE(LEFT('Base Encuesta'!K348,1)),"")&gt;=3),"",IF(W374=1,VALUE(LEFT('Base Encuesta'!AI348,1)),""))</f>
        <v/>
      </c>
      <c r="AB374" t="str">
        <f>IF(OR('Base Encuesta'!AJ348="",IFERROR(VALUE(LEFT('Base Encuesta'!K348,1)),"")&gt;=3),"",IF(W374=1,VALUE(LEFT('Base Encuesta'!AJ348,1)),""))</f>
        <v/>
      </c>
      <c r="AC374" t="str">
        <f>IF(OR('Base Encuesta'!AL348="",IFERROR(VALUE(LEFT('Base Encuesta'!K348,1)),"")&gt;=3),"",VALUE(LEFT('Base Encuesta'!AL348,1)))</f>
        <v/>
      </c>
      <c r="AD374" t="str">
        <f>IF(OR('Base Encuesta'!AM348="",IFERROR(VALUE(LEFT('Base Encuesta'!K348,1)),"")&gt;=3),"",VALUE(LEFT('Base Encuesta'!AM348,1)))</f>
        <v/>
      </c>
      <c r="AE374" t="str">
        <f>IF(OR('Base Encuesta'!AN348="",IFERROR(VALUE(LEFT('Base Encuesta'!K348,1)),"")&gt;=3),"",VALUE(LEFT('Base Encuesta'!AN348,1)))</f>
        <v/>
      </c>
      <c r="AF374" t="str">
        <f>IF(OR('Base Encuesta'!AO348="",IFERROR(VALUE(LEFT('Base Encuesta'!K348,1)),"")&gt;=3),"",VALUE(LEFT('Base Encuesta'!AO348,1)))</f>
        <v/>
      </c>
      <c r="AG374" t="str">
        <f>IF(OR('Base Encuesta'!AQ348="",IFERROR(VALUE(LEFT('Base Encuesta'!K348,1)),"")&gt;=3),"",VALUE(LEFT('Base Encuesta'!AQ348,1)))</f>
        <v/>
      </c>
      <c r="AH374" t="str">
        <f>IF(OR('Base Encuesta'!AR348="",IFERROR(VALUE(LEFT('Base Encuesta'!K348,1)),"")&gt;=3),"",VALUE(LEFT('Base Encuesta'!AR348,1)))</f>
        <v/>
      </c>
    </row>
    <row r="375" spans="1:34">
      <c r="A375" t="str">
        <f>IF('Base Encuesta'!C349="","",'Base Encuesta'!C349)</f>
        <v/>
      </c>
      <c r="B375" t="str">
        <f>IF('Base Encuesta'!D349="","",'Base Encuesta'!D349)</f>
        <v/>
      </c>
      <c r="C375" t="str">
        <f>IF('Base Encuesta'!E349="","",'Base Encuesta'!E349)</f>
        <v/>
      </c>
      <c r="D375" t="str">
        <f>IF('Base Encuesta'!F349="","",'Base Encuesta'!F349)</f>
        <v/>
      </c>
      <c r="E375" t="str">
        <f>IF('Base Encuesta'!G349="","",'Base Encuesta'!G349)</f>
        <v/>
      </c>
      <c r="F375" t="str">
        <f>IF('Base Encuesta'!H349="","",'Base Encuesta'!H349)</f>
        <v/>
      </c>
      <c r="G375" t="str">
        <f>IF('Base Encuesta'!I349="","",'Base Encuesta'!I349)</f>
        <v/>
      </c>
      <c r="H375" t="str">
        <f>IF('Base Encuesta'!J349="","",'Base Encuesta'!J349)</f>
        <v/>
      </c>
      <c r="I375" t="str">
        <f>IF('Base Encuesta'!K349="","",'Base Encuesta'!K349)</f>
        <v/>
      </c>
      <c r="J375" t="str">
        <f>IF(OR('Base Encuesta'!P349="",IFERROR(VALUE(LEFT('Base Encuesta'!K349,1)),"")&gt;=3),"",PROPER(TRIM('Base Encuesta'!P349)))</f>
        <v/>
      </c>
      <c r="K375" t="str">
        <f>IF(OR('Base Encuesta'!Q349="",IFERROR(VALUE(LEFT('Base Encuesta'!K349,1)),"")&gt;=3),"",'Base Encuesta'!Q349)</f>
        <v/>
      </c>
      <c r="L375" t="str">
        <f>IF(OR('Base Encuesta'!R349="",IFERROR(VALUE(LEFT('Base Encuesta'!K349,1)),"")&gt;=3),"",VALUE(LEFT('Base Encuesta'!R349,1)))</f>
        <v/>
      </c>
      <c r="M375" t="str">
        <f>IF(OR('Base Encuesta'!S349="",IFERROR(VALUE(LEFT('Base Encuesta'!K349,1)),"")&gt;=3),"",VALUE(LEFT('Base Encuesta'!S349,1)))</f>
        <v/>
      </c>
      <c r="N375" t="str">
        <f>IF(OR('Base Encuesta'!T349="",IFERROR(VALUE(LEFT('Base Encuesta'!K349,1)),"")&gt;=3),"",VALUE(LEFT('Base Encuesta'!T349,1)))</f>
        <v/>
      </c>
      <c r="O375" t="str">
        <f>IF(OR('Base Encuesta'!V349="",IFERROR(VALUE(LEFT('Base Encuesta'!K349,1)),"")&gt;=3),"",VALUE(LEFT('Base Encuesta'!V349,1)))</f>
        <v/>
      </c>
      <c r="P375" t="str">
        <f>IF(OR('Base Encuesta'!W349="",IFERROR(VALUE(LEFT('Base Encuesta'!K349,1)),"")&gt;=3),"",VALUE(LEFT('Base Encuesta'!W349,1)))</f>
        <v/>
      </c>
      <c r="Q375" t="str">
        <f>IF(OR('Base Encuesta'!X349="",IFERROR(VALUE(LEFT('Base Encuesta'!K349,1)),"")&gt;=3),"",VALUE(LEFT('Base Encuesta'!X349,1)))</f>
        <v/>
      </c>
      <c r="R375" t="str">
        <f>IF(OR('Base Encuesta'!Y349="",IFERROR(VALUE(LEFT('Base Encuesta'!K349,1)),"")&gt;=3),"",VALUE(LEFT('Base Encuesta'!Y349,1)))</f>
        <v/>
      </c>
      <c r="S375" t="str">
        <f>IF(OR('Base Encuesta'!Z349="",IFERROR(VALUE(LEFT('Base Encuesta'!K349,1)),"")&gt;=3),"",VALUE(LEFT('Base Encuesta'!Z349,1)))</f>
        <v/>
      </c>
      <c r="T375" t="str">
        <f>IF(OR('Base Encuesta'!AA349="",IFERROR(VALUE(LEFT('Base Encuesta'!K349,1)),"")&gt;=3),"",VALUE(LEFT('Base Encuesta'!AA349,1)))</f>
        <v/>
      </c>
      <c r="U375" t="str">
        <f>IF(OR('Base Encuesta'!AB349="",IFERROR(VALUE(LEFT('Base Encuesta'!K349,1)),"")&gt;=3),"",VALUE(LEFT('Base Encuesta'!AB349,1)))</f>
        <v/>
      </c>
      <c r="V375" t="str">
        <f>IF(OR('Base Encuesta'!AC349="",IFERROR(VALUE(LEFT('Base Encuesta'!K349,1)),"")&gt;=3),"",VALUE(LEFT('Base Encuesta'!AC349,1)))</f>
        <v/>
      </c>
      <c r="W375" t="str">
        <f>IF(OR('Base Encuesta'!AE349="",IFERROR(VALUE(LEFT('Base Encuesta'!K349,1)),"")&gt;=3),"",VALUE(LEFT('Base Encuesta'!AE349,1)))</f>
        <v/>
      </c>
      <c r="X375" t="str">
        <f>IF(OR('Base Encuesta'!AF349="",IFERROR(VALUE(LEFT('Base Encuesta'!K349,1)),"")&gt;=3),"",IF(W375=1,VALUE(LEFT('Base Encuesta'!AF349,1)),""))</f>
        <v/>
      </c>
      <c r="Y375" t="str">
        <f>IF(OR('Base Encuesta'!AG349="",IFERROR(VALUE(LEFT('Base Encuesta'!K349,1)),"")&gt;=3),"",IF(W375=1,VALUE(LEFT('Base Encuesta'!AG349,1)),""))</f>
        <v/>
      </c>
      <c r="Z375" t="str">
        <f>IF(OR('Base Encuesta'!AH349="",IFERROR(VALUE(LEFT('Base Encuesta'!K349,1)),"")&gt;=3),"",IF(W375=1,VALUE(LEFT('Base Encuesta'!AH349,1)),""))</f>
        <v/>
      </c>
      <c r="AA375" t="str">
        <f>IF(OR('Base Encuesta'!AI349="",IFERROR(VALUE(LEFT('Base Encuesta'!K349,1)),"")&gt;=3),"",IF(W375=1,VALUE(LEFT('Base Encuesta'!AI349,1)),""))</f>
        <v/>
      </c>
      <c r="AB375" t="str">
        <f>IF(OR('Base Encuesta'!AJ349="",IFERROR(VALUE(LEFT('Base Encuesta'!K349,1)),"")&gt;=3),"",IF(W375=1,VALUE(LEFT('Base Encuesta'!AJ349,1)),""))</f>
        <v/>
      </c>
      <c r="AC375" t="str">
        <f>IF(OR('Base Encuesta'!AL349="",IFERROR(VALUE(LEFT('Base Encuesta'!K349,1)),"")&gt;=3),"",VALUE(LEFT('Base Encuesta'!AL349,1)))</f>
        <v/>
      </c>
      <c r="AD375" t="str">
        <f>IF(OR('Base Encuesta'!AM349="",IFERROR(VALUE(LEFT('Base Encuesta'!K349,1)),"")&gt;=3),"",VALUE(LEFT('Base Encuesta'!AM349,1)))</f>
        <v/>
      </c>
      <c r="AE375" t="str">
        <f>IF(OR('Base Encuesta'!AN349="",IFERROR(VALUE(LEFT('Base Encuesta'!K349,1)),"")&gt;=3),"",VALUE(LEFT('Base Encuesta'!AN349,1)))</f>
        <v/>
      </c>
      <c r="AF375" t="str">
        <f>IF(OR('Base Encuesta'!AO349="",IFERROR(VALUE(LEFT('Base Encuesta'!K349,1)),"")&gt;=3),"",VALUE(LEFT('Base Encuesta'!AO349,1)))</f>
        <v/>
      </c>
      <c r="AG375" t="str">
        <f>IF(OR('Base Encuesta'!AQ349="",IFERROR(VALUE(LEFT('Base Encuesta'!K349,1)),"")&gt;=3),"",VALUE(LEFT('Base Encuesta'!AQ349,1)))</f>
        <v/>
      </c>
      <c r="AH375" t="str">
        <f>IF(OR('Base Encuesta'!AR349="",IFERROR(VALUE(LEFT('Base Encuesta'!K349,1)),"")&gt;=3),"",VALUE(LEFT('Base Encuesta'!AR349,1)))</f>
        <v/>
      </c>
    </row>
    <row r="376" spans="1:34">
      <c r="A376" t="str">
        <f>IF('Base Encuesta'!C350="","",'Base Encuesta'!C350)</f>
        <v/>
      </c>
      <c r="B376" t="str">
        <f>IF('Base Encuesta'!D350="","",'Base Encuesta'!D350)</f>
        <v/>
      </c>
      <c r="C376" t="str">
        <f>IF('Base Encuesta'!E350="","",'Base Encuesta'!E350)</f>
        <v/>
      </c>
      <c r="D376" t="str">
        <f>IF('Base Encuesta'!F350="","",'Base Encuesta'!F350)</f>
        <v/>
      </c>
      <c r="E376" t="str">
        <f>IF('Base Encuesta'!G350="","",'Base Encuesta'!G350)</f>
        <v/>
      </c>
      <c r="F376" t="str">
        <f>IF('Base Encuesta'!H350="","",'Base Encuesta'!H350)</f>
        <v/>
      </c>
      <c r="G376" t="str">
        <f>IF('Base Encuesta'!I350="","",'Base Encuesta'!I350)</f>
        <v/>
      </c>
      <c r="H376" t="str">
        <f>IF('Base Encuesta'!J350="","",'Base Encuesta'!J350)</f>
        <v/>
      </c>
      <c r="I376" t="str">
        <f>IF('Base Encuesta'!K350="","",'Base Encuesta'!K350)</f>
        <v/>
      </c>
      <c r="J376" t="str">
        <f>IF(OR('Base Encuesta'!P350="",IFERROR(VALUE(LEFT('Base Encuesta'!K350,1)),"")&gt;=3),"",PROPER(TRIM('Base Encuesta'!P350)))</f>
        <v/>
      </c>
      <c r="K376" t="str">
        <f>IF(OR('Base Encuesta'!Q350="",IFERROR(VALUE(LEFT('Base Encuesta'!K350,1)),"")&gt;=3),"",'Base Encuesta'!Q350)</f>
        <v/>
      </c>
      <c r="L376" t="str">
        <f>IF(OR('Base Encuesta'!R350="",IFERROR(VALUE(LEFT('Base Encuesta'!K350,1)),"")&gt;=3),"",VALUE(LEFT('Base Encuesta'!R350,1)))</f>
        <v/>
      </c>
      <c r="M376" t="str">
        <f>IF(OR('Base Encuesta'!S350="",IFERROR(VALUE(LEFT('Base Encuesta'!K350,1)),"")&gt;=3),"",VALUE(LEFT('Base Encuesta'!S350,1)))</f>
        <v/>
      </c>
      <c r="N376" t="str">
        <f>IF(OR('Base Encuesta'!T350="",IFERROR(VALUE(LEFT('Base Encuesta'!K350,1)),"")&gt;=3),"",VALUE(LEFT('Base Encuesta'!T350,1)))</f>
        <v/>
      </c>
      <c r="O376" t="str">
        <f>IF(OR('Base Encuesta'!V350="",IFERROR(VALUE(LEFT('Base Encuesta'!K350,1)),"")&gt;=3),"",VALUE(LEFT('Base Encuesta'!V350,1)))</f>
        <v/>
      </c>
      <c r="P376" t="str">
        <f>IF(OR('Base Encuesta'!W350="",IFERROR(VALUE(LEFT('Base Encuesta'!K350,1)),"")&gt;=3),"",VALUE(LEFT('Base Encuesta'!W350,1)))</f>
        <v/>
      </c>
      <c r="Q376" t="str">
        <f>IF(OR('Base Encuesta'!X350="",IFERROR(VALUE(LEFT('Base Encuesta'!K350,1)),"")&gt;=3),"",VALUE(LEFT('Base Encuesta'!X350,1)))</f>
        <v/>
      </c>
      <c r="R376" t="str">
        <f>IF(OR('Base Encuesta'!Y350="",IFERROR(VALUE(LEFT('Base Encuesta'!K350,1)),"")&gt;=3),"",VALUE(LEFT('Base Encuesta'!Y350,1)))</f>
        <v/>
      </c>
      <c r="S376" t="str">
        <f>IF(OR('Base Encuesta'!Z350="",IFERROR(VALUE(LEFT('Base Encuesta'!K350,1)),"")&gt;=3),"",VALUE(LEFT('Base Encuesta'!Z350,1)))</f>
        <v/>
      </c>
      <c r="T376" t="str">
        <f>IF(OR('Base Encuesta'!AA350="",IFERROR(VALUE(LEFT('Base Encuesta'!K350,1)),"")&gt;=3),"",VALUE(LEFT('Base Encuesta'!AA350,1)))</f>
        <v/>
      </c>
      <c r="U376" t="str">
        <f>IF(OR('Base Encuesta'!AB350="",IFERROR(VALUE(LEFT('Base Encuesta'!K350,1)),"")&gt;=3),"",VALUE(LEFT('Base Encuesta'!AB350,1)))</f>
        <v/>
      </c>
      <c r="V376" t="str">
        <f>IF(OR('Base Encuesta'!AC350="",IFERROR(VALUE(LEFT('Base Encuesta'!K350,1)),"")&gt;=3),"",VALUE(LEFT('Base Encuesta'!AC350,1)))</f>
        <v/>
      </c>
      <c r="W376" t="str">
        <f>IF(OR('Base Encuesta'!AE350="",IFERROR(VALUE(LEFT('Base Encuesta'!K350,1)),"")&gt;=3),"",VALUE(LEFT('Base Encuesta'!AE350,1)))</f>
        <v/>
      </c>
      <c r="X376" t="str">
        <f>IF(OR('Base Encuesta'!AF350="",IFERROR(VALUE(LEFT('Base Encuesta'!K350,1)),"")&gt;=3),"",IF(W376=1,VALUE(LEFT('Base Encuesta'!AF350,1)),""))</f>
        <v/>
      </c>
      <c r="Y376" t="str">
        <f>IF(OR('Base Encuesta'!AG350="",IFERROR(VALUE(LEFT('Base Encuesta'!K350,1)),"")&gt;=3),"",IF(W376=1,VALUE(LEFT('Base Encuesta'!AG350,1)),""))</f>
        <v/>
      </c>
      <c r="Z376" t="str">
        <f>IF(OR('Base Encuesta'!AH350="",IFERROR(VALUE(LEFT('Base Encuesta'!K350,1)),"")&gt;=3),"",IF(W376=1,VALUE(LEFT('Base Encuesta'!AH350,1)),""))</f>
        <v/>
      </c>
      <c r="AA376" t="str">
        <f>IF(OR('Base Encuesta'!AI350="",IFERROR(VALUE(LEFT('Base Encuesta'!K350,1)),"")&gt;=3),"",IF(W376=1,VALUE(LEFT('Base Encuesta'!AI350,1)),""))</f>
        <v/>
      </c>
      <c r="AB376" t="str">
        <f>IF(OR('Base Encuesta'!AJ350="",IFERROR(VALUE(LEFT('Base Encuesta'!K350,1)),"")&gt;=3),"",IF(W376=1,VALUE(LEFT('Base Encuesta'!AJ350,1)),""))</f>
        <v/>
      </c>
      <c r="AC376" t="str">
        <f>IF(OR('Base Encuesta'!AL350="",IFERROR(VALUE(LEFT('Base Encuesta'!K350,1)),"")&gt;=3),"",VALUE(LEFT('Base Encuesta'!AL350,1)))</f>
        <v/>
      </c>
      <c r="AD376" t="str">
        <f>IF(OR('Base Encuesta'!AM350="",IFERROR(VALUE(LEFT('Base Encuesta'!K350,1)),"")&gt;=3),"",VALUE(LEFT('Base Encuesta'!AM350,1)))</f>
        <v/>
      </c>
      <c r="AE376" t="str">
        <f>IF(OR('Base Encuesta'!AN350="",IFERROR(VALUE(LEFT('Base Encuesta'!K350,1)),"")&gt;=3),"",VALUE(LEFT('Base Encuesta'!AN350,1)))</f>
        <v/>
      </c>
      <c r="AF376" t="str">
        <f>IF(OR('Base Encuesta'!AO350="",IFERROR(VALUE(LEFT('Base Encuesta'!K350,1)),"")&gt;=3),"",VALUE(LEFT('Base Encuesta'!AO350,1)))</f>
        <v/>
      </c>
      <c r="AG376" t="str">
        <f>IF(OR('Base Encuesta'!AQ350="",IFERROR(VALUE(LEFT('Base Encuesta'!K350,1)),"")&gt;=3),"",VALUE(LEFT('Base Encuesta'!AQ350,1)))</f>
        <v/>
      </c>
      <c r="AH376" t="str">
        <f>IF(OR('Base Encuesta'!AR350="",IFERROR(VALUE(LEFT('Base Encuesta'!K350,1)),"")&gt;=3),"",VALUE(LEFT('Base Encuesta'!AR350,1)))</f>
        <v/>
      </c>
    </row>
    <row r="377" spans="1:34">
      <c r="A377" t="str">
        <f>IF('Base Encuesta'!C351="","",'Base Encuesta'!C351)</f>
        <v/>
      </c>
      <c r="B377" t="str">
        <f>IF('Base Encuesta'!D351="","",'Base Encuesta'!D351)</f>
        <v/>
      </c>
      <c r="C377" t="str">
        <f>IF('Base Encuesta'!E351="","",'Base Encuesta'!E351)</f>
        <v/>
      </c>
      <c r="D377" t="str">
        <f>IF('Base Encuesta'!F351="","",'Base Encuesta'!F351)</f>
        <v/>
      </c>
      <c r="E377" t="str">
        <f>IF('Base Encuesta'!G351="","",'Base Encuesta'!G351)</f>
        <v/>
      </c>
      <c r="F377" t="str">
        <f>IF('Base Encuesta'!H351="","",'Base Encuesta'!H351)</f>
        <v/>
      </c>
      <c r="G377" t="str">
        <f>IF('Base Encuesta'!I351="","",'Base Encuesta'!I351)</f>
        <v/>
      </c>
      <c r="H377" t="str">
        <f>IF('Base Encuesta'!J351="","",'Base Encuesta'!J351)</f>
        <v/>
      </c>
      <c r="I377" t="str">
        <f>IF('Base Encuesta'!K351="","",'Base Encuesta'!K351)</f>
        <v/>
      </c>
      <c r="J377" t="str">
        <f>IF(OR('Base Encuesta'!P351="",IFERROR(VALUE(LEFT('Base Encuesta'!K351,1)),"")&gt;=3),"",PROPER(TRIM('Base Encuesta'!P351)))</f>
        <v/>
      </c>
      <c r="K377" t="str">
        <f>IF(OR('Base Encuesta'!Q351="",IFERROR(VALUE(LEFT('Base Encuesta'!K351,1)),"")&gt;=3),"",'Base Encuesta'!Q351)</f>
        <v/>
      </c>
      <c r="L377" t="str">
        <f>IF(OR('Base Encuesta'!R351="",IFERROR(VALUE(LEFT('Base Encuesta'!K351,1)),"")&gt;=3),"",VALUE(LEFT('Base Encuesta'!R351,1)))</f>
        <v/>
      </c>
      <c r="M377" t="str">
        <f>IF(OR('Base Encuesta'!S351="",IFERROR(VALUE(LEFT('Base Encuesta'!K351,1)),"")&gt;=3),"",VALUE(LEFT('Base Encuesta'!S351,1)))</f>
        <v/>
      </c>
      <c r="N377" t="str">
        <f>IF(OR('Base Encuesta'!T351="",IFERROR(VALUE(LEFT('Base Encuesta'!K351,1)),"")&gt;=3),"",VALUE(LEFT('Base Encuesta'!T351,1)))</f>
        <v/>
      </c>
      <c r="O377" t="str">
        <f>IF(OR('Base Encuesta'!V351="",IFERROR(VALUE(LEFT('Base Encuesta'!K351,1)),"")&gt;=3),"",VALUE(LEFT('Base Encuesta'!V351,1)))</f>
        <v/>
      </c>
      <c r="P377" t="str">
        <f>IF(OR('Base Encuesta'!W351="",IFERROR(VALUE(LEFT('Base Encuesta'!K351,1)),"")&gt;=3),"",VALUE(LEFT('Base Encuesta'!W351,1)))</f>
        <v/>
      </c>
      <c r="Q377" t="str">
        <f>IF(OR('Base Encuesta'!X351="",IFERROR(VALUE(LEFT('Base Encuesta'!K351,1)),"")&gt;=3),"",VALUE(LEFT('Base Encuesta'!X351,1)))</f>
        <v/>
      </c>
      <c r="R377" t="str">
        <f>IF(OR('Base Encuesta'!Y351="",IFERROR(VALUE(LEFT('Base Encuesta'!K351,1)),"")&gt;=3),"",VALUE(LEFT('Base Encuesta'!Y351,1)))</f>
        <v/>
      </c>
      <c r="S377" t="str">
        <f>IF(OR('Base Encuesta'!Z351="",IFERROR(VALUE(LEFT('Base Encuesta'!K351,1)),"")&gt;=3),"",VALUE(LEFT('Base Encuesta'!Z351,1)))</f>
        <v/>
      </c>
      <c r="T377" t="str">
        <f>IF(OR('Base Encuesta'!AA351="",IFERROR(VALUE(LEFT('Base Encuesta'!K351,1)),"")&gt;=3),"",VALUE(LEFT('Base Encuesta'!AA351,1)))</f>
        <v/>
      </c>
      <c r="U377" t="str">
        <f>IF(OR('Base Encuesta'!AB351="",IFERROR(VALUE(LEFT('Base Encuesta'!K351,1)),"")&gt;=3),"",VALUE(LEFT('Base Encuesta'!AB351,1)))</f>
        <v/>
      </c>
      <c r="V377" t="str">
        <f>IF(OR('Base Encuesta'!AC351="",IFERROR(VALUE(LEFT('Base Encuesta'!K351,1)),"")&gt;=3),"",VALUE(LEFT('Base Encuesta'!AC351,1)))</f>
        <v/>
      </c>
      <c r="W377" t="str">
        <f>IF(OR('Base Encuesta'!AE351="",IFERROR(VALUE(LEFT('Base Encuesta'!K351,1)),"")&gt;=3),"",VALUE(LEFT('Base Encuesta'!AE351,1)))</f>
        <v/>
      </c>
      <c r="X377" t="str">
        <f>IF(OR('Base Encuesta'!AF351="",IFERROR(VALUE(LEFT('Base Encuesta'!K351,1)),"")&gt;=3),"",IF(W377=1,VALUE(LEFT('Base Encuesta'!AF351,1)),""))</f>
        <v/>
      </c>
      <c r="Y377" t="str">
        <f>IF(OR('Base Encuesta'!AG351="",IFERROR(VALUE(LEFT('Base Encuesta'!K351,1)),"")&gt;=3),"",IF(W377=1,VALUE(LEFT('Base Encuesta'!AG351,1)),""))</f>
        <v/>
      </c>
      <c r="Z377" t="str">
        <f>IF(OR('Base Encuesta'!AH351="",IFERROR(VALUE(LEFT('Base Encuesta'!K351,1)),"")&gt;=3),"",IF(W377=1,VALUE(LEFT('Base Encuesta'!AH351,1)),""))</f>
        <v/>
      </c>
      <c r="AA377" t="str">
        <f>IF(OR('Base Encuesta'!AI351="",IFERROR(VALUE(LEFT('Base Encuesta'!K351,1)),"")&gt;=3),"",IF(W377=1,VALUE(LEFT('Base Encuesta'!AI351,1)),""))</f>
        <v/>
      </c>
      <c r="AB377" t="str">
        <f>IF(OR('Base Encuesta'!AJ351="",IFERROR(VALUE(LEFT('Base Encuesta'!K351,1)),"")&gt;=3),"",IF(W377=1,VALUE(LEFT('Base Encuesta'!AJ351,1)),""))</f>
        <v/>
      </c>
      <c r="AC377" t="str">
        <f>IF(OR('Base Encuesta'!AL351="",IFERROR(VALUE(LEFT('Base Encuesta'!K351,1)),"")&gt;=3),"",VALUE(LEFT('Base Encuesta'!AL351,1)))</f>
        <v/>
      </c>
      <c r="AD377" t="str">
        <f>IF(OR('Base Encuesta'!AM351="",IFERROR(VALUE(LEFT('Base Encuesta'!K351,1)),"")&gt;=3),"",VALUE(LEFT('Base Encuesta'!AM351,1)))</f>
        <v/>
      </c>
      <c r="AE377" t="str">
        <f>IF(OR('Base Encuesta'!AN351="",IFERROR(VALUE(LEFT('Base Encuesta'!K351,1)),"")&gt;=3),"",VALUE(LEFT('Base Encuesta'!AN351,1)))</f>
        <v/>
      </c>
      <c r="AF377" t="str">
        <f>IF(OR('Base Encuesta'!AO351="",IFERROR(VALUE(LEFT('Base Encuesta'!K351,1)),"")&gt;=3),"",VALUE(LEFT('Base Encuesta'!AO351,1)))</f>
        <v/>
      </c>
      <c r="AG377" t="str">
        <f>IF(OR('Base Encuesta'!AQ351="",IFERROR(VALUE(LEFT('Base Encuesta'!K351,1)),"")&gt;=3),"",VALUE(LEFT('Base Encuesta'!AQ351,1)))</f>
        <v/>
      </c>
      <c r="AH377" t="str">
        <f>IF(OR('Base Encuesta'!AR351="",IFERROR(VALUE(LEFT('Base Encuesta'!K351,1)),"")&gt;=3),"",VALUE(LEFT('Base Encuesta'!AR351,1)))</f>
        <v/>
      </c>
    </row>
    <row r="378" spans="1:34">
      <c r="A378" t="str">
        <f>IF('Base Encuesta'!C352="","",'Base Encuesta'!C352)</f>
        <v/>
      </c>
      <c r="B378" t="str">
        <f>IF('Base Encuesta'!D352="","",'Base Encuesta'!D352)</f>
        <v/>
      </c>
      <c r="C378" t="str">
        <f>IF('Base Encuesta'!E352="","",'Base Encuesta'!E352)</f>
        <v/>
      </c>
      <c r="D378" t="str">
        <f>IF('Base Encuesta'!F352="","",'Base Encuesta'!F352)</f>
        <v/>
      </c>
      <c r="E378" t="str">
        <f>IF('Base Encuesta'!G352="","",'Base Encuesta'!G352)</f>
        <v/>
      </c>
      <c r="F378" t="str">
        <f>IF('Base Encuesta'!H352="","",'Base Encuesta'!H352)</f>
        <v/>
      </c>
      <c r="G378" t="str">
        <f>IF('Base Encuesta'!I352="","",'Base Encuesta'!I352)</f>
        <v/>
      </c>
      <c r="H378" t="str">
        <f>IF('Base Encuesta'!J352="","",'Base Encuesta'!J352)</f>
        <v/>
      </c>
      <c r="I378" t="str">
        <f>IF('Base Encuesta'!K352="","",'Base Encuesta'!K352)</f>
        <v/>
      </c>
      <c r="J378" t="str">
        <f>IF(OR('Base Encuesta'!P352="",IFERROR(VALUE(LEFT('Base Encuesta'!K352,1)),"")&gt;=3),"",PROPER(TRIM('Base Encuesta'!P352)))</f>
        <v/>
      </c>
      <c r="K378" t="str">
        <f>IF(OR('Base Encuesta'!Q352="",IFERROR(VALUE(LEFT('Base Encuesta'!K352,1)),"")&gt;=3),"",'Base Encuesta'!Q352)</f>
        <v/>
      </c>
      <c r="L378" t="str">
        <f>IF(OR('Base Encuesta'!R352="",IFERROR(VALUE(LEFT('Base Encuesta'!K352,1)),"")&gt;=3),"",VALUE(LEFT('Base Encuesta'!R352,1)))</f>
        <v/>
      </c>
      <c r="M378" t="str">
        <f>IF(OR('Base Encuesta'!S352="",IFERROR(VALUE(LEFT('Base Encuesta'!K352,1)),"")&gt;=3),"",VALUE(LEFT('Base Encuesta'!S352,1)))</f>
        <v/>
      </c>
      <c r="N378" t="str">
        <f>IF(OR('Base Encuesta'!T352="",IFERROR(VALUE(LEFT('Base Encuesta'!K352,1)),"")&gt;=3),"",VALUE(LEFT('Base Encuesta'!T352,1)))</f>
        <v/>
      </c>
      <c r="O378" t="str">
        <f>IF(OR('Base Encuesta'!V352="",IFERROR(VALUE(LEFT('Base Encuesta'!K352,1)),"")&gt;=3),"",VALUE(LEFT('Base Encuesta'!V352,1)))</f>
        <v/>
      </c>
      <c r="P378" t="str">
        <f>IF(OR('Base Encuesta'!W352="",IFERROR(VALUE(LEFT('Base Encuesta'!K352,1)),"")&gt;=3),"",VALUE(LEFT('Base Encuesta'!W352,1)))</f>
        <v/>
      </c>
      <c r="Q378" t="str">
        <f>IF(OR('Base Encuesta'!X352="",IFERROR(VALUE(LEFT('Base Encuesta'!K352,1)),"")&gt;=3),"",VALUE(LEFT('Base Encuesta'!X352,1)))</f>
        <v/>
      </c>
      <c r="R378" t="str">
        <f>IF(OR('Base Encuesta'!Y352="",IFERROR(VALUE(LEFT('Base Encuesta'!K352,1)),"")&gt;=3),"",VALUE(LEFT('Base Encuesta'!Y352,1)))</f>
        <v/>
      </c>
      <c r="S378" t="str">
        <f>IF(OR('Base Encuesta'!Z352="",IFERROR(VALUE(LEFT('Base Encuesta'!K352,1)),"")&gt;=3),"",VALUE(LEFT('Base Encuesta'!Z352,1)))</f>
        <v/>
      </c>
      <c r="T378" t="str">
        <f>IF(OR('Base Encuesta'!AA352="",IFERROR(VALUE(LEFT('Base Encuesta'!K352,1)),"")&gt;=3),"",VALUE(LEFT('Base Encuesta'!AA352,1)))</f>
        <v/>
      </c>
      <c r="U378" t="str">
        <f>IF(OR('Base Encuesta'!AB352="",IFERROR(VALUE(LEFT('Base Encuesta'!K352,1)),"")&gt;=3),"",VALUE(LEFT('Base Encuesta'!AB352,1)))</f>
        <v/>
      </c>
      <c r="V378" t="str">
        <f>IF(OR('Base Encuesta'!AC352="",IFERROR(VALUE(LEFT('Base Encuesta'!K352,1)),"")&gt;=3),"",VALUE(LEFT('Base Encuesta'!AC352,1)))</f>
        <v/>
      </c>
      <c r="W378" t="str">
        <f>IF(OR('Base Encuesta'!AE352="",IFERROR(VALUE(LEFT('Base Encuesta'!K352,1)),"")&gt;=3),"",VALUE(LEFT('Base Encuesta'!AE352,1)))</f>
        <v/>
      </c>
      <c r="X378" t="str">
        <f>IF(OR('Base Encuesta'!AF352="",IFERROR(VALUE(LEFT('Base Encuesta'!K352,1)),"")&gt;=3),"",IF(W378=1,VALUE(LEFT('Base Encuesta'!AF352,1)),""))</f>
        <v/>
      </c>
      <c r="Y378" t="str">
        <f>IF(OR('Base Encuesta'!AG352="",IFERROR(VALUE(LEFT('Base Encuesta'!K352,1)),"")&gt;=3),"",IF(W378=1,VALUE(LEFT('Base Encuesta'!AG352,1)),""))</f>
        <v/>
      </c>
      <c r="Z378" t="str">
        <f>IF(OR('Base Encuesta'!AH352="",IFERROR(VALUE(LEFT('Base Encuesta'!K352,1)),"")&gt;=3),"",IF(W378=1,VALUE(LEFT('Base Encuesta'!AH352,1)),""))</f>
        <v/>
      </c>
      <c r="AA378" t="str">
        <f>IF(OR('Base Encuesta'!AI352="",IFERROR(VALUE(LEFT('Base Encuesta'!K352,1)),"")&gt;=3),"",IF(W378=1,VALUE(LEFT('Base Encuesta'!AI352,1)),""))</f>
        <v/>
      </c>
      <c r="AB378" t="str">
        <f>IF(OR('Base Encuesta'!AJ352="",IFERROR(VALUE(LEFT('Base Encuesta'!K352,1)),"")&gt;=3),"",IF(W378=1,VALUE(LEFT('Base Encuesta'!AJ352,1)),""))</f>
        <v/>
      </c>
      <c r="AC378" t="str">
        <f>IF(OR('Base Encuesta'!AL352="",IFERROR(VALUE(LEFT('Base Encuesta'!K352,1)),"")&gt;=3),"",VALUE(LEFT('Base Encuesta'!AL352,1)))</f>
        <v/>
      </c>
      <c r="AD378" t="str">
        <f>IF(OR('Base Encuesta'!AM352="",IFERROR(VALUE(LEFT('Base Encuesta'!K352,1)),"")&gt;=3),"",VALUE(LEFT('Base Encuesta'!AM352,1)))</f>
        <v/>
      </c>
      <c r="AE378" t="str">
        <f>IF(OR('Base Encuesta'!AN352="",IFERROR(VALUE(LEFT('Base Encuesta'!K352,1)),"")&gt;=3),"",VALUE(LEFT('Base Encuesta'!AN352,1)))</f>
        <v/>
      </c>
      <c r="AF378" t="str">
        <f>IF(OR('Base Encuesta'!AO352="",IFERROR(VALUE(LEFT('Base Encuesta'!K352,1)),"")&gt;=3),"",VALUE(LEFT('Base Encuesta'!AO352,1)))</f>
        <v/>
      </c>
      <c r="AG378" t="str">
        <f>IF(OR('Base Encuesta'!AQ352="",IFERROR(VALUE(LEFT('Base Encuesta'!K352,1)),"")&gt;=3),"",VALUE(LEFT('Base Encuesta'!AQ352,1)))</f>
        <v/>
      </c>
      <c r="AH378" t="str">
        <f>IF(OR('Base Encuesta'!AR352="",IFERROR(VALUE(LEFT('Base Encuesta'!K352,1)),"")&gt;=3),"",VALUE(LEFT('Base Encuesta'!AR352,1)))</f>
        <v/>
      </c>
    </row>
    <row r="379" spans="1:34">
      <c r="A379" t="str">
        <f>IF('Base Encuesta'!C353="","",'Base Encuesta'!C353)</f>
        <v/>
      </c>
      <c r="B379" t="str">
        <f>IF('Base Encuesta'!D353="","",'Base Encuesta'!D353)</f>
        <v/>
      </c>
      <c r="C379" t="str">
        <f>IF('Base Encuesta'!E353="","",'Base Encuesta'!E353)</f>
        <v/>
      </c>
      <c r="D379" t="str">
        <f>IF('Base Encuesta'!F353="","",'Base Encuesta'!F353)</f>
        <v/>
      </c>
      <c r="E379" t="str">
        <f>IF('Base Encuesta'!G353="","",'Base Encuesta'!G353)</f>
        <v/>
      </c>
      <c r="F379" t="str">
        <f>IF('Base Encuesta'!H353="","",'Base Encuesta'!H353)</f>
        <v/>
      </c>
      <c r="G379" t="str">
        <f>IF('Base Encuesta'!I353="","",'Base Encuesta'!I353)</f>
        <v/>
      </c>
      <c r="H379" t="str">
        <f>IF('Base Encuesta'!J353="","",'Base Encuesta'!J353)</f>
        <v/>
      </c>
      <c r="I379" t="str">
        <f>IF('Base Encuesta'!K353="","",'Base Encuesta'!K353)</f>
        <v/>
      </c>
      <c r="J379" t="str">
        <f>IF(OR('Base Encuesta'!P353="",IFERROR(VALUE(LEFT('Base Encuesta'!K353,1)),"")&gt;=3),"",PROPER(TRIM('Base Encuesta'!P353)))</f>
        <v/>
      </c>
      <c r="K379" t="str">
        <f>IF(OR('Base Encuesta'!Q353="",IFERROR(VALUE(LEFT('Base Encuesta'!K353,1)),"")&gt;=3),"",'Base Encuesta'!Q353)</f>
        <v/>
      </c>
      <c r="L379" t="str">
        <f>IF(OR('Base Encuesta'!R353="",IFERROR(VALUE(LEFT('Base Encuesta'!K353,1)),"")&gt;=3),"",VALUE(LEFT('Base Encuesta'!R353,1)))</f>
        <v/>
      </c>
      <c r="M379" t="str">
        <f>IF(OR('Base Encuesta'!S353="",IFERROR(VALUE(LEFT('Base Encuesta'!K353,1)),"")&gt;=3),"",VALUE(LEFT('Base Encuesta'!S353,1)))</f>
        <v/>
      </c>
      <c r="N379" t="str">
        <f>IF(OR('Base Encuesta'!T353="",IFERROR(VALUE(LEFT('Base Encuesta'!K353,1)),"")&gt;=3),"",VALUE(LEFT('Base Encuesta'!T353,1)))</f>
        <v/>
      </c>
      <c r="O379" t="str">
        <f>IF(OR('Base Encuesta'!V353="",IFERROR(VALUE(LEFT('Base Encuesta'!K353,1)),"")&gt;=3),"",VALUE(LEFT('Base Encuesta'!V353,1)))</f>
        <v/>
      </c>
      <c r="P379" t="str">
        <f>IF(OR('Base Encuesta'!W353="",IFERROR(VALUE(LEFT('Base Encuesta'!K353,1)),"")&gt;=3),"",VALUE(LEFT('Base Encuesta'!W353,1)))</f>
        <v/>
      </c>
      <c r="Q379" t="str">
        <f>IF(OR('Base Encuesta'!X353="",IFERROR(VALUE(LEFT('Base Encuesta'!K353,1)),"")&gt;=3),"",VALUE(LEFT('Base Encuesta'!X353,1)))</f>
        <v/>
      </c>
      <c r="R379" t="str">
        <f>IF(OR('Base Encuesta'!Y353="",IFERROR(VALUE(LEFT('Base Encuesta'!K353,1)),"")&gt;=3),"",VALUE(LEFT('Base Encuesta'!Y353,1)))</f>
        <v/>
      </c>
      <c r="S379" t="str">
        <f>IF(OR('Base Encuesta'!Z353="",IFERROR(VALUE(LEFT('Base Encuesta'!K353,1)),"")&gt;=3),"",VALUE(LEFT('Base Encuesta'!Z353,1)))</f>
        <v/>
      </c>
      <c r="T379" t="str">
        <f>IF(OR('Base Encuesta'!AA353="",IFERROR(VALUE(LEFT('Base Encuesta'!K353,1)),"")&gt;=3),"",VALUE(LEFT('Base Encuesta'!AA353,1)))</f>
        <v/>
      </c>
      <c r="U379" t="str">
        <f>IF(OR('Base Encuesta'!AB353="",IFERROR(VALUE(LEFT('Base Encuesta'!K353,1)),"")&gt;=3),"",VALUE(LEFT('Base Encuesta'!AB353,1)))</f>
        <v/>
      </c>
      <c r="V379" t="str">
        <f>IF(OR('Base Encuesta'!AC353="",IFERROR(VALUE(LEFT('Base Encuesta'!K353,1)),"")&gt;=3),"",VALUE(LEFT('Base Encuesta'!AC353,1)))</f>
        <v/>
      </c>
      <c r="W379" t="str">
        <f>IF(OR('Base Encuesta'!AE353="",IFERROR(VALUE(LEFT('Base Encuesta'!K353,1)),"")&gt;=3),"",VALUE(LEFT('Base Encuesta'!AE353,1)))</f>
        <v/>
      </c>
      <c r="X379" t="str">
        <f>IF(OR('Base Encuesta'!AF353="",IFERROR(VALUE(LEFT('Base Encuesta'!K353,1)),"")&gt;=3),"",IF(W379=1,VALUE(LEFT('Base Encuesta'!AF353,1)),""))</f>
        <v/>
      </c>
      <c r="Y379" t="str">
        <f>IF(OR('Base Encuesta'!AG353="",IFERROR(VALUE(LEFT('Base Encuesta'!K353,1)),"")&gt;=3),"",IF(W379=1,VALUE(LEFT('Base Encuesta'!AG353,1)),""))</f>
        <v/>
      </c>
      <c r="Z379" t="str">
        <f>IF(OR('Base Encuesta'!AH353="",IFERROR(VALUE(LEFT('Base Encuesta'!K353,1)),"")&gt;=3),"",IF(W379=1,VALUE(LEFT('Base Encuesta'!AH353,1)),""))</f>
        <v/>
      </c>
      <c r="AA379" t="str">
        <f>IF(OR('Base Encuesta'!AI353="",IFERROR(VALUE(LEFT('Base Encuesta'!K353,1)),"")&gt;=3),"",IF(W379=1,VALUE(LEFT('Base Encuesta'!AI353,1)),""))</f>
        <v/>
      </c>
      <c r="AB379" t="str">
        <f>IF(OR('Base Encuesta'!AJ353="",IFERROR(VALUE(LEFT('Base Encuesta'!K353,1)),"")&gt;=3),"",IF(W379=1,VALUE(LEFT('Base Encuesta'!AJ353,1)),""))</f>
        <v/>
      </c>
      <c r="AC379" t="str">
        <f>IF(OR('Base Encuesta'!AL353="",IFERROR(VALUE(LEFT('Base Encuesta'!K353,1)),"")&gt;=3),"",VALUE(LEFT('Base Encuesta'!AL353,1)))</f>
        <v/>
      </c>
      <c r="AD379" t="str">
        <f>IF(OR('Base Encuesta'!AM353="",IFERROR(VALUE(LEFT('Base Encuesta'!K353,1)),"")&gt;=3),"",VALUE(LEFT('Base Encuesta'!AM353,1)))</f>
        <v/>
      </c>
      <c r="AE379" t="str">
        <f>IF(OR('Base Encuesta'!AN353="",IFERROR(VALUE(LEFT('Base Encuesta'!K353,1)),"")&gt;=3),"",VALUE(LEFT('Base Encuesta'!AN353,1)))</f>
        <v/>
      </c>
      <c r="AF379" t="str">
        <f>IF(OR('Base Encuesta'!AO353="",IFERROR(VALUE(LEFT('Base Encuesta'!K353,1)),"")&gt;=3),"",VALUE(LEFT('Base Encuesta'!AO353,1)))</f>
        <v/>
      </c>
      <c r="AG379" t="str">
        <f>IF(OR('Base Encuesta'!AQ353="",IFERROR(VALUE(LEFT('Base Encuesta'!K353,1)),"")&gt;=3),"",VALUE(LEFT('Base Encuesta'!AQ353,1)))</f>
        <v/>
      </c>
      <c r="AH379" t="str">
        <f>IF(OR('Base Encuesta'!AR353="",IFERROR(VALUE(LEFT('Base Encuesta'!K353,1)),"")&gt;=3),"",VALUE(LEFT('Base Encuesta'!AR353,1)))</f>
        <v/>
      </c>
    </row>
    <row r="380" spans="1:34">
      <c r="A380" t="str">
        <f>IF('Base Encuesta'!C354="","",'Base Encuesta'!C354)</f>
        <v/>
      </c>
      <c r="B380" t="str">
        <f>IF('Base Encuesta'!D354="","",'Base Encuesta'!D354)</f>
        <v/>
      </c>
      <c r="C380" t="str">
        <f>IF('Base Encuesta'!E354="","",'Base Encuesta'!E354)</f>
        <v/>
      </c>
      <c r="D380" t="str">
        <f>IF('Base Encuesta'!F354="","",'Base Encuesta'!F354)</f>
        <v/>
      </c>
      <c r="E380" t="str">
        <f>IF('Base Encuesta'!G354="","",'Base Encuesta'!G354)</f>
        <v/>
      </c>
      <c r="F380" t="str">
        <f>IF('Base Encuesta'!H354="","",'Base Encuesta'!H354)</f>
        <v/>
      </c>
      <c r="G380" t="str">
        <f>IF('Base Encuesta'!I354="","",'Base Encuesta'!I354)</f>
        <v/>
      </c>
      <c r="H380" t="str">
        <f>IF('Base Encuesta'!J354="","",'Base Encuesta'!J354)</f>
        <v/>
      </c>
      <c r="I380" t="str">
        <f>IF('Base Encuesta'!K354="","",'Base Encuesta'!K354)</f>
        <v/>
      </c>
      <c r="J380" t="str">
        <f>IF(OR('Base Encuesta'!P354="",IFERROR(VALUE(LEFT('Base Encuesta'!K354,1)),"")&gt;=3),"",PROPER(TRIM('Base Encuesta'!P354)))</f>
        <v/>
      </c>
      <c r="K380" t="str">
        <f>IF(OR('Base Encuesta'!Q354="",IFERROR(VALUE(LEFT('Base Encuesta'!K354,1)),"")&gt;=3),"",'Base Encuesta'!Q354)</f>
        <v/>
      </c>
      <c r="L380" t="str">
        <f>IF(OR('Base Encuesta'!R354="",IFERROR(VALUE(LEFT('Base Encuesta'!K354,1)),"")&gt;=3),"",VALUE(LEFT('Base Encuesta'!R354,1)))</f>
        <v/>
      </c>
      <c r="M380" t="str">
        <f>IF(OR('Base Encuesta'!S354="",IFERROR(VALUE(LEFT('Base Encuesta'!K354,1)),"")&gt;=3),"",VALUE(LEFT('Base Encuesta'!S354,1)))</f>
        <v/>
      </c>
      <c r="N380" t="str">
        <f>IF(OR('Base Encuesta'!T354="",IFERROR(VALUE(LEFT('Base Encuesta'!K354,1)),"")&gt;=3),"",VALUE(LEFT('Base Encuesta'!T354,1)))</f>
        <v/>
      </c>
      <c r="O380" t="str">
        <f>IF(OR('Base Encuesta'!V354="",IFERROR(VALUE(LEFT('Base Encuesta'!K354,1)),"")&gt;=3),"",VALUE(LEFT('Base Encuesta'!V354,1)))</f>
        <v/>
      </c>
      <c r="P380" t="str">
        <f>IF(OR('Base Encuesta'!W354="",IFERROR(VALUE(LEFT('Base Encuesta'!K354,1)),"")&gt;=3),"",VALUE(LEFT('Base Encuesta'!W354,1)))</f>
        <v/>
      </c>
      <c r="Q380" t="str">
        <f>IF(OR('Base Encuesta'!X354="",IFERROR(VALUE(LEFT('Base Encuesta'!K354,1)),"")&gt;=3),"",VALUE(LEFT('Base Encuesta'!X354,1)))</f>
        <v/>
      </c>
      <c r="R380" t="str">
        <f>IF(OR('Base Encuesta'!Y354="",IFERROR(VALUE(LEFT('Base Encuesta'!K354,1)),"")&gt;=3),"",VALUE(LEFT('Base Encuesta'!Y354,1)))</f>
        <v/>
      </c>
      <c r="S380" t="str">
        <f>IF(OR('Base Encuesta'!Z354="",IFERROR(VALUE(LEFT('Base Encuesta'!K354,1)),"")&gt;=3),"",VALUE(LEFT('Base Encuesta'!Z354,1)))</f>
        <v/>
      </c>
      <c r="T380" t="str">
        <f>IF(OR('Base Encuesta'!AA354="",IFERROR(VALUE(LEFT('Base Encuesta'!K354,1)),"")&gt;=3),"",VALUE(LEFT('Base Encuesta'!AA354,1)))</f>
        <v/>
      </c>
      <c r="U380" t="str">
        <f>IF(OR('Base Encuesta'!AB354="",IFERROR(VALUE(LEFT('Base Encuesta'!K354,1)),"")&gt;=3),"",VALUE(LEFT('Base Encuesta'!AB354,1)))</f>
        <v/>
      </c>
      <c r="V380" t="str">
        <f>IF(OR('Base Encuesta'!AC354="",IFERROR(VALUE(LEFT('Base Encuesta'!K354,1)),"")&gt;=3),"",VALUE(LEFT('Base Encuesta'!AC354,1)))</f>
        <v/>
      </c>
      <c r="W380" t="str">
        <f>IF(OR('Base Encuesta'!AE354="",IFERROR(VALUE(LEFT('Base Encuesta'!K354,1)),"")&gt;=3),"",VALUE(LEFT('Base Encuesta'!AE354,1)))</f>
        <v/>
      </c>
      <c r="X380" t="str">
        <f>IF(OR('Base Encuesta'!AF354="",IFERROR(VALUE(LEFT('Base Encuesta'!K354,1)),"")&gt;=3),"",IF(W380=1,VALUE(LEFT('Base Encuesta'!AF354,1)),""))</f>
        <v/>
      </c>
      <c r="Y380" t="str">
        <f>IF(OR('Base Encuesta'!AG354="",IFERROR(VALUE(LEFT('Base Encuesta'!K354,1)),"")&gt;=3),"",IF(W380=1,VALUE(LEFT('Base Encuesta'!AG354,1)),""))</f>
        <v/>
      </c>
      <c r="Z380" t="str">
        <f>IF(OR('Base Encuesta'!AH354="",IFERROR(VALUE(LEFT('Base Encuesta'!K354,1)),"")&gt;=3),"",IF(W380=1,VALUE(LEFT('Base Encuesta'!AH354,1)),""))</f>
        <v/>
      </c>
      <c r="AA380" t="str">
        <f>IF(OR('Base Encuesta'!AI354="",IFERROR(VALUE(LEFT('Base Encuesta'!K354,1)),"")&gt;=3),"",IF(W380=1,VALUE(LEFT('Base Encuesta'!AI354,1)),""))</f>
        <v/>
      </c>
      <c r="AB380" t="str">
        <f>IF(OR('Base Encuesta'!AJ354="",IFERROR(VALUE(LEFT('Base Encuesta'!K354,1)),"")&gt;=3),"",IF(W380=1,VALUE(LEFT('Base Encuesta'!AJ354,1)),""))</f>
        <v/>
      </c>
      <c r="AC380" t="str">
        <f>IF(OR('Base Encuesta'!AL354="",IFERROR(VALUE(LEFT('Base Encuesta'!K354,1)),"")&gt;=3),"",VALUE(LEFT('Base Encuesta'!AL354,1)))</f>
        <v/>
      </c>
      <c r="AD380" t="str">
        <f>IF(OR('Base Encuesta'!AM354="",IFERROR(VALUE(LEFT('Base Encuesta'!K354,1)),"")&gt;=3),"",VALUE(LEFT('Base Encuesta'!AM354,1)))</f>
        <v/>
      </c>
      <c r="AE380" t="str">
        <f>IF(OR('Base Encuesta'!AN354="",IFERROR(VALUE(LEFT('Base Encuesta'!K354,1)),"")&gt;=3),"",VALUE(LEFT('Base Encuesta'!AN354,1)))</f>
        <v/>
      </c>
      <c r="AF380" t="str">
        <f>IF(OR('Base Encuesta'!AO354="",IFERROR(VALUE(LEFT('Base Encuesta'!K354,1)),"")&gt;=3),"",VALUE(LEFT('Base Encuesta'!AO354,1)))</f>
        <v/>
      </c>
      <c r="AG380" t="str">
        <f>IF(OR('Base Encuesta'!AQ354="",IFERROR(VALUE(LEFT('Base Encuesta'!K354,1)),"")&gt;=3),"",VALUE(LEFT('Base Encuesta'!AQ354,1)))</f>
        <v/>
      </c>
      <c r="AH380" t="str">
        <f>IF(OR('Base Encuesta'!AR354="",IFERROR(VALUE(LEFT('Base Encuesta'!K354,1)),"")&gt;=3),"",VALUE(LEFT('Base Encuesta'!AR354,1)))</f>
        <v/>
      </c>
    </row>
    <row r="381" spans="1:34">
      <c r="A381" t="str">
        <f>IF('Base Encuesta'!C355="","",'Base Encuesta'!C355)</f>
        <v/>
      </c>
      <c r="B381" t="str">
        <f>IF('Base Encuesta'!D355="","",'Base Encuesta'!D355)</f>
        <v/>
      </c>
      <c r="C381" t="str">
        <f>IF('Base Encuesta'!E355="","",'Base Encuesta'!E355)</f>
        <v/>
      </c>
      <c r="D381" t="str">
        <f>IF('Base Encuesta'!F355="","",'Base Encuesta'!F355)</f>
        <v/>
      </c>
      <c r="E381" t="str">
        <f>IF('Base Encuesta'!G355="","",'Base Encuesta'!G355)</f>
        <v/>
      </c>
      <c r="F381" t="str">
        <f>IF('Base Encuesta'!H355="","",'Base Encuesta'!H355)</f>
        <v/>
      </c>
      <c r="G381" t="str">
        <f>IF('Base Encuesta'!I355="","",'Base Encuesta'!I355)</f>
        <v/>
      </c>
      <c r="H381" t="str">
        <f>IF('Base Encuesta'!J355="","",'Base Encuesta'!J355)</f>
        <v/>
      </c>
      <c r="I381" t="str">
        <f>IF('Base Encuesta'!K355="","",'Base Encuesta'!K355)</f>
        <v/>
      </c>
      <c r="J381" t="str">
        <f>IF(OR('Base Encuesta'!P355="",IFERROR(VALUE(LEFT('Base Encuesta'!K355,1)),"")&gt;=3),"",PROPER(TRIM('Base Encuesta'!P355)))</f>
        <v/>
      </c>
      <c r="K381" t="str">
        <f>IF(OR('Base Encuesta'!Q355="",IFERROR(VALUE(LEFT('Base Encuesta'!K355,1)),"")&gt;=3),"",'Base Encuesta'!Q355)</f>
        <v/>
      </c>
      <c r="L381" t="str">
        <f>IF(OR('Base Encuesta'!R355="",IFERROR(VALUE(LEFT('Base Encuesta'!K355,1)),"")&gt;=3),"",VALUE(LEFT('Base Encuesta'!R355,1)))</f>
        <v/>
      </c>
      <c r="M381" t="str">
        <f>IF(OR('Base Encuesta'!S355="",IFERROR(VALUE(LEFT('Base Encuesta'!K355,1)),"")&gt;=3),"",VALUE(LEFT('Base Encuesta'!S355,1)))</f>
        <v/>
      </c>
      <c r="N381" t="str">
        <f>IF(OR('Base Encuesta'!T355="",IFERROR(VALUE(LEFT('Base Encuesta'!K355,1)),"")&gt;=3),"",VALUE(LEFT('Base Encuesta'!T355,1)))</f>
        <v/>
      </c>
      <c r="O381" t="str">
        <f>IF(OR('Base Encuesta'!V355="",IFERROR(VALUE(LEFT('Base Encuesta'!K355,1)),"")&gt;=3),"",VALUE(LEFT('Base Encuesta'!V355,1)))</f>
        <v/>
      </c>
      <c r="P381" t="str">
        <f>IF(OR('Base Encuesta'!W355="",IFERROR(VALUE(LEFT('Base Encuesta'!K355,1)),"")&gt;=3),"",VALUE(LEFT('Base Encuesta'!W355,1)))</f>
        <v/>
      </c>
      <c r="Q381" t="str">
        <f>IF(OR('Base Encuesta'!X355="",IFERROR(VALUE(LEFT('Base Encuesta'!K355,1)),"")&gt;=3),"",VALUE(LEFT('Base Encuesta'!X355,1)))</f>
        <v/>
      </c>
      <c r="R381" t="str">
        <f>IF(OR('Base Encuesta'!Y355="",IFERROR(VALUE(LEFT('Base Encuesta'!K355,1)),"")&gt;=3),"",VALUE(LEFT('Base Encuesta'!Y355,1)))</f>
        <v/>
      </c>
      <c r="S381" t="str">
        <f>IF(OR('Base Encuesta'!Z355="",IFERROR(VALUE(LEFT('Base Encuesta'!K355,1)),"")&gt;=3),"",VALUE(LEFT('Base Encuesta'!Z355,1)))</f>
        <v/>
      </c>
      <c r="T381" t="str">
        <f>IF(OR('Base Encuesta'!AA355="",IFERROR(VALUE(LEFT('Base Encuesta'!K355,1)),"")&gt;=3),"",VALUE(LEFT('Base Encuesta'!AA355,1)))</f>
        <v/>
      </c>
      <c r="U381" t="str">
        <f>IF(OR('Base Encuesta'!AB355="",IFERROR(VALUE(LEFT('Base Encuesta'!K355,1)),"")&gt;=3),"",VALUE(LEFT('Base Encuesta'!AB355,1)))</f>
        <v/>
      </c>
      <c r="V381" t="str">
        <f>IF(OR('Base Encuesta'!AC355="",IFERROR(VALUE(LEFT('Base Encuesta'!K355,1)),"")&gt;=3),"",VALUE(LEFT('Base Encuesta'!AC355,1)))</f>
        <v/>
      </c>
      <c r="W381" t="str">
        <f>IF(OR('Base Encuesta'!AE355="",IFERROR(VALUE(LEFT('Base Encuesta'!K355,1)),"")&gt;=3),"",VALUE(LEFT('Base Encuesta'!AE355,1)))</f>
        <v/>
      </c>
      <c r="X381" t="str">
        <f>IF(OR('Base Encuesta'!AF355="",IFERROR(VALUE(LEFT('Base Encuesta'!K355,1)),"")&gt;=3),"",IF(W381=1,VALUE(LEFT('Base Encuesta'!AF355,1)),""))</f>
        <v/>
      </c>
      <c r="Y381" t="str">
        <f>IF(OR('Base Encuesta'!AG355="",IFERROR(VALUE(LEFT('Base Encuesta'!K355,1)),"")&gt;=3),"",IF(W381=1,VALUE(LEFT('Base Encuesta'!AG355,1)),""))</f>
        <v/>
      </c>
      <c r="Z381" t="str">
        <f>IF(OR('Base Encuesta'!AH355="",IFERROR(VALUE(LEFT('Base Encuesta'!K355,1)),"")&gt;=3),"",IF(W381=1,VALUE(LEFT('Base Encuesta'!AH355,1)),""))</f>
        <v/>
      </c>
      <c r="AA381" t="str">
        <f>IF(OR('Base Encuesta'!AI355="",IFERROR(VALUE(LEFT('Base Encuesta'!K355,1)),"")&gt;=3),"",IF(W381=1,VALUE(LEFT('Base Encuesta'!AI355,1)),""))</f>
        <v/>
      </c>
      <c r="AB381" t="str">
        <f>IF(OR('Base Encuesta'!AJ355="",IFERROR(VALUE(LEFT('Base Encuesta'!K355,1)),"")&gt;=3),"",IF(W381=1,VALUE(LEFT('Base Encuesta'!AJ355,1)),""))</f>
        <v/>
      </c>
      <c r="AC381" t="str">
        <f>IF(OR('Base Encuesta'!AL355="",IFERROR(VALUE(LEFT('Base Encuesta'!K355,1)),"")&gt;=3),"",VALUE(LEFT('Base Encuesta'!AL355,1)))</f>
        <v/>
      </c>
      <c r="AD381" t="str">
        <f>IF(OR('Base Encuesta'!AM355="",IFERROR(VALUE(LEFT('Base Encuesta'!K355,1)),"")&gt;=3),"",VALUE(LEFT('Base Encuesta'!AM355,1)))</f>
        <v/>
      </c>
      <c r="AE381" t="str">
        <f>IF(OR('Base Encuesta'!AN355="",IFERROR(VALUE(LEFT('Base Encuesta'!K355,1)),"")&gt;=3),"",VALUE(LEFT('Base Encuesta'!AN355,1)))</f>
        <v/>
      </c>
      <c r="AF381" t="str">
        <f>IF(OR('Base Encuesta'!AO355="",IFERROR(VALUE(LEFT('Base Encuesta'!K355,1)),"")&gt;=3),"",VALUE(LEFT('Base Encuesta'!AO355,1)))</f>
        <v/>
      </c>
      <c r="AG381" t="str">
        <f>IF(OR('Base Encuesta'!AQ355="",IFERROR(VALUE(LEFT('Base Encuesta'!K355,1)),"")&gt;=3),"",VALUE(LEFT('Base Encuesta'!AQ355,1)))</f>
        <v/>
      </c>
      <c r="AH381" t="str">
        <f>IF(OR('Base Encuesta'!AR355="",IFERROR(VALUE(LEFT('Base Encuesta'!K355,1)),"")&gt;=3),"",VALUE(LEFT('Base Encuesta'!AR355,1)))</f>
        <v/>
      </c>
    </row>
    <row r="382" spans="1:34">
      <c r="A382" t="str">
        <f>IF('Base Encuesta'!C356="","",'Base Encuesta'!C356)</f>
        <v/>
      </c>
      <c r="B382" t="str">
        <f>IF('Base Encuesta'!D356="","",'Base Encuesta'!D356)</f>
        <v/>
      </c>
      <c r="C382" t="str">
        <f>IF('Base Encuesta'!E356="","",'Base Encuesta'!E356)</f>
        <v/>
      </c>
      <c r="D382" t="str">
        <f>IF('Base Encuesta'!F356="","",'Base Encuesta'!F356)</f>
        <v/>
      </c>
      <c r="E382" t="str">
        <f>IF('Base Encuesta'!G356="","",'Base Encuesta'!G356)</f>
        <v/>
      </c>
      <c r="F382" t="str">
        <f>IF('Base Encuesta'!H356="","",'Base Encuesta'!H356)</f>
        <v/>
      </c>
      <c r="G382" t="str">
        <f>IF('Base Encuesta'!I356="","",'Base Encuesta'!I356)</f>
        <v/>
      </c>
      <c r="H382" t="str">
        <f>IF('Base Encuesta'!J356="","",'Base Encuesta'!J356)</f>
        <v/>
      </c>
      <c r="I382" t="str">
        <f>IF('Base Encuesta'!K356="","",'Base Encuesta'!K356)</f>
        <v/>
      </c>
      <c r="J382" t="str">
        <f>IF(OR('Base Encuesta'!P356="",IFERROR(VALUE(LEFT('Base Encuesta'!K356,1)),"")&gt;=3),"",PROPER(TRIM('Base Encuesta'!P356)))</f>
        <v/>
      </c>
      <c r="K382" t="str">
        <f>IF(OR('Base Encuesta'!Q356="",IFERROR(VALUE(LEFT('Base Encuesta'!K356,1)),"")&gt;=3),"",'Base Encuesta'!Q356)</f>
        <v/>
      </c>
      <c r="L382" t="str">
        <f>IF(OR('Base Encuesta'!R356="",IFERROR(VALUE(LEFT('Base Encuesta'!K356,1)),"")&gt;=3),"",VALUE(LEFT('Base Encuesta'!R356,1)))</f>
        <v/>
      </c>
      <c r="M382" t="str">
        <f>IF(OR('Base Encuesta'!S356="",IFERROR(VALUE(LEFT('Base Encuesta'!K356,1)),"")&gt;=3),"",VALUE(LEFT('Base Encuesta'!S356,1)))</f>
        <v/>
      </c>
      <c r="N382" t="str">
        <f>IF(OR('Base Encuesta'!T356="",IFERROR(VALUE(LEFT('Base Encuesta'!K356,1)),"")&gt;=3),"",VALUE(LEFT('Base Encuesta'!T356,1)))</f>
        <v/>
      </c>
      <c r="O382" t="str">
        <f>IF(OR('Base Encuesta'!V356="",IFERROR(VALUE(LEFT('Base Encuesta'!K356,1)),"")&gt;=3),"",VALUE(LEFT('Base Encuesta'!V356,1)))</f>
        <v/>
      </c>
      <c r="P382" t="str">
        <f>IF(OR('Base Encuesta'!W356="",IFERROR(VALUE(LEFT('Base Encuesta'!K356,1)),"")&gt;=3),"",VALUE(LEFT('Base Encuesta'!W356,1)))</f>
        <v/>
      </c>
      <c r="Q382" t="str">
        <f>IF(OR('Base Encuesta'!X356="",IFERROR(VALUE(LEFT('Base Encuesta'!K356,1)),"")&gt;=3),"",VALUE(LEFT('Base Encuesta'!X356,1)))</f>
        <v/>
      </c>
      <c r="R382" t="str">
        <f>IF(OR('Base Encuesta'!Y356="",IFERROR(VALUE(LEFT('Base Encuesta'!K356,1)),"")&gt;=3),"",VALUE(LEFT('Base Encuesta'!Y356,1)))</f>
        <v/>
      </c>
      <c r="S382" t="str">
        <f>IF(OR('Base Encuesta'!Z356="",IFERROR(VALUE(LEFT('Base Encuesta'!K356,1)),"")&gt;=3),"",VALUE(LEFT('Base Encuesta'!Z356,1)))</f>
        <v/>
      </c>
      <c r="T382" t="str">
        <f>IF(OR('Base Encuesta'!AA356="",IFERROR(VALUE(LEFT('Base Encuesta'!K356,1)),"")&gt;=3),"",VALUE(LEFT('Base Encuesta'!AA356,1)))</f>
        <v/>
      </c>
      <c r="U382" t="str">
        <f>IF(OR('Base Encuesta'!AB356="",IFERROR(VALUE(LEFT('Base Encuesta'!K356,1)),"")&gt;=3),"",VALUE(LEFT('Base Encuesta'!AB356,1)))</f>
        <v/>
      </c>
      <c r="V382" t="str">
        <f>IF(OR('Base Encuesta'!AC356="",IFERROR(VALUE(LEFT('Base Encuesta'!K356,1)),"")&gt;=3),"",VALUE(LEFT('Base Encuesta'!AC356,1)))</f>
        <v/>
      </c>
      <c r="W382" t="str">
        <f>IF(OR('Base Encuesta'!AE356="",IFERROR(VALUE(LEFT('Base Encuesta'!K356,1)),"")&gt;=3),"",VALUE(LEFT('Base Encuesta'!AE356,1)))</f>
        <v/>
      </c>
      <c r="X382" t="str">
        <f>IF(OR('Base Encuesta'!AF356="",IFERROR(VALUE(LEFT('Base Encuesta'!K356,1)),"")&gt;=3),"",IF(W382=1,VALUE(LEFT('Base Encuesta'!AF356,1)),""))</f>
        <v/>
      </c>
      <c r="Y382" t="str">
        <f>IF(OR('Base Encuesta'!AG356="",IFERROR(VALUE(LEFT('Base Encuesta'!K356,1)),"")&gt;=3),"",IF(W382=1,VALUE(LEFT('Base Encuesta'!AG356,1)),""))</f>
        <v/>
      </c>
      <c r="Z382" t="str">
        <f>IF(OR('Base Encuesta'!AH356="",IFERROR(VALUE(LEFT('Base Encuesta'!K356,1)),"")&gt;=3),"",IF(W382=1,VALUE(LEFT('Base Encuesta'!AH356,1)),""))</f>
        <v/>
      </c>
      <c r="AA382" t="str">
        <f>IF(OR('Base Encuesta'!AI356="",IFERROR(VALUE(LEFT('Base Encuesta'!K356,1)),"")&gt;=3),"",IF(W382=1,VALUE(LEFT('Base Encuesta'!AI356,1)),""))</f>
        <v/>
      </c>
      <c r="AB382" t="str">
        <f>IF(OR('Base Encuesta'!AJ356="",IFERROR(VALUE(LEFT('Base Encuesta'!K356,1)),"")&gt;=3),"",IF(W382=1,VALUE(LEFT('Base Encuesta'!AJ356,1)),""))</f>
        <v/>
      </c>
      <c r="AC382" t="str">
        <f>IF(OR('Base Encuesta'!AL356="",IFERROR(VALUE(LEFT('Base Encuesta'!K356,1)),"")&gt;=3),"",VALUE(LEFT('Base Encuesta'!AL356,1)))</f>
        <v/>
      </c>
      <c r="AD382" t="str">
        <f>IF(OR('Base Encuesta'!AM356="",IFERROR(VALUE(LEFT('Base Encuesta'!K356,1)),"")&gt;=3),"",VALUE(LEFT('Base Encuesta'!AM356,1)))</f>
        <v/>
      </c>
      <c r="AE382" t="str">
        <f>IF(OR('Base Encuesta'!AN356="",IFERROR(VALUE(LEFT('Base Encuesta'!K356,1)),"")&gt;=3),"",VALUE(LEFT('Base Encuesta'!AN356,1)))</f>
        <v/>
      </c>
      <c r="AF382" t="str">
        <f>IF(OR('Base Encuesta'!AO356="",IFERROR(VALUE(LEFT('Base Encuesta'!K356,1)),"")&gt;=3),"",VALUE(LEFT('Base Encuesta'!AO356,1)))</f>
        <v/>
      </c>
      <c r="AG382" t="str">
        <f>IF(OR('Base Encuesta'!AQ356="",IFERROR(VALUE(LEFT('Base Encuesta'!K356,1)),"")&gt;=3),"",VALUE(LEFT('Base Encuesta'!AQ356,1)))</f>
        <v/>
      </c>
      <c r="AH382" t="str">
        <f>IF(OR('Base Encuesta'!AR356="",IFERROR(VALUE(LEFT('Base Encuesta'!K356,1)),"")&gt;=3),"",VALUE(LEFT('Base Encuesta'!AR356,1)))</f>
        <v/>
      </c>
    </row>
    <row r="383" spans="1:34">
      <c r="A383" t="str">
        <f>IF('Base Encuesta'!C357="","",'Base Encuesta'!C357)</f>
        <v/>
      </c>
      <c r="B383" t="str">
        <f>IF('Base Encuesta'!D357="","",'Base Encuesta'!D357)</f>
        <v/>
      </c>
      <c r="C383" t="str">
        <f>IF('Base Encuesta'!E357="","",'Base Encuesta'!E357)</f>
        <v/>
      </c>
      <c r="D383" t="str">
        <f>IF('Base Encuesta'!F357="","",'Base Encuesta'!F357)</f>
        <v/>
      </c>
      <c r="E383" t="str">
        <f>IF('Base Encuesta'!G357="","",'Base Encuesta'!G357)</f>
        <v/>
      </c>
      <c r="F383" t="str">
        <f>IF('Base Encuesta'!H357="","",'Base Encuesta'!H357)</f>
        <v/>
      </c>
      <c r="G383" t="str">
        <f>IF('Base Encuesta'!I357="","",'Base Encuesta'!I357)</f>
        <v/>
      </c>
      <c r="H383" t="str">
        <f>IF('Base Encuesta'!J357="","",'Base Encuesta'!J357)</f>
        <v/>
      </c>
      <c r="I383" t="str">
        <f>IF('Base Encuesta'!K357="","",'Base Encuesta'!K357)</f>
        <v/>
      </c>
      <c r="J383" t="str">
        <f>IF(OR('Base Encuesta'!P357="",IFERROR(VALUE(LEFT('Base Encuesta'!K357,1)),"")&gt;=3),"",PROPER(TRIM('Base Encuesta'!P357)))</f>
        <v/>
      </c>
      <c r="K383" t="str">
        <f>IF(OR('Base Encuesta'!Q357="",IFERROR(VALUE(LEFT('Base Encuesta'!K357,1)),"")&gt;=3),"",'Base Encuesta'!Q357)</f>
        <v/>
      </c>
      <c r="L383" t="str">
        <f>IF(OR('Base Encuesta'!R357="",IFERROR(VALUE(LEFT('Base Encuesta'!K357,1)),"")&gt;=3),"",VALUE(LEFT('Base Encuesta'!R357,1)))</f>
        <v/>
      </c>
      <c r="M383" t="str">
        <f>IF(OR('Base Encuesta'!S357="",IFERROR(VALUE(LEFT('Base Encuesta'!K357,1)),"")&gt;=3),"",VALUE(LEFT('Base Encuesta'!S357,1)))</f>
        <v/>
      </c>
      <c r="N383" t="str">
        <f>IF(OR('Base Encuesta'!T357="",IFERROR(VALUE(LEFT('Base Encuesta'!K357,1)),"")&gt;=3),"",VALUE(LEFT('Base Encuesta'!T357,1)))</f>
        <v/>
      </c>
      <c r="O383" t="str">
        <f>IF(OR('Base Encuesta'!V357="",IFERROR(VALUE(LEFT('Base Encuesta'!K357,1)),"")&gt;=3),"",VALUE(LEFT('Base Encuesta'!V357,1)))</f>
        <v/>
      </c>
      <c r="P383" t="str">
        <f>IF(OR('Base Encuesta'!W357="",IFERROR(VALUE(LEFT('Base Encuesta'!K357,1)),"")&gt;=3),"",VALUE(LEFT('Base Encuesta'!W357,1)))</f>
        <v/>
      </c>
      <c r="Q383" t="str">
        <f>IF(OR('Base Encuesta'!X357="",IFERROR(VALUE(LEFT('Base Encuesta'!K357,1)),"")&gt;=3),"",VALUE(LEFT('Base Encuesta'!X357,1)))</f>
        <v/>
      </c>
      <c r="R383" t="str">
        <f>IF(OR('Base Encuesta'!Y357="",IFERROR(VALUE(LEFT('Base Encuesta'!K357,1)),"")&gt;=3),"",VALUE(LEFT('Base Encuesta'!Y357,1)))</f>
        <v/>
      </c>
      <c r="S383" t="str">
        <f>IF(OR('Base Encuesta'!Z357="",IFERROR(VALUE(LEFT('Base Encuesta'!K357,1)),"")&gt;=3),"",VALUE(LEFT('Base Encuesta'!Z357,1)))</f>
        <v/>
      </c>
      <c r="T383" t="str">
        <f>IF(OR('Base Encuesta'!AA357="",IFERROR(VALUE(LEFT('Base Encuesta'!K357,1)),"")&gt;=3),"",VALUE(LEFT('Base Encuesta'!AA357,1)))</f>
        <v/>
      </c>
      <c r="U383" t="str">
        <f>IF(OR('Base Encuesta'!AB357="",IFERROR(VALUE(LEFT('Base Encuesta'!K357,1)),"")&gt;=3),"",VALUE(LEFT('Base Encuesta'!AB357,1)))</f>
        <v/>
      </c>
      <c r="V383" t="str">
        <f>IF(OR('Base Encuesta'!AC357="",IFERROR(VALUE(LEFT('Base Encuesta'!K357,1)),"")&gt;=3),"",VALUE(LEFT('Base Encuesta'!AC357,1)))</f>
        <v/>
      </c>
      <c r="W383" t="str">
        <f>IF(OR('Base Encuesta'!AE357="",IFERROR(VALUE(LEFT('Base Encuesta'!K357,1)),"")&gt;=3),"",VALUE(LEFT('Base Encuesta'!AE357,1)))</f>
        <v/>
      </c>
      <c r="X383" t="str">
        <f>IF(OR('Base Encuesta'!AF357="",IFERROR(VALUE(LEFT('Base Encuesta'!K357,1)),"")&gt;=3),"",IF(W383=1,VALUE(LEFT('Base Encuesta'!AF357,1)),""))</f>
        <v/>
      </c>
      <c r="Y383" t="str">
        <f>IF(OR('Base Encuesta'!AG357="",IFERROR(VALUE(LEFT('Base Encuesta'!K357,1)),"")&gt;=3),"",IF(W383=1,VALUE(LEFT('Base Encuesta'!AG357,1)),""))</f>
        <v/>
      </c>
      <c r="Z383" t="str">
        <f>IF(OR('Base Encuesta'!AH357="",IFERROR(VALUE(LEFT('Base Encuesta'!K357,1)),"")&gt;=3),"",IF(W383=1,VALUE(LEFT('Base Encuesta'!AH357,1)),""))</f>
        <v/>
      </c>
      <c r="AA383" t="str">
        <f>IF(OR('Base Encuesta'!AI357="",IFERROR(VALUE(LEFT('Base Encuesta'!K357,1)),"")&gt;=3),"",IF(W383=1,VALUE(LEFT('Base Encuesta'!AI357,1)),""))</f>
        <v/>
      </c>
      <c r="AB383" t="str">
        <f>IF(OR('Base Encuesta'!AJ357="",IFERROR(VALUE(LEFT('Base Encuesta'!K357,1)),"")&gt;=3),"",IF(W383=1,VALUE(LEFT('Base Encuesta'!AJ357,1)),""))</f>
        <v/>
      </c>
      <c r="AC383" t="str">
        <f>IF(OR('Base Encuesta'!AL357="",IFERROR(VALUE(LEFT('Base Encuesta'!K357,1)),"")&gt;=3),"",VALUE(LEFT('Base Encuesta'!AL357,1)))</f>
        <v/>
      </c>
      <c r="AD383" t="str">
        <f>IF(OR('Base Encuesta'!AM357="",IFERROR(VALUE(LEFT('Base Encuesta'!K357,1)),"")&gt;=3),"",VALUE(LEFT('Base Encuesta'!AM357,1)))</f>
        <v/>
      </c>
      <c r="AE383" t="str">
        <f>IF(OR('Base Encuesta'!AN357="",IFERROR(VALUE(LEFT('Base Encuesta'!K357,1)),"")&gt;=3),"",VALUE(LEFT('Base Encuesta'!AN357,1)))</f>
        <v/>
      </c>
      <c r="AF383" t="str">
        <f>IF(OR('Base Encuesta'!AO357="",IFERROR(VALUE(LEFT('Base Encuesta'!K357,1)),"")&gt;=3),"",VALUE(LEFT('Base Encuesta'!AO357,1)))</f>
        <v/>
      </c>
      <c r="AG383" t="str">
        <f>IF(OR('Base Encuesta'!AQ357="",IFERROR(VALUE(LEFT('Base Encuesta'!K357,1)),"")&gt;=3),"",VALUE(LEFT('Base Encuesta'!AQ357,1)))</f>
        <v/>
      </c>
      <c r="AH383" t="str">
        <f>IF(OR('Base Encuesta'!AR357="",IFERROR(VALUE(LEFT('Base Encuesta'!K357,1)),"")&gt;=3),"",VALUE(LEFT('Base Encuesta'!AR357,1)))</f>
        <v/>
      </c>
    </row>
    <row r="384" spans="1:34">
      <c r="A384" t="str">
        <f>IF('Base Encuesta'!C358="","",'Base Encuesta'!C358)</f>
        <v/>
      </c>
      <c r="B384" t="str">
        <f>IF('Base Encuesta'!D358="","",'Base Encuesta'!D358)</f>
        <v/>
      </c>
      <c r="C384" t="str">
        <f>IF('Base Encuesta'!E358="","",'Base Encuesta'!E358)</f>
        <v/>
      </c>
      <c r="D384" t="str">
        <f>IF('Base Encuesta'!F358="","",'Base Encuesta'!F358)</f>
        <v/>
      </c>
      <c r="E384" t="str">
        <f>IF('Base Encuesta'!G358="","",'Base Encuesta'!G358)</f>
        <v/>
      </c>
      <c r="F384" t="str">
        <f>IF('Base Encuesta'!H358="","",'Base Encuesta'!H358)</f>
        <v/>
      </c>
      <c r="G384" t="str">
        <f>IF('Base Encuesta'!I358="","",'Base Encuesta'!I358)</f>
        <v/>
      </c>
      <c r="H384" t="str">
        <f>IF('Base Encuesta'!J358="","",'Base Encuesta'!J358)</f>
        <v/>
      </c>
      <c r="I384" t="str">
        <f>IF('Base Encuesta'!K358="","",'Base Encuesta'!K358)</f>
        <v/>
      </c>
      <c r="J384" t="str">
        <f>IF(OR('Base Encuesta'!P358="",IFERROR(VALUE(LEFT('Base Encuesta'!K358,1)),"")&gt;=3),"",PROPER(TRIM('Base Encuesta'!P358)))</f>
        <v/>
      </c>
      <c r="K384" t="str">
        <f>IF(OR('Base Encuesta'!Q358="",IFERROR(VALUE(LEFT('Base Encuesta'!K358,1)),"")&gt;=3),"",'Base Encuesta'!Q358)</f>
        <v/>
      </c>
      <c r="L384" t="str">
        <f>IF(OR('Base Encuesta'!R358="",IFERROR(VALUE(LEFT('Base Encuesta'!K358,1)),"")&gt;=3),"",VALUE(LEFT('Base Encuesta'!R358,1)))</f>
        <v/>
      </c>
      <c r="M384" t="str">
        <f>IF(OR('Base Encuesta'!S358="",IFERROR(VALUE(LEFT('Base Encuesta'!K358,1)),"")&gt;=3),"",VALUE(LEFT('Base Encuesta'!S358,1)))</f>
        <v/>
      </c>
      <c r="N384" t="str">
        <f>IF(OR('Base Encuesta'!T358="",IFERROR(VALUE(LEFT('Base Encuesta'!K358,1)),"")&gt;=3),"",VALUE(LEFT('Base Encuesta'!T358,1)))</f>
        <v/>
      </c>
      <c r="O384" t="str">
        <f>IF(OR('Base Encuesta'!V358="",IFERROR(VALUE(LEFT('Base Encuesta'!K358,1)),"")&gt;=3),"",VALUE(LEFT('Base Encuesta'!V358,1)))</f>
        <v/>
      </c>
      <c r="P384" t="str">
        <f>IF(OR('Base Encuesta'!W358="",IFERROR(VALUE(LEFT('Base Encuesta'!K358,1)),"")&gt;=3),"",VALUE(LEFT('Base Encuesta'!W358,1)))</f>
        <v/>
      </c>
      <c r="Q384" t="str">
        <f>IF(OR('Base Encuesta'!X358="",IFERROR(VALUE(LEFT('Base Encuesta'!K358,1)),"")&gt;=3),"",VALUE(LEFT('Base Encuesta'!X358,1)))</f>
        <v/>
      </c>
      <c r="R384" t="str">
        <f>IF(OR('Base Encuesta'!Y358="",IFERROR(VALUE(LEFT('Base Encuesta'!K358,1)),"")&gt;=3),"",VALUE(LEFT('Base Encuesta'!Y358,1)))</f>
        <v/>
      </c>
      <c r="S384" t="str">
        <f>IF(OR('Base Encuesta'!Z358="",IFERROR(VALUE(LEFT('Base Encuesta'!K358,1)),"")&gt;=3),"",VALUE(LEFT('Base Encuesta'!Z358,1)))</f>
        <v/>
      </c>
      <c r="T384" t="str">
        <f>IF(OR('Base Encuesta'!AA358="",IFERROR(VALUE(LEFT('Base Encuesta'!K358,1)),"")&gt;=3),"",VALUE(LEFT('Base Encuesta'!AA358,1)))</f>
        <v/>
      </c>
      <c r="U384" t="str">
        <f>IF(OR('Base Encuesta'!AB358="",IFERROR(VALUE(LEFT('Base Encuesta'!K358,1)),"")&gt;=3),"",VALUE(LEFT('Base Encuesta'!AB358,1)))</f>
        <v/>
      </c>
      <c r="V384" t="str">
        <f>IF(OR('Base Encuesta'!AC358="",IFERROR(VALUE(LEFT('Base Encuesta'!K358,1)),"")&gt;=3),"",VALUE(LEFT('Base Encuesta'!AC358,1)))</f>
        <v/>
      </c>
      <c r="W384" t="str">
        <f>IF(OR('Base Encuesta'!AE358="",IFERROR(VALUE(LEFT('Base Encuesta'!K358,1)),"")&gt;=3),"",VALUE(LEFT('Base Encuesta'!AE358,1)))</f>
        <v/>
      </c>
      <c r="X384" t="str">
        <f>IF(OR('Base Encuesta'!AF358="",IFERROR(VALUE(LEFT('Base Encuesta'!K358,1)),"")&gt;=3),"",IF(W384=1,VALUE(LEFT('Base Encuesta'!AF358,1)),""))</f>
        <v/>
      </c>
      <c r="Y384" t="str">
        <f>IF(OR('Base Encuesta'!AG358="",IFERROR(VALUE(LEFT('Base Encuesta'!K358,1)),"")&gt;=3),"",IF(W384=1,VALUE(LEFT('Base Encuesta'!AG358,1)),""))</f>
        <v/>
      </c>
      <c r="Z384" t="str">
        <f>IF(OR('Base Encuesta'!AH358="",IFERROR(VALUE(LEFT('Base Encuesta'!K358,1)),"")&gt;=3),"",IF(W384=1,VALUE(LEFT('Base Encuesta'!AH358,1)),""))</f>
        <v/>
      </c>
      <c r="AA384" t="str">
        <f>IF(OR('Base Encuesta'!AI358="",IFERROR(VALUE(LEFT('Base Encuesta'!K358,1)),"")&gt;=3),"",IF(W384=1,VALUE(LEFT('Base Encuesta'!AI358,1)),""))</f>
        <v/>
      </c>
      <c r="AB384" t="str">
        <f>IF(OR('Base Encuesta'!AJ358="",IFERROR(VALUE(LEFT('Base Encuesta'!K358,1)),"")&gt;=3),"",IF(W384=1,VALUE(LEFT('Base Encuesta'!AJ358,1)),""))</f>
        <v/>
      </c>
      <c r="AC384" t="str">
        <f>IF(OR('Base Encuesta'!AL358="",IFERROR(VALUE(LEFT('Base Encuesta'!K358,1)),"")&gt;=3),"",VALUE(LEFT('Base Encuesta'!AL358,1)))</f>
        <v/>
      </c>
      <c r="AD384" t="str">
        <f>IF(OR('Base Encuesta'!AM358="",IFERROR(VALUE(LEFT('Base Encuesta'!K358,1)),"")&gt;=3),"",VALUE(LEFT('Base Encuesta'!AM358,1)))</f>
        <v/>
      </c>
      <c r="AE384" t="str">
        <f>IF(OR('Base Encuesta'!AN358="",IFERROR(VALUE(LEFT('Base Encuesta'!K358,1)),"")&gt;=3),"",VALUE(LEFT('Base Encuesta'!AN358,1)))</f>
        <v/>
      </c>
      <c r="AF384" t="str">
        <f>IF(OR('Base Encuesta'!AO358="",IFERROR(VALUE(LEFT('Base Encuesta'!K358,1)),"")&gt;=3),"",VALUE(LEFT('Base Encuesta'!AO358,1)))</f>
        <v/>
      </c>
      <c r="AG384" t="str">
        <f>IF(OR('Base Encuesta'!AQ358="",IFERROR(VALUE(LEFT('Base Encuesta'!K358,1)),"")&gt;=3),"",VALUE(LEFT('Base Encuesta'!AQ358,1)))</f>
        <v/>
      </c>
      <c r="AH384" t="str">
        <f>IF(OR('Base Encuesta'!AR358="",IFERROR(VALUE(LEFT('Base Encuesta'!K358,1)),"")&gt;=3),"",VALUE(LEFT('Base Encuesta'!AR358,1)))</f>
        <v/>
      </c>
    </row>
    <row r="385" spans="1:34">
      <c r="A385" t="str">
        <f>IF('Base Encuesta'!C359="","",'Base Encuesta'!C359)</f>
        <v/>
      </c>
      <c r="B385" t="str">
        <f>IF('Base Encuesta'!D359="","",'Base Encuesta'!D359)</f>
        <v/>
      </c>
      <c r="C385" t="str">
        <f>IF('Base Encuesta'!E359="","",'Base Encuesta'!E359)</f>
        <v/>
      </c>
      <c r="D385" t="str">
        <f>IF('Base Encuesta'!F359="","",'Base Encuesta'!F359)</f>
        <v/>
      </c>
      <c r="E385" t="str">
        <f>IF('Base Encuesta'!G359="","",'Base Encuesta'!G359)</f>
        <v/>
      </c>
      <c r="F385" t="str">
        <f>IF('Base Encuesta'!H359="","",'Base Encuesta'!H359)</f>
        <v/>
      </c>
      <c r="G385" t="str">
        <f>IF('Base Encuesta'!I359="","",'Base Encuesta'!I359)</f>
        <v/>
      </c>
      <c r="H385" t="str">
        <f>IF('Base Encuesta'!J359="","",'Base Encuesta'!J359)</f>
        <v/>
      </c>
      <c r="I385" t="str">
        <f>IF('Base Encuesta'!K359="","",'Base Encuesta'!K359)</f>
        <v/>
      </c>
      <c r="J385" t="str">
        <f>IF(OR('Base Encuesta'!P359="",IFERROR(VALUE(LEFT('Base Encuesta'!K359,1)),"")&gt;=3),"",PROPER(TRIM('Base Encuesta'!P359)))</f>
        <v/>
      </c>
      <c r="K385" t="str">
        <f>IF(OR('Base Encuesta'!Q359="",IFERROR(VALUE(LEFT('Base Encuesta'!K359,1)),"")&gt;=3),"",'Base Encuesta'!Q359)</f>
        <v/>
      </c>
      <c r="L385" t="str">
        <f>IF(OR('Base Encuesta'!R359="",IFERROR(VALUE(LEFT('Base Encuesta'!K359,1)),"")&gt;=3),"",VALUE(LEFT('Base Encuesta'!R359,1)))</f>
        <v/>
      </c>
      <c r="M385" t="str">
        <f>IF(OR('Base Encuesta'!S359="",IFERROR(VALUE(LEFT('Base Encuesta'!K359,1)),"")&gt;=3),"",VALUE(LEFT('Base Encuesta'!S359,1)))</f>
        <v/>
      </c>
      <c r="N385" t="str">
        <f>IF(OR('Base Encuesta'!T359="",IFERROR(VALUE(LEFT('Base Encuesta'!K359,1)),"")&gt;=3),"",VALUE(LEFT('Base Encuesta'!T359,1)))</f>
        <v/>
      </c>
      <c r="O385" t="str">
        <f>IF(OR('Base Encuesta'!V359="",IFERROR(VALUE(LEFT('Base Encuesta'!K359,1)),"")&gt;=3),"",VALUE(LEFT('Base Encuesta'!V359,1)))</f>
        <v/>
      </c>
      <c r="P385" t="str">
        <f>IF(OR('Base Encuesta'!W359="",IFERROR(VALUE(LEFT('Base Encuesta'!K359,1)),"")&gt;=3),"",VALUE(LEFT('Base Encuesta'!W359,1)))</f>
        <v/>
      </c>
      <c r="Q385" t="str">
        <f>IF(OR('Base Encuesta'!X359="",IFERROR(VALUE(LEFT('Base Encuesta'!K359,1)),"")&gt;=3),"",VALUE(LEFT('Base Encuesta'!X359,1)))</f>
        <v/>
      </c>
      <c r="R385" t="str">
        <f>IF(OR('Base Encuesta'!Y359="",IFERROR(VALUE(LEFT('Base Encuesta'!K359,1)),"")&gt;=3),"",VALUE(LEFT('Base Encuesta'!Y359,1)))</f>
        <v/>
      </c>
      <c r="S385" t="str">
        <f>IF(OR('Base Encuesta'!Z359="",IFERROR(VALUE(LEFT('Base Encuesta'!K359,1)),"")&gt;=3),"",VALUE(LEFT('Base Encuesta'!Z359,1)))</f>
        <v/>
      </c>
      <c r="T385" t="str">
        <f>IF(OR('Base Encuesta'!AA359="",IFERROR(VALUE(LEFT('Base Encuesta'!K359,1)),"")&gt;=3),"",VALUE(LEFT('Base Encuesta'!AA359,1)))</f>
        <v/>
      </c>
      <c r="U385" t="str">
        <f>IF(OR('Base Encuesta'!AB359="",IFERROR(VALUE(LEFT('Base Encuesta'!K359,1)),"")&gt;=3),"",VALUE(LEFT('Base Encuesta'!AB359,1)))</f>
        <v/>
      </c>
      <c r="V385" t="str">
        <f>IF(OR('Base Encuesta'!AC359="",IFERROR(VALUE(LEFT('Base Encuesta'!K359,1)),"")&gt;=3),"",VALUE(LEFT('Base Encuesta'!AC359,1)))</f>
        <v/>
      </c>
      <c r="W385" t="str">
        <f>IF(OR('Base Encuesta'!AE359="",IFERROR(VALUE(LEFT('Base Encuesta'!K359,1)),"")&gt;=3),"",VALUE(LEFT('Base Encuesta'!AE359,1)))</f>
        <v/>
      </c>
      <c r="X385" t="str">
        <f>IF(OR('Base Encuesta'!AF359="",IFERROR(VALUE(LEFT('Base Encuesta'!K359,1)),"")&gt;=3),"",IF(W385=1,VALUE(LEFT('Base Encuesta'!AF359,1)),""))</f>
        <v/>
      </c>
      <c r="Y385" t="str">
        <f>IF(OR('Base Encuesta'!AG359="",IFERROR(VALUE(LEFT('Base Encuesta'!K359,1)),"")&gt;=3),"",IF(W385=1,VALUE(LEFT('Base Encuesta'!AG359,1)),""))</f>
        <v/>
      </c>
      <c r="Z385" t="str">
        <f>IF(OR('Base Encuesta'!AH359="",IFERROR(VALUE(LEFT('Base Encuesta'!K359,1)),"")&gt;=3),"",IF(W385=1,VALUE(LEFT('Base Encuesta'!AH359,1)),""))</f>
        <v/>
      </c>
      <c r="AA385" t="str">
        <f>IF(OR('Base Encuesta'!AI359="",IFERROR(VALUE(LEFT('Base Encuesta'!K359,1)),"")&gt;=3),"",IF(W385=1,VALUE(LEFT('Base Encuesta'!AI359,1)),""))</f>
        <v/>
      </c>
      <c r="AB385" t="str">
        <f>IF(OR('Base Encuesta'!AJ359="",IFERROR(VALUE(LEFT('Base Encuesta'!K359,1)),"")&gt;=3),"",IF(W385=1,VALUE(LEFT('Base Encuesta'!AJ359,1)),""))</f>
        <v/>
      </c>
      <c r="AC385" t="str">
        <f>IF(OR('Base Encuesta'!AL359="",IFERROR(VALUE(LEFT('Base Encuesta'!K359,1)),"")&gt;=3),"",VALUE(LEFT('Base Encuesta'!AL359,1)))</f>
        <v/>
      </c>
      <c r="AD385" t="str">
        <f>IF(OR('Base Encuesta'!AM359="",IFERROR(VALUE(LEFT('Base Encuesta'!K359,1)),"")&gt;=3),"",VALUE(LEFT('Base Encuesta'!AM359,1)))</f>
        <v/>
      </c>
      <c r="AE385" t="str">
        <f>IF(OR('Base Encuesta'!AN359="",IFERROR(VALUE(LEFT('Base Encuesta'!K359,1)),"")&gt;=3),"",VALUE(LEFT('Base Encuesta'!AN359,1)))</f>
        <v/>
      </c>
      <c r="AF385" t="str">
        <f>IF(OR('Base Encuesta'!AO359="",IFERROR(VALUE(LEFT('Base Encuesta'!K359,1)),"")&gt;=3),"",VALUE(LEFT('Base Encuesta'!AO359,1)))</f>
        <v/>
      </c>
      <c r="AG385" t="str">
        <f>IF(OR('Base Encuesta'!AQ359="",IFERROR(VALUE(LEFT('Base Encuesta'!K359,1)),"")&gt;=3),"",VALUE(LEFT('Base Encuesta'!AQ359,1)))</f>
        <v/>
      </c>
      <c r="AH385" t="str">
        <f>IF(OR('Base Encuesta'!AR359="",IFERROR(VALUE(LEFT('Base Encuesta'!K359,1)),"")&gt;=3),"",VALUE(LEFT('Base Encuesta'!AR359,1)))</f>
        <v/>
      </c>
    </row>
    <row r="386" spans="1:34">
      <c r="A386" t="str">
        <f>IF('Base Encuesta'!C360="","",'Base Encuesta'!C360)</f>
        <v/>
      </c>
      <c r="B386" t="str">
        <f>IF('Base Encuesta'!D360="","",'Base Encuesta'!D360)</f>
        <v/>
      </c>
      <c r="C386" t="str">
        <f>IF('Base Encuesta'!E360="","",'Base Encuesta'!E360)</f>
        <v/>
      </c>
      <c r="D386" t="str">
        <f>IF('Base Encuesta'!F360="","",'Base Encuesta'!F360)</f>
        <v/>
      </c>
      <c r="E386" t="str">
        <f>IF('Base Encuesta'!G360="","",'Base Encuesta'!G360)</f>
        <v/>
      </c>
      <c r="F386" t="str">
        <f>IF('Base Encuesta'!H360="","",'Base Encuesta'!H360)</f>
        <v/>
      </c>
      <c r="G386" t="str">
        <f>IF('Base Encuesta'!I360="","",'Base Encuesta'!I360)</f>
        <v/>
      </c>
      <c r="H386" t="str">
        <f>IF('Base Encuesta'!J360="","",'Base Encuesta'!J360)</f>
        <v/>
      </c>
      <c r="I386" t="str">
        <f>IF('Base Encuesta'!K360="","",'Base Encuesta'!K360)</f>
        <v/>
      </c>
      <c r="J386" t="str">
        <f>IF(OR('Base Encuesta'!P360="",IFERROR(VALUE(LEFT('Base Encuesta'!K360,1)),"")&gt;=3),"",PROPER(TRIM('Base Encuesta'!P360)))</f>
        <v/>
      </c>
      <c r="K386" t="str">
        <f>IF(OR('Base Encuesta'!Q360="",IFERROR(VALUE(LEFT('Base Encuesta'!K360,1)),"")&gt;=3),"",'Base Encuesta'!Q360)</f>
        <v/>
      </c>
      <c r="L386" t="str">
        <f>IF(OR('Base Encuesta'!R360="",IFERROR(VALUE(LEFT('Base Encuesta'!K360,1)),"")&gt;=3),"",VALUE(LEFT('Base Encuesta'!R360,1)))</f>
        <v/>
      </c>
      <c r="M386" t="str">
        <f>IF(OR('Base Encuesta'!S360="",IFERROR(VALUE(LEFT('Base Encuesta'!K360,1)),"")&gt;=3),"",VALUE(LEFT('Base Encuesta'!S360,1)))</f>
        <v/>
      </c>
      <c r="N386" t="str">
        <f>IF(OR('Base Encuesta'!T360="",IFERROR(VALUE(LEFT('Base Encuesta'!K360,1)),"")&gt;=3),"",VALUE(LEFT('Base Encuesta'!T360,1)))</f>
        <v/>
      </c>
      <c r="O386" t="str">
        <f>IF(OR('Base Encuesta'!V360="",IFERROR(VALUE(LEFT('Base Encuesta'!K360,1)),"")&gt;=3),"",VALUE(LEFT('Base Encuesta'!V360,1)))</f>
        <v/>
      </c>
      <c r="P386" t="str">
        <f>IF(OR('Base Encuesta'!W360="",IFERROR(VALUE(LEFT('Base Encuesta'!K360,1)),"")&gt;=3),"",VALUE(LEFT('Base Encuesta'!W360,1)))</f>
        <v/>
      </c>
      <c r="Q386" t="str">
        <f>IF(OR('Base Encuesta'!X360="",IFERROR(VALUE(LEFT('Base Encuesta'!K360,1)),"")&gt;=3),"",VALUE(LEFT('Base Encuesta'!X360,1)))</f>
        <v/>
      </c>
      <c r="R386" t="str">
        <f>IF(OR('Base Encuesta'!Y360="",IFERROR(VALUE(LEFT('Base Encuesta'!K360,1)),"")&gt;=3),"",VALUE(LEFT('Base Encuesta'!Y360,1)))</f>
        <v/>
      </c>
      <c r="S386" t="str">
        <f>IF(OR('Base Encuesta'!Z360="",IFERROR(VALUE(LEFT('Base Encuesta'!K360,1)),"")&gt;=3),"",VALUE(LEFT('Base Encuesta'!Z360,1)))</f>
        <v/>
      </c>
      <c r="T386" t="str">
        <f>IF(OR('Base Encuesta'!AA360="",IFERROR(VALUE(LEFT('Base Encuesta'!K360,1)),"")&gt;=3),"",VALUE(LEFT('Base Encuesta'!AA360,1)))</f>
        <v/>
      </c>
      <c r="U386" t="str">
        <f>IF(OR('Base Encuesta'!AB360="",IFERROR(VALUE(LEFT('Base Encuesta'!K360,1)),"")&gt;=3),"",VALUE(LEFT('Base Encuesta'!AB360,1)))</f>
        <v/>
      </c>
      <c r="V386" t="str">
        <f>IF(OR('Base Encuesta'!AC360="",IFERROR(VALUE(LEFT('Base Encuesta'!K360,1)),"")&gt;=3),"",VALUE(LEFT('Base Encuesta'!AC360,1)))</f>
        <v/>
      </c>
      <c r="W386" t="str">
        <f>IF(OR('Base Encuesta'!AE360="",IFERROR(VALUE(LEFT('Base Encuesta'!K360,1)),"")&gt;=3),"",VALUE(LEFT('Base Encuesta'!AE360,1)))</f>
        <v/>
      </c>
      <c r="X386" t="str">
        <f>IF(OR('Base Encuesta'!AF360="",IFERROR(VALUE(LEFT('Base Encuesta'!K360,1)),"")&gt;=3),"",IF(W386=1,VALUE(LEFT('Base Encuesta'!AF360,1)),""))</f>
        <v/>
      </c>
      <c r="Y386" t="str">
        <f>IF(OR('Base Encuesta'!AG360="",IFERROR(VALUE(LEFT('Base Encuesta'!K360,1)),"")&gt;=3),"",IF(W386=1,VALUE(LEFT('Base Encuesta'!AG360,1)),""))</f>
        <v/>
      </c>
      <c r="Z386" t="str">
        <f>IF(OR('Base Encuesta'!AH360="",IFERROR(VALUE(LEFT('Base Encuesta'!K360,1)),"")&gt;=3),"",IF(W386=1,VALUE(LEFT('Base Encuesta'!AH360,1)),""))</f>
        <v/>
      </c>
      <c r="AA386" t="str">
        <f>IF(OR('Base Encuesta'!AI360="",IFERROR(VALUE(LEFT('Base Encuesta'!K360,1)),"")&gt;=3),"",IF(W386=1,VALUE(LEFT('Base Encuesta'!AI360,1)),""))</f>
        <v/>
      </c>
      <c r="AB386" t="str">
        <f>IF(OR('Base Encuesta'!AJ360="",IFERROR(VALUE(LEFT('Base Encuesta'!K360,1)),"")&gt;=3),"",IF(W386=1,VALUE(LEFT('Base Encuesta'!AJ360,1)),""))</f>
        <v/>
      </c>
      <c r="AC386" t="str">
        <f>IF(OR('Base Encuesta'!AL360="",IFERROR(VALUE(LEFT('Base Encuesta'!K360,1)),"")&gt;=3),"",VALUE(LEFT('Base Encuesta'!AL360,1)))</f>
        <v/>
      </c>
      <c r="AD386" t="str">
        <f>IF(OR('Base Encuesta'!AM360="",IFERROR(VALUE(LEFT('Base Encuesta'!K360,1)),"")&gt;=3),"",VALUE(LEFT('Base Encuesta'!AM360,1)))</f>
        <v/>
      </c>
      <c r="AE386" t="str">
        <f>IF(OR('Base Encuesta'!AN360="",IFERROR(VALUE(LEFT('Base Encuesta'!K360,1)),"")&gt;=3),"",VALUE(LEFT('Base Encuesta'!AN360,1)))</f>
        <v/>
      </c>
      <c r="AF386" t="str">
        <f>IF(OR('Base Encuesta'!AO360="",IFERROR(VALUE(LEFT('Base Encuesta'!K360,1)),"")&gt;=3),"",VALUE(LEFT('Base Encuesta'!AO360,1)))</f>
        <v/>
      </c>
      <c r="AG386" t="str">
        <f>IF(OR('Base Encuesta'!AQ360="",IFERROR(VALUE(LEFT('Base Encuesta'!K360,1)),"")&gt;=3),"",VALUE(LEFT('Base Encuesta'!AQ360,1)))</f>
        <v/>
      </c>
      <c r="AH386" t="str">
        <f>IF(OR('Base Encuesta'!AR360="",IFERROR(VALUE(LEFT('Base Encuesta'!K360,1)),"")&gt;=3),"",VALUE(LEFT('Base Encuesta'!AR360,1)))</f>
        <v/>
      </c>
    </row>
    <row r="387" spans="1:34">
      <c r="A387" t="str">
        <f>IF('Base Encuesta'!C361="","",'Base Encuesta'!C361)</f>
        <v/>
      </c>
      <c r="B387" t="str">
        <f>IF('Base Encuesta'!D361="","",'Base Encuesta'!D361)</f>
        <v/>
      </c>
      <c r="C387" t="str">
        <f>IF('Base Encuesta'!E361="","",'Base Encuesta'!E361)</f>
        <v/>
      </c>
      <c r="D387" t="str">
        <f>IF('Base Encuesta'!F361="","",'Base Encuesta'!F361)</f>
        <v/>
      </c>
      <c r="E387" t="str">
        <f>IF('Base Encuesta'!G361="","",'Base Encuesta'!G361)</f>
        <v/>
      </c>
      <c r="F387" t="str">
        <f>IF('Base Encuesta'!H361="","",'Base Encuesta'!H361)</f>
        <v/>
      </c>
      <c r="G387" t="str">
        <f>IF('Base Encuesta'!I361="","",'Base Encuesta'!I361)</f>
        <v/>
      </c>
      <c r="H387" t="str">
        <f>IF('Base Encuesta'!J361="","",'Base Encuesta'!J361)</f>
        <v/>
      </c>
      <c r="I387" t="str">
        <f>IF('Base Encuesta'!K361="","",'Base Encuesta'!K361)</f>
        <v/>
      </c>
      <c r="J387" t="str">
        <f>IF(OR('Base Encuesta'!P361="",IFERROR(VALUE(LEFT('Base Encuesta'!K361,1)),"")&gt;=3),"",PROPER(TRIM('Base Encuesta'!P361)))</f>
        <v/>
      </c>
      <c r="K387" t="str">
        <f>IF(OR('Base Encuesta'!Q361="",IFERROR(VALUE(LEFT('Base Encuesta'!K361,1)),"")&gt;=3),"",'Base Encuesta'!Q361)</f>
        <v/>
      </c>
      <c r="L387" t="str">
        <f>IF(OR('Base Encuesta'!R361="",IFERROR(VALUE(LEFT('Base Encuesta'!K361,1)),"")&gt;=3),"",VALUE(LEFT('Base Encuesta'!R361,1)))</f>
        <v/>
      </c>
      <c r="M387" t="str">
        <f>IF(OR('Base Encuesta'!S361="",IFERROR(VALUE(LEFT('Base Encuesta'!K361,1)),"")&gt;=3),"",VALUE(LEFT('Base Encuesta'!S361,1)))</f>
        <v/>
      </c>
      <c r="N387" t="str">
        <f>IF(OR('Base Encuesta'!T361="",IFERROR(VALUE(LEFT('Base Encuesta'!K361,1)),"")&gt;=3),"",VALUE(LEFT('Base Encuesta'!T361,1)))</f>
        <v/>
      </c>
      <c r="O387" t="str">
        <f>IF(OR('Base Encuesta'!V361="",IFERROR(VALUE(LEFT('Base Encuesta'!K361,1)),"")&gt;=3),"",VALUE(LEFT('Base Encuesta'!V361,1)))</f>
        <v/>
      </c>
      <c r="P387" t="str">
        <f>IF(OR('Base Encuesta'!W361="",IFERROR(VALUE(LEFT('Base Encuesta'!K361,1)),"")&gt;=3),"",VALUE(LEFT('Base Encuesta'!W361,1)))</f>
        <v/>
      </c>
      <c r="Q387" t="str">
        <f>IF(OR('Base Encuesta'!X361="",IFERROR(VALUE(LEFT('Base Encuesta'!K361,1)),"")&gt;=3),"",VALUE(LEFT('Base Encuesta'!X361,1)))</f>
        <v/>
      </c>
      <c r="R387" t="str">
        <f>IF(OR('Base Encuesta'!Y361="",IFERROR(VALUE(LEFT('Base Encuesta'!K361,1)),"")&gt;=3),"",VALUE(LEFT('Base Encuesta'!Y361,1)))</f>
        <v/>
      </c>
      <c r="S387" t="str">
        <f>IF(OR('Base Encuesta'!Z361="",IFERROR(VALUE(LEFT('Base Encuesta'!K361,1)),"")&gt;=3),"",VALUE(LEFT('Base Encuesta'!Z361,1)))</f>
        <v/>
      </c>
      <c r="T387" t="str">
        <f>IF(OR('Base Encuesta'!AA361="",IFERROR(VALUE(LEFT('Base Encuesta'!K361,1)),"")&gt;=3),"",VALUE(LEFT('Base Encuesta'!AA361,1)))</f>
        <v/>
      </c>
      <c r="U387" t="str">
        <f>IF(OR('Base Encuesta'!AB361="",IFERROR(VALUE(LEFT('Base Encuesta'!K361,1)),"")&gt;=3),"",VALUE(LEFT('Base Encuesta'!AB361,1)))</f>
        <v/>
      </c>
      <c r="V387" t="str">
        <f>IF(OR('Base Encuesta'!AC361="",IFERROR(VALUE(LEFT('Base Encuesta'!K361,1)),"")&gt;=3),"",VALUE(LEFT('Base Encuesta'!AC361,1)))</f>
        <v/>
      </c>
      <c r="W387" t="str">
        <f>IF(OR('Base Encuesta'!AE361="",IFERROR(VALUE(LEFT('Base Encuesta'!K361,1)),"")&gt;=3),"",VALUE(LEFT('Base Encuesta'!AE361,1)))</f>
        <v/>
      </c>
      <c r="X387" t="str">
        <f>IF(OR('Base Encuesta'!AF361="",IFERROR(VALUE(LEFT('Base Encuesta'!K361,1)),"")&gt;=3),"",IF(W387=1,VALUE(LEFT('Base Encuesta'!AF361,1)),""))</f>
        <v/>
      </c>
      <c r="Y387" t="str">
        <f>IF(OR('Base Encuesta'!AG361="",IFERROR(VALUE(LEFT('Base Encuesta'!K361,1)),"")&gt;=3),"",IF(W387=1,VALUE(LEFT('Base Encuesta'!AG361,1)),""))</f>
        <v/>
      </c>
      <c r="Z387" t="str">
        <f>IF(OR('Base Encuesta'!AH361="",IFERROR(VALUE(LEFT('Base Encuesta'!K361,1)),"")&gt;=3),"",IF(W387=1,VALUE(LEFT('Base Encuesta'!AH361,1)),""))</f>
        <v/>
      </c>
      <c r="AA387" t="str">
        <f>IF(OR('Base Encuesta'!AI361="",IFERROR(VALUE(LEFT('Base Encuesta'!K361,1)),"")&gt;=3),"",IF(W387=1,VALUE(LEFT('Base Encuesta'!AI361,1)),""))</f>
        <v/>
      </c>
      <c r="AB387" t="str">
        <f>IF(OR('Base Encuesta'!AJ361="",IFERROR(VALUE(LEFT('Base Encuesta'!K361,1)),"")&gt;=3),"",IF(W387=1,VALUE(LEFT('Base Encuesta'!AJ361,1)),""))</f>
        <v/>
      </c>
      <c r="AC387" t="str">
        <f>IF(OR('Base Encuesta'!AL361="",IFERROR(VALUE(LEFT('Base Encuesta'!K361,1)),"")&gt;=3),"",VALUE(LEFT('Base Encuesta'!AL361,1)))</f>
        <v/>
      </c>
      <c r="AD387" t="str">
        <f>IF(OR('Base Encuesta'!AM361="",IFERROR(VALUE(LEFT('Base Encuesta'!K361,1)),"")&gt;=3),"",VALUE(LEFT('Base Encuesta'!AM361,1)))</f>
        <v/>
      </c>
      <c r="AE387" t="str">
        <f>IF(OR('Base Encuesta'!AN361="",IFERROR(VALUE(LEFT('Base Encuesta'!K361,1)),"")&gt;=3),"",VALUE(LEFT('Base Encuesta'!AN361,1)))</f>
        <v/>
      </c>
      <c r="AF387" t="str">
        <f>IF(OR('Base Encuesta'!AO361="",IFERROR(VALUE(LEFT('Base Encuesta'!K361,1)),"")&gt;=3),"",VALUE(LEFT('Base Encuesta'!AO361,1)))</f>
        <v/>
      </c>
      <c r="AG387" t="str">
        <f>IF(OR('Base Encuesta'!AQ361="",IFERROR(VALUE(LEFT('Base Encuesta'!K361,1)),"")&gt;=3),"",VALUE(LEFT('Base Encuesta'!AQ361,1)))</f>
        <v/>
      </c>
      <c r="AH387" t="str">
        <f>IF(OR('Base Encuesta'!AR361="",IFERROR(VALUE(LEFT('Base Encuesta'!K361,1)),"")&gt;=3),"",VALUE(LEFT('Base Encuesta'!AR361,1)))</f>
        <v/>
      </c>
    </row>
    <row r="388" spans="1:34">
      <c r="A388" t="str">
        <f>IF('Base Encuesta'!C362="","",'Base Encuesta'!C362)</f>
        <v/>
      </c>
      <c r="B388" t="str">
        <f>IF('Base Encuesta'!D362="","",'Base Encuesta'!D362)</f>
        <v/>
      </c>
      <c r="C388" t="str">
        <f>IF('Base Encuesta'!E362="","",'Base Encuesta'!E362)</f>
        <v/>
      </c>
      <c r="D388" t="str">
        <f>IF('Base Encuesta'!F362="","",'Base Encuesta'!F362)</f>
        <v/>
      </c>
      <c r="E388" t="str">
        <f>IF('Base Encuesta'!G362="","",'Base Encuesta'!G362)</f>
        <v/>
      </c>
      <c r="F388" t="str">
        <f>IF('Base Encuesta'!H362="","",'Base Encuesta'!H362)</f>
        <v/>
      </c>
      <c r="G388" t="str">
        <f>IF('Base Encuesta'!I362="","",'Base Encuesta'!I362)</f>
        <v/>
      </c>
      <c r="H388" t="str">
        <f>IF('Base Encuesta'!J362="","",'Base Encuesta'!J362)</f>
        <v/>
      </c>
      <c r="I388" t="str">
        <f>IF('Base Encuesta'!K362="","",'Base Encuesta'!K362)</f>
        <v/>
      </c>
      <c r="J388" t="str">
        <f>IF(OR('Base Encuesta'!P362="",IFERROR(VALUE(LEFT('Base Encuesta'!K362,1)),"")&gt;=3),"",PROPER(TRIM('Base Encuesta'!P362)))</f>
        <v/>
      </c>
      <c r="K388" t="str">
        <f>IF(OR('Base Encuesta'!Q362="",IFERROR(VALUE(LEFT('Base Encuesta'!K362,1)),"")&gt;=3),"",'Base Encuesta'!Q362)</f>
        <v/>
      </c>
      <c r="L388" t="str">
        <f>IF(OR('Base Encuesta'!R362="",IFERROR(VALUE(LEFT('Base Encuesta'!K362,1)),"")&gt;=3),"",VALUE(LEFT('Base Encuesta'!R362,1)))</f>
        <v/>
      </c>
      <c r="M388" t="str">
        <f>IF(OR('Base Encuesta'!S362="",IFERROR(VALUE(LEFT('Base Encuesta'!K362,1)),"")&gt;=3),"",VALUE(LEFT('Base Encuesta'!S362,1)))</f>
        <v/>
      </c>
      <c r="N388" t="str">
        <f>IF(OR('Base Encuesta'!T362="",IFERROR(VALUE(LEFT('Base Encuesta'!K362,1)),"")&gt;=3),"",VALUE(LEFT('Base Encuesta'!T362,1)))</f>
        <v/>
      </c>
      <c r="O388" t="str">
        <f>IF(OR('Base Encuesta'!V362="",IFERROR(VALUE(LEFT('Base Encuesta'!K362,1)),"")&gt;=3),"",VALUE(LEFT('Base Encuesta'!V362,1)))</f>
        <v/>
      </c>
      <c r="P388" t="str">
        <f>IF(OR('Base Encuesta'!W362="",IFERROR(VALUE(LEFT('Base Encuesta'!K362,1)),"")&gt;=3),"",VALUE(LEFT('Base Encuesta'!W362,1)))</f>
        <v/>
      </c>
      <c r="Q388" t="str">
        <f>IF(OR('Base Encuesta'!X362="",IFERROR(VALUE(LEFT('Base Encuesta'!K362,1)),"")&gt;=3),"",VALUE(LEFT('Base Encuesta'!X362,1)))</f>
        <v/>
      </c>
      <c r="R388" t="str">
        <f>IF(OR('Base Encuesta'!Y362="",IFERROR(VALUE(LEFT('Base Encuesta'!K362,1)),"")&gt;=3),"",VALUE(LEFT('Base Encuesta'!Y362,1)))</f>
        <v/>
      </c>
      <c r="S388" t="str">
        <f>IF(OR('Base Encuesta'!Z362="",IFERROR(VALUE(LEFT('Base Encuesta'!K362,1)),"")&gt;=3),"",VALUE(LEFT('Base Encuesta'!Z362,1)))</f>
        <v/>
      </c>
      <c r="T388" t="str">
        <f>IF(OR('Base Encuesta'!AA362="",IFERROR(VALUE(LEFT('Base Encuesta'!K362,1)),"")&gt;=3),"",VALUE(LEFT('Base Encuesta'!AA362,1)))</f>
        <v/>
      </c>
      <c r="U388" t="str">
        <f>IF(OR('Base Encuesta'!AB362="",IFERROR(VALUE(LEFT('Base Encuesta'!K362,1)),"")&gt;=3),"",VALUE(LEFT('Base Encuesta'!AB362,1)))</f>
        <v/>
      </c>
      <c r="V388" t="str">
        <f>IF(OR('Base Encuesta'!AC362="",IFERROR(VALUE(LEFT('Base Encuesta'!K362,1)),"")&gt;=3),"",VALUE(LEFT('Base Encuesta'!AC362,1)))</f>
        <v/>
      </c>
      <c r="W388" t="str">
        <f>IF(OR('Base Encuesta'!AE362="",IFERROR(VALUE(LEFT('Base Encuesta'!K362,1)),"")&gt;=3),"",VALUE(LEFT('Base Encuesta'!AE362,1)))</f>
        <v/>
      </c>
      <c r="X388" t="str">
        <f>IF(OR('Base Encuesta'!AF362="",IFERROR(VALUE(LEFT('Base Encuesta'!K362,1)),"")&gt;=3),"",IF(W388=1,VALUE(LEFT('Base Encuesta'!AF362,1)),""))</f>
        <v/>
      </c>
      <c r="Y388" t="str">
        <f>IF(OR('Base Encuesta'!AG362="",IFERROR(VALUE(LEFT('Base Encuesta'!K362,1)),"")&gt;=3),"",IF(W388=1,VALUE(LEFT('Base Encuesta'!AG362,1)),""))</f>
        <v/>
      </c>
      <c r="Z388" t="str">
        <f>IF(OR('Base Encuesta'!AH362="",IFERROR(VALUE(LEFT('Base Encuesta'!K362,1)),"")&gt;=3),"",IF(W388=1,VALUE(LEFT('Base Encuesta'!AH362,1)),""))</f>
        <v/>
      </c>
      <c r="AA388" t="str">
        <f>IF(OR('Base Encuesta'!AI362="",IFERROR(VALUE(LEFT('Base Encuesta'!K362,1)),"")&gt;=3),"",IF(W388=1,VALUE(LEFT('Base Encuesta'!AI362,1)),""))</f>
        <v/>
      </c>
      <c r="AB388" t="str">
        <f>IF(OR('Base Encuesta'!AJ362="",IFERROR(VALUE(LEFT('Base Encuesta'!K362,1)),"")&gt;=3),"",IF(W388=1,VALUE(LEFT('Base Encuesta'!AJ362,1)),""))</f>
        <v/>
      </c>
      <c r="AC388" t="str">
        <f>IF(OR('Base Encuesta'!AL362="",IFERROR(VALUE(LEFT('Base Encuesta'!K362,1)),"")&gt;=3),"",VALUE(LEFT('Base Encuesta'!AL362,1)))</f>
        <v/>
      </c>
      <c r="AD388" t="str">
        <f>IF(OR('Base Encuesta'!AM362="",IFERROR(VALUE(LEFT('Base Encuesta'!K362,1)),"")&gt;=3),"",VALUE(LEFT('Base Encuesta'!AM362,1)))</f>
        <v/>
      </c>
      <c r="AE388" t="str">
        <f>IF(OR('Base Encuesta'!AN362="",IFERROR(VALUE(LEFT('Base Encuesta'!K362,1)),"")&gt;=3),"",VALUE(LEFT('Base Encuesta'!AN362,1)))</f>
        <v/>
      </c>
      <c r="AF388" t="str">
        <f>IF(OR('Base Encuesta'!AO362="",IFERROR(VALUE(LEFT('Base Encuesta'!K362,1)),"")&gt;=3),"",VALUE(LEFT('Base Encuesta'!AO362,1)))</f>
        <v/>
      </c>
      <c r="AG388" t="str">
        <f>IF(OR('Base Encuesta'!AQ362="",IFERROR(VALUE(LEFT('Base Encuesta'!K362,1)),"")&gt;=3),"",VALUE(LEFT('Base Encuesta'!AQ362,1)))</f>
        <v/>
      </c>
      <c r="AH388" t="str">
        <f>IF(OR('Base Encuesta'!AR362="",IFERROR(VALUE(LEFT('Base Encuesta'!K362,1)),"")&gt;=3),"",VALUE(LEFT('Base Encuesta'!AR362,1)))</f>
        <v/>
      </c>
    </row>
    <row r="389" spans="1:34">
      <c r="A389" t="str">
        <f>IF('Base Encuesta'!C363="","",'Base Encuesta'!C363)</f>
        <v/>
      </c>
      <c r="B389" t="str">
        <f>IF('Base Encuesta'!D363="","",'Base Encuesta'!D363)</f>
        <v/>
      </c>
      <c r="C389" t="str">
        <f>IF('Base Encuesta'!E363="","",'Base Encuesta'!E363)</f>
        <v/>
      </c>
      <c r="D389" t="str">
        <f>IF('Base Encuesta'!F363="","",'Base Encuesta'!F363)</f>
        <v/>
      </c>
      <c r="E389" t="str">
        <f>IF('Base Encuesta'!G363="","",'Base Encuesta'!G363)</f>
        <v/>
      </c>
      <c r="F389" t="str">
        <f>IF('Base Encuesta'!H363="","",'Base Encuesta'!H363)</f>
        <v/>
      </c>
      <c r="G389" t="str">
        <f>IF('Base Encuesta'!I363="","",'Base Encuesta'!I363)</f>
        <v/>
      </c>
      <c r="H389" t="str">
        <f>IF('Base Encuesta'!J363="","",'Base Encuesta'!J363)</f>
        <v/>
      </c>
      <c r="I389" t="str">
        <f>IF('Base Encuesta'!K363="","",'Base Encuesta'!K363)</f>
        <v/>
      </c>
      <c r="J389" t="str">
        <f>IF(OR('Base Encuesta'!P363="",IFERROR(VALUE(LEFT('Base Encuesta'!K363,1)),"")&gt;=3),"",PROPER(TRIM('Base Encuesta'!P363)))</f>
        <v/>
      </c>
      <c r="K389" t="str">
        <f>IF(OR('Base Encuesta'!Q363="",IFERROR(VALUE(LEFT('Base Encuesta'!K363,1)),"")&gt;=3),"",'Base Encuesta'!Q363)</f>
        <v/>
      </c>
      <c r="L389" t="str">
        <f>IF(OR('Base Encuesta'!R363="",IFERROR(VALUE(LEFT('Base Encuesta'!K363,1)),"")&gt;=3),"",VALUE(LEFT('Base Encuesta'!R363,1)))</f>
        <v/>
      </c>
      <c r="M389" t="str">
        <f>IF(OR('Base Encuesta'!S363="",IFERROR(VALUE(LEFT('Base Encuesta'!K363,1)),"")&gt;=3),"",VALUE(LEFT('Base Encuesta'!S363,1)))</f>
        <v/>
      </c>
      <c r="N389" t="str">
        <f>IF(OR('Base Encuesta'!T363="",IFERROR(VALUE(LEFT('Base Encuesta'!K363,1)),"")&gt;=3),"",VALUE(LEFT('Base Encuesta'!T363,1)))</f>
        <v/>
      </c>
      <c r="O389" t="str">
        <f>IF(OR('Base Encuesta'!V363="",IFERROR(VALUE(LEFT('Base Encuesta'!K363,1)),"")&gt;=3),"",VALUE(LEFT('Base Encuesta'!V363,1)))</f>
        <v/>
      </c>
      <c r="P389" t="str">
        <f>IF(OR('Base Encuesta'!W363="",IFERROR(VALUE(LEFT('Base Encuesta'!K363,1)),"")&gt;=3),"",VALUE(LEFT('Base Encuesta'!W363,1)))</f>
        <v/>
      </c>
      <c r="Q389" t="str">
        <f>IF(OR('Base Encuesta'!X363="",IFERROR(VALUE(LEFT('Base Encuesta'!K363,1)),"")&gt;=3),"",VALUE(LEFT('Base Encuesta'!X363,1)))</f>
        <v/>
      </c>
      <c r="R389" t="str">
        <f>IF(OR('Base Encuesta'!Y363="",IFERROR(VALUE(LEFT('Base Encuesta'!K363,1)),"")&gt;=3),"",VALUE(LEFT('Base Encuesta'!Y363,1)))</f>
        <v/>
      </c>
      <c r="S389" t="str">
        <f>IF(OR('Base Encuesta'!Z363="",IFERROR(VALUE(LEFT('Base Encuesta'!K363,1)),"")&gt;=3),"",VALUE(LEFT('Base Encuesta'!Z363,1)))</f>
        <v/>
      </c>
      <c r="T389" t="str">
        <f>IF(OR('Base Encuesta'!AA363="",IFERROR(VALUE(LEFT('Base Encuesta'!K363,1)),"")&gt;=3),"",VALUE(LEFT('Base Encuesta'!AA363,1)))</f>
        <v/>
      </c>
      <c r="U389" t="str">
        <f>IF(OR('Base Encuesta'!AB363="",IFERROR(VALUE(LEFT('Base Encuesta'!K363,1)),"")&gt;=3),"",VALUE(LEFT('Base Encuesta'!AB363,1)))</f>
        <v/>
      </c>
      <c r="V389" t="str">
        <f>IF(OR('Base Encuesta'!AC363="",IFERROR(VALUE(LEFT('Base Encuesta'!K363,1)),"")&gt;=3),"",VALUE(LEFT('Base Encuesta'!AC363,1)))</f>
        <v/>
      </c>
      <c r="W389" t="str">
        <f>IF(OR('Base Encuesta'!AE363="",IFERROR(VALUE(LEFT('Base Encuesta'!K363,1)),"")&gt;=3),"",VALUE(LEFT('Base Encuesta'!AE363,1)))</f>
        <v/>
      </c>
      <c r="X389" t="str">
        <f>IF(OR('Base Encuesta'!AF363="",IFERROR(VALUE(LEFT('Base Encuesta'!K363,1)),"")&gt;=3),"",IF(W389=1,VALUE(LEFT('Base Encuesta'!AF363,1)),""))</f>
        <v/>
      </c>
      <c r="Y389" t="str">
        <f>IF(OR('Base Encuesta'!AG363="",IFERROR(VALUE(LEFT('Base Encuesta'!K363,1)),"")&gt;=3),"",IF(W389=1,VALUE(LEFT('Base Encuesta'!AG363,1)),""))</f>
        <v/>
      </c>
      <c r="Z389" t="str">
        <f>IF(OR('Base Encuesta'!AH363="",IFERROR(VALUE(LEFT('Base Encuesta'!K363,1)),"")&gt;=3),"",IF(W389=1,VALUE(LEFT('Base Encuesta'!AH363,1)),""))</f>
        <v/>
      </c>
      <c r="AA389" t="str">
        <f>IF(OR('Base Encuesta'!AI363="",IFERROR(VALUE(LEFT('Base Encuesta'!K363,1)),"")&gt;=3),"",IF(W389=1,VALUE(LEFT('Base Encuesta'!AI363,1)),""))</f>
        <v/>
      </c>
      <c r="AB389" t="str">
        <f>IF(OR('Base Encuesta'!AJ363="",IFERROR(VALUE(LEFT('Base Encuesta'!K363,1)),"")&gt;=3),"",IF(W389=1,VALUE(LEFT('Base Encuesta'!AJ363,1)),""))</f>
        <v/>
      </c>
      <c r="AC389" t="str">
        <f>IF(OR('Base Encuesta'!AL363="",IFERROR(VALUE(LEFT('Base Encuesta'!K363,1)),"")&gt;=3),"",VALUE(LEFT('Base Encuesta'!AL363,1)))</f>
        <v/>
      </c>
      <c r="AD389" t="str">
        <f>IF(OR('Base Encuesta'!AM363="",IFERROR(VALUE(LEFT('Base Encuesta'!K363,1)),"")&gt;=3),"",VALUE(LEFT('Base Encuesta'!AM363,1)))</f>
        <v/>
      </c>
      <c r="AE389" t="str">
        <f>IF(OR('Base Encuesta'!AN363="",IFERROR(VALUE(LEFT('Base Encuesta'!K363,1)),"")&gt;=3),"",VALUE(LEFT('Base Encuesta'!AN363,1)))</f>
        <v/>
      </c>
      <c r="AF389" t="str">
        <f>IF(OR('Base Encuesta'!AO363="",IFERROR(VALUE(LEFT('Base Encuesta'!K363,1)),"")&gt;=3),"",VALUE(LEFT('Base Encuesta'!AO363,1)))</f>
        <v/>
      </c>
      <c r="AG389" t="str">
        <f>IF(OR('Base Encuesta'!AQ363="",IFERROR(VALUE(LEFT('Base Encuesta'!K363,1)),"")&gt;=3),"",VALUE(LEFT('Base Encuesta'!AQ363,1)))</f>
        <v/>
      </c>
      <c r="AH389" t="str">
        <f>IF(OR('Base Encuesta'!AR363="",IFERROR(VALUE(LEFT('Base Encuesta'!K363,1)),"")&gt;=3),"",VALUE(LEFT('Base Encuesta'!AR363,1)))</f>
        <v/>
      </c>
    </row>
    <row r="390" spans="1:34">
      <c r="A390" t="str">
        <f>IF('Base Encuesta'!C364="","",'Base Encuesta'!C364)</f>
        <v/>
      </c>
      <c r="B390" t="str">
        <f>IF('Base Encuesta'!D364="","",'Base Encuesta'!D364)</f>
        <v/>
      </c>
      <c r="C390" t="str">
        <f>IF('Base Encuesta'!E364="","",'Base Encuesta'!E364)</f>
        <v/>
      </c>
      <c r="D390" t="str">
        <f>IF('Base Encuesta'!F364="","",'Base Encuesta'!F364)</f>
        <v/>
      </c>
      <c r="E390" t="str">
        <f>IF('Base Encuesta'!G364="","",'Base Encuesta'!G364)</f>
        <v/>
      </c>
      <c r="F390" t="str">
        <f>IF('Base Encuesta'!H364="","",'Base Encuesta'!H364)</f>
        <v/>
      </c>
      <c r="G390" t="str">
        <f>IF('Base Encuesta'!I364="","",'Base Encuesta'!I364)</f>
        <v/>
      </c>
      <c r="H390" t="str">
        <f>IF('Base Encuesta'!J364="","",'Base Encuesta'!J364)</f>
        <v/>
      </c>
      <c r="I390" t="str">
        <f>IF('Base Encuesta'!K364="","",'Base Encuesta'!K364)</f>
        <v/>
      </c>
      <c r="J390" t="str">
        <f>IF(OR('Base Encuesta'!P364="",IFERROR(VALUE(LEFT('Base Encuesta'!K364,1)),"")&gt;=3),"",PROPER(TRIM('Base Encuesta'!P364)))</f>
        <v/>
      </c>
      <c r="K390" t="str">
        <f>IF(OR('Base Encuesta'!Q364="",IFERROR(VALUE(LEFT('Base Encuesta'!K364,1)),"")&gt;=3),"",'Base Encuesta'!Q364)</f>
        <v/>
      </c>
      <c r="L390" t="str">
        <f>IF(OR('Base Encuesta'!R364="",IFERROR(VALUE(LEFT('Base Encuesta'!K364,1)),"")&gt;=3),"",VALUE(LEFT('Base Encuesta'!R364,1)))</f>
        <v/>
      </c>
      <c r="M390" t="str">
        <f>IF(OR('Base Encuesta'!S364="",IFERROR(VALUE(LEFT('Base Encuesta'!K364,1)),"")&gt;=3),"",VALUE(LEFT('Base Encuesta'!S364,1)))</f>
        <v/>
      </c>
      <c r="N390" t="str">
        <f>IF(OR('Base Encuesta'!T364="",IFERROR(VALUE(LEFT('Base Encuesta'!K364,1)),"")&gt;=3),"",VALUE(LEFT('Base Encuesta'!T364,1)))</f>
        <v/>
      </c>
      <c r="O390" t="str">
        <f>IF(OR('Base Encuesta'!V364="",IFERROR(VALUE(LEFT('Base Encuesta'!K364,1)),"")&gt;=3),"",VALUE(LEFT('Base Encuesta'!V364,1)))</f>
        <v/>
      </c>
      <c r="P390" t="str">
        <f>IF(OR('Base Encuesta'!W364="",IFERROR(VALUE(LEFT('Base Encuesta'!K364,1)),"")&gt;=3),"",VALUE(LEFT('Base Encuesta'!W364,1)))</f>
        <v/>
      </c>
      <c r="Q390" t="str">
        <f>IF(OR('Base Encuesta'!X364="",IFERROR(VALUE(LEFT('Base Encuesta'!K364,1)),"")&gt;=3),"",VALUE(LEFT('Base Encuesta'!X364,1)))</f>
        <v/>
      </c>
      <c r="R390" t="str">
        <f>IF(OR('Base Encuesta'!Y364="",IFERROR(VALUE(LEFT('Base Encuesta'!K364,1)),"")&gt;=3),"",VALUE(LEFT('Base Encuesta'!Y364,1)))</f>
        <v/>
      </c>
      <c r="S390" t="str">
        <f>IF(OR('Base Encuesta'!Z364="",IFERROR(VALUE(LEFT('Base Encuesta'!K364,1)),"")&gt;=3),"",VALUE(LEFT('Base Encuesta'!Z364,1)))</f>
        <v/>
      </c>
      <c r="T390" t="str">
        <f>IF(OR('Base Encuesta'!AA364="",IFERROR(VALUE(LEFT('Base Encuesta'!K364,1)),"")&gt;=3),"",VALUE(LEFT('Base Encuesta'!AA364,1)))</f>
        <v/>
      </c>
      <c r="U390" t="str">
        <f>IF(OR('Base Encuesta'!AB364="",IFERROR(VALUE(LEFT('Base Encuesta'!K364,1)),"")&gt;=3),"",VALUE(LEFT('Base Encuesta'!AB364,1)))</f>
        <v/>
      </c>
      <c r="V390" t="str">
        <f>IF(OR('Base Encuesta'!AC364="",IFERROR(VALUE(LEFT('Base Encuesta'!K364,1)),"")&gt;=3),"",VALUE(LEFT('Base Encuesta'!AC364,1)))</f>
        <v/>
      </c>
      <c r="W390" t="str">
        <f>IF(OR('Base Encuesta'!AE364="",IFERROR(VALUE(LEFT('Base Encuesta'!K364,1)),"")&gt;=3),"",VALUE(LEFT('Base Encuesta'!AE364,1)))</f>
        <v/>
      </c>
      <c r="X390" t="str">
        <f>IF(OR('Base Encuesta'!AF364="",IFERROR(VALUE(LEFT('Base Encuesta'!K364,1)),"")&gt;=3),"",IF(W390=1,VALUE(LEFT('Base Encuesta'!AF364,1)),""))</f>
        <v/>
      </c>
      <c r="Y390" t="str">
        <f>IF(OR('Base Encuesta'!AG364="",IFERROR(VALUE(LEFT('Base Encuesta'!K364,1)),"")&gt;=3),"",IF(W390=1,VALUE(LEFT('Base Encuesta'!AG364,1)),""))</f>
        <v/>
      </c>
      <c r="Z390" t="str">
        <f>IF(OR('Base Encuesta'!AH364="",IFERROR(VALUE(LEFT('Base Encuesta'!K364,1)),"")&gt;=3),"",IF(W390=1,VALUE(LEFT('Base Encuesta'!AH364,1)),""))</f>
        <v/>
      </c>
      <c r="AA390" t="str">
        <f>IF(OR('Base Encuesta'!AI364="",IFERROR(VALUE(LEFT('Base Encuesta'!K364,1)),"")&gt;=3),"",IF(W390=1,VALUE(LEFT('Base Encuesta'!AI364,1)),""))</f>
        <v/>
      </c>
      <c r="AB390" t="str">
        <f>IF(OR('Base Encuesta'!AJ364="",IFERROR(VALUE(LEFT('Base Encuesta'!K364,1)),"")&gt;=3),"",IF(W390=1,VALUE(LEFT('Base Encuesta'!AJ364,1)),""))</f>
        <v/>
      </c>
      <c r="AC390" t="str">
        <f>IF(OR('Base Encuesta'!AL364="",IFERROR(VALUE(LEFT('Base Encuesta'!K364,1)),"")&gt;=3),"",VALUE(LEFT('Base Encuesta'!AL364,1)))</f>
        <v/>
      </c>
      <c r="AD390" t="str">
        <f>IF(OR('Base Encuesta'!AM364="",IFERROR(VALUE(LEFT('Base Encuesta'!K364,1)),"")&gt;=3),"",VALUE(LEFT('Base Encuesta'!AM364,1)))</f>
        <v/>
      </c>
      <c r="AE390" t="str">
        <f>IF(OR('Base Encuesta'!AN364="",IFERROR(VALUE(LEFT('Base Encuesta'!K364,1)),"")&gt;=3),"",VALUE(LEFT('Base Encuesta'!AN364,1)))</f>
        <v/>
      </c>
      <c r="AF390" t="str">
        <f>IF(OR('Base Encuesta'!AO364="",IFERROR(VALUE(LEFT('Base Encuesta'!K364,1)),"")&gt;=3),"",VALUE(LEFT('Base Encuesta'!AO364,1)))</f>
        <v/>
      </c>
      <c r="AG390" t="str">
        <f>IF(OR('Base Encuesta'!AQ364="",IFERROR(VALUE(LEFT('Base Encuesta'!K364,1)),"")&gt;=3),"",VALUE(LEFT('Base Encuesta'!AQ364,1)))</f>
        <v/>
      </c>
      <c r="AH390" t="str">
        <f>IF(OR('Base Encuesta'!AR364="",IFERROR(VALUE(LEFT('Base Encuesta'!K364,1)),"")&gt;=3),"",VALUE(LEFT('Base Encuesta'!AR364,1)))</f>
        <v/>
      </c>
    </row>
    <row r="391" spans="1:34">
      <c r="A391" t="str">
        <f>IF('Base Encuesta'!C365="","",'Base Encuesta'!C365)</f>
        <v/>
      </c>
      <c r="B391" t="str">
        <f>IF('Base Encuesta'!D365="","",'Base Encuesta'!D365)</f>
        <v/>
      </c>
      <c r="C391" t="str">
        <f>IF('Base Encuesta'!E365="","",'Base Encuesta'!E365)</f>
        <v/>
      </c>
      <c r="D391" t="str">
        <f>IF('Base Encuesta'!F365="","",'Base Encuesta'!F365)</f>
        <v/>
      </c>
      <c r="E391" t="str">
        <f>IF('Base Encuesta'!G365="","",'Base Encuesta'!G365)</f>
        <v/>
      </c>
      <c r="F391" t="str">
        <f>IF('Base Encuesta'!H365="","",'Base Encuesta'!H365)</f>
        <v/>
      </c>
      <c r="G391" t="str">
        <f>IF('Base Encuesta'!I365="","",'Base Encuesta'!I365)</f>
        <v/>
      </c>
      <c r="H391" t="str">
        <f>IF('Base Encuesta'!J365="","",'Base Encuesta'!J365)</f>
        <v/>
      </c>
      <c r="I391" t="str">
        <f>IF('Base Encuesta'!K365="","",'Base Encuesta'!K365)</f>
        <v/>
      </c>
      <c r="J391" t="str">
        <f>IF(OR('Base Encuesta'!P365="",IFERROR(VALUE(LEFT('Base Encuesta'!K365,1)),"")&gt;=3),"",PROPER(TRIM('Base Encuesta'!P365)))</f>
        <v/>
      </c>
      <c r="K391" t="str">
        <f>IF(OR('Base Encuesta'!Q365="",IFERROR(VALUE(LEFT('Base Encuesta'!K365,1)),"")&gt;=3),"",'Base Encuesta'!Q365)</f>
        <v/>
      </c>
      <c r="L391" t="str">
        <f>IF(OR('Base Encuesta'!R365="",IFERROR(VALUE(LEFT('Base Encuesta'!K365,1)),"")&gt;=3),"",VALUE(LEFT('Base Encuesta'!R365,1)))</f>
        <v/>
      </c>
      <c r="M391" t="str">
        <f>IF(OR('Base Encuesta'!S365="",IFERROR(VALUE(LEFT('Base Encuesta'!K365,1)),"")&gt;=3),"",VALUE(LEFT('Base Encuesta'!S365,1)))</f>
        <v/>
      </c>
      <c r="N391" t="str">
        <f>IF(OR('Base Encuesta'!T365="",IFERROR(VALUE(LEFT('Base Encuesta'!K365,1)),"")&gt;=3),"",VALUE(LEFT('Base Encuesta'!T365,1)))</f>
        <v/>
      </c>
      <c r="O391" t="str">
        <f>IF(OR('Base Encuesta'!V365="",IFERROR(VALUE(LEFT('Base Encuesta'!K365,1)),"")&gt;=3),"",VALUE(LEFT('Base Encuesta'!V365,1)))</f>
        <v/>
      </c>
      <c r="P391" t="str">
        <f>IF(OR('Base Encuesta'!W365="",IFERROR(VALUE(LEFT('Base Encuesta'!K365,1)),"")&gt;=3),"",VALUE(LEFT('Base Encuesta'!W365,1)))</f>
        <v/>
      </c>
      <c r="Q391" t="str">
        <f>IF(OR('Base Encuesta'!X365="",IFERROR(VALUE(LEFT('Base Encuesta'!K365,1)),"")&gt;=3),"",VALUE(LEFT('Base Encuesta'!X365,1)))</f>
        <v/>
      </c>
      <c r="R391" t="str">
        <f>IF(OR('Base Encuesta'!Y365="",IFERROR(VALUE(LEFT('Base Encuesta'!K365,1)),"")&gt;=3),"",VALUE(LEFT('Base Encuesta'!Y365,1)))</f>
        <v/>
      </c>
      <c r="S391" t="str">
        <f>IF(OR('Base Encuesta'!Z365="",IFERROR(VALUE(LEFT('Base Encuesta'!K365,1)),"")&gt;=3),"",VALUE(LEFT('Base Encuesta'!Z365,1)))</f>
        <v/>
      </c>
      <c r="T391" t="str">
        <f>IF(OR('Base Encuesta'!AA365="",IFERROR(VALUE(LEFT('Base Encuesta'!K365,1)),"")&gt;=3),"",VALUE(LEFT('Base Encuesta'!AA365,1)))</f>
        <v/>
      </c>
      <c r="U391" t="str">
        <f>IF(OR('Base Encuesta'!AB365="",IFERROR(VALUE(LEFT('Base Encuesta'!K365,1)),"")&gt;=3),"",VALUE(LEFT('Base Encuesta'!AB365,1)))</f>
        <v/>
      </c>
      <c r="V391" t="str">
        <f>IF(OR('Base Encuesta'!AC365="",IFERROR(VALUE(LEFT('Base Encuesta'!K365,1)),"")&gt;=3),"",VALUE(LEFT('Base Encuesta'!AC365,1)))</f>
        <v/>
      </c>
      <c r="W391" t="str">
        <f>IF(OR('Base Encuesta'!AE365="",IFERROR(VALUE(LEFT('Base Encuesta'!K365,1)),"")&gt;=3),"",VALUE(LEFT('Base Encuesta'!AE365,1)))</f>
        <v/>
      </c>
      <c r="X391" t="str">
        <f>IF(OR('Base Encuesta'!AF365="",IFERROR(VALUE(LEFT('Base Encuesta'!K365,1)),"")&gt;=3),"",IF(W391=1,VALUE(LEFT('Base Encuesta'!AF365,1)),""))</f>
        <v/>
      </c>
      <c r="Y391" t="str">
        <f>IF(OR('Base Encuesta'!AG365="",IFERROR(VALUE(LEFT('Base Encuesta'!K365,1)),"")&gt;=3),"",IF(W391=1,VALUE(LEFT('Base Encuesta'!AG365,1)),""))</f>
        <v/>
      </c>
      <c r="Z391" t="str">
        <f>IF(OR('Base Encuesta'!AH365="",IFERROR(VALUE(LEFT('Base Encuesta'!K365,1)),"")&gt;=3),"",IF(W391=1,VALUE(LEFT('Base Encuesta'!AH365,1)),""))</f>
        <v/>
      </c>
      <c r="AA391" t="str">
        <f>IF(OR('Base Encuesta'!AI365="",IFERROR(VALUE(LEFT('Base Encuesta'!K365,1)),"")&gt;=3),"",IF(W391=1,VALUE(LEFT('Base Encuesta'!AI365,1)),""))</f>
        <v/>
      </c>
      <c r="AB391" t="str">
        <f>IF(OR('Base Encuesta'!AJ365="",IFERROR(VALUE(LEFT('Base Encuesta'!K365,1)),"")&gt;=3),"",IF(W391=1,VALUE(LEFT('Base Encuesta'!AJ365,1)),""))</f>
        <v/>
      </c>
      <c r="AC391" t="str">
        <f>IF(OR('Base Encuesta'!AL365="",IFERROR(VALUE(LEFT('Base Encuesta'!K365,1)),"")&gt;=3),"",VALUE(LEFT('Base Encuesta'!AL365,1)))</f>
        <v/>
      </c>
      <c r="AD391" t="str">
        <f>IF(OR('Base Encuesta'!AM365="",IFERROR(VALUE(LEFT('Base Encuesta'!K365,1)),"")&gt;=3),"",VALUE(LEFT('Base Encuesta'!AM365,1)))</f>
        <v/>
      </c>
      <c r="AE391" t="str">
        <f>IF(OR('Base Encuesta'!AN365="",IFERROR(VALUE(LEFT('Base Encuesta'!K365,1)),"")&gt;=3),"",VALUE(LEFT('Base Encuesta'!AN365,1)))</f>
        <v/>
      </c>
      <c r="AF391" t="str">
        <f>IF(OR('Base Encuesta'!AO365="",IFERROR(VALUE(LEFT('Base Encuesta'!K365,1)),"")&gt;=3),"",VALUE(LEFT('Base Encuesta'!AO365,1)))</f>
        <v/>
      </c>
      <c r="AG391" t="str">
        <f>IF(OR('Base Encuesta'!AQ365="",IFERROR(VALUE(LEFT('Base Encuesta'!K365,1)),"")&gt;=3),"",VALUE(LEFT('Base Encuesta'!AQ365,1)))</f>
        <v/>
      </c>
      <c r="AH391" t="str">
        <f>IF(OR('Base Encuesta'!AR365="",IFERROR(VALUE(LEFT('Base Encuesta'!K365,1)),"")&gt;=3),"",VALUE(LEFT('Base Encuesta'!AR365,1)))</f>
        <v/>
      </c>
    </row>
    <row r="392" spans="1:34">
      <c r="A392" t="str">
        <f>IF('Base Encuesta'!C366="","",'Base Encuesta'!C366)</f>
        <v/>
      </c>
      <c r="B392" t="str">
        <f>IF('Base Encuesta'!D366="","",'Base Encuesta'!D366)</f>
        <v/>
      </c>
      <c r="C392" t="str">
        <f>IF('Base Encuesta'!E366="","",'Base Encuesta'!E366)</f>
        <v/>
      </c>
      <c r="D392" t="str">
        <f>IF('Base Encuesta'!F366="","",'Base Encuesta'!F366)</f>
        <v/>
      </c>
      <c r="E392" t="str">
        <f>IF('Base Encuesta'!G366="","",'Base Encuesta'!G366)</f>
        <v/>
      </c>
      <c r="F392" t="str">
        <f>IF('Base Encuesta'!H366="","",'Base Encuesta'!H366)</f>
        <v/>
      </c>
      <c r="G392" t="str">
        <f>IF('Base Encuesta'!I366="","",'Base Encuesta'!I366)</f>
        <v/>
      </c>
      <c r="H392" t="str">
        <f>IF('Base Encuesta'!J366="","",'Base Encuesta'!J366)</f>
        <v/>
      </c>
      <c r="I392" t="str">
        <f>IF('Base Encuesta'!K366="","",'Base Encuesta'!K366)</f>
        <v/>
      </c>
      <c r="J392" t="str">
        <f>IF(OR('Base Encuesta'!P366="",IFERROR(VALUE(LEFT('Base Encuesta'!K366,1)),"")&gt;=3),"",PROPER(TRIM('Base Encuesta'!P366)))</f>
        <v/>
      </c>
      <c r="K392" t="str">
        <f>IF(OR('Base Encuesta'!Q366="",IFERROR(VALUE(LEFT('Base Encuesta'!K366,1)),"")&gt;=3),"",'Base Encuesta'!Q366)</f>
        <v/>
      </c>
      <c r="L392" t="str">
        <f>IF(OR('Base Encuesta'!R366="",IFERROR(VALUE(LEFT('Base Encuesta'!K366,1)),"")&gt;=3),"",VALUE(LEFT('Base Encuesta'!R366,1)))</f>
        <v/>
      </c>
      <c r="M392" t="str">
        <f>IF(OR('Base Encuesta'!S366="",IFERROR(VALUE(LEFT('Base Encuesta'!K366,1)),"")&gt;=3),"",VALUE(LEFT('Base Encuesta'!S366,1)))</f>
        <v/>
      </c>
      <c r="N392" t="str">
        <f>IF(OR('Base Encuesta'!T366="",IFERROR(VALUE(LEFT('Base Encuesta'!K366,1)),"")&gt;=3),"",VALUE(LEFT('Base Encuesta'!T366,1)))</f>
        <v/>
      </c>
      <c r="O392" t="str">
        <f>IF(OR('Base Encuesta'!V366="",IFERROR(VALUE(LEFT('Base Encuesta'!K366,1)),"")&gt;=3),"",VALUE(LEFT('Base Encuesta'!V366,1)))</f>
        <v/>
      </c>
      <c r="P392" t="str">
        <f>IF(OR('Base Encuesta'!W366="",IFERROR(VALUE(LEFT('Base Encuesta'!K366,1)),"")&gt;=3),"",VALUE(LEFT('Base Encuesta'!W366,1)))</f>
        <v/>
      </c>
      <c r="Q392" t="str">
        <f>IF(OR('Base Encuesta'!X366="",IFERROR(VALUE(LEFT('Base Encuesta'!K366,1)),"")&gt;=3),"",VALUE(LEFT('Base Encuesta'!X366,1)))</f>
        <v/>
      </c>
      <c r="R392" t="str">
        <f>IF(OR('Base Encuesta'!Y366="",IFERROR(VALUE(LEFT('Base Encuesta'!K366,1)),"")&gt;=3),"",VALUE(LEFT('Base Encuesta'!Y366,1)))</f>
        <v/>
      </c>
      <c r="S392" t="str">
        <f>IF(OR('Base Encuesta'!Z366="",IFERROR(VALUE(LEFT('Base Encuesta'!K366,1)),"")&gt;=3),"",VALUE(LEFT('Base Encuesta'!Z366,1)))</f>
        <v/>
      </c>
      <c r="T392" t="str">
        <f>IF(OR('Base Encuesta'!AA366="",IFERROR(VALUE(LEFT('Base Encuesta'!K366,1)),"")&gt;=3),"",VALUE(LEFT('Base Encuesta'!AA366,1)))</f>
        <v/>
      </c>
      <c r="U392" t="str">
        <f>IF(OR('Base Encuesta'!AB366="",IFERROR(VALUE(LEFT('Base Encuesta'!K366,1)),"")&gt;=3),"",VALUE(LEFT('Base Encuesta'!AB366,1)))</f>
        <v/>
      </c>
      <c r="V392" t="str">
        <f>IF(OR('Base Encuesta'!AC366="",IFERROR(VALUE(LEFT('Base Encuesta'!K366,1)),"")&gt;=3),"",VALUE(LEFT('Base Encuesta'!AC366,1)))</f>
        <v/>
      </c>
      <c r="W392" t="str">
        <f>IF(OR('Base Encuesta'!AE366="",IFERROR(VALUE(LEFT('Base Encuesta'!K366,1)),"")&gt;=3),"",VALUE(LEFT('Base Encuesta'!AE366,1)))</f>
        <v/>
      </c>
      <c r="X392" t="str">
        <f>IF(OR('Base Encuesta'!AF366="",IFERROR(VALUE(LEFT('Base Encuesta'!K366,1)),"")&gt;=3),"",IF(W392=1,VALUE(LEFT('Base Encuesta'!AF366,1)),""))</f>
        <v/>
      </c>
      <c r="Y392" t="str">
        <f>IF(OR('Base Encuesta'!AG366="",IFERROR(VALUE(LEFT('Base Encuesta'!K366,1)),"")&gt;=3),"",IF(W392=1,VALUE(LEFT('Base Encuesta'!AG366,1)),""))</f>
        <v/>
      </c>
      <c r="Z392" t="str">
        <f>IF(OR('Base Encuesta'!AH366="",IFERROR(VALUE(LEFT('Base Encuesta'!K366,1)),"")&gt;=3),"",IF(W392=1,VALUE(LEFT('Base Encuesta'!AH366,1)),""))</f>
        <v/>
      </c>
      <c r="AA392" t="str">
        <f>IF(OR('Base Encuesta'!AI366="",IFERROR(VALUE(LEFT('Base Encuesta'!K366,1)),"")&gt;=3),"",IF(W392=1,VALUE(LEFT('Base Encuesta'!AI366,1)),""))</f>
        <v/>
      </c>
      <c r="AB392" t="str">
        <f>IF(OR('Base Encuesta'!AJ366="",IFERROR(VALUE(LEFT('Base Encuesta'!K366,1)),"")&gt;=3),"",IF(W392=1,VALUE(LEFT('Base Encuesta'!AJ366,1)),""))</f>
        <v/>
      </c>
      <c r="AC392" t="str">
        <f>IF(OR('Base Encuesta'!AL366="",IFERROR(VALUE(LEFT('Base Encuesta'!K366,1)),"")&gt;=3),"",VALUE(LEFT('Base Encuesta'!AL366,1)))</f>
        <v/>
      </c>
      <c r="AD392" t="str">
        <f>IF(OR('Base Encuesta'!AM366="",IFERROR(VALUE(LEFT('Base Encuesta'!K366,1)),"")&gt;=3),"",VALUE(LEFT('Base Encuesta'!AM366,1)))</f>
        <v/>
      </c>
      <c r="AE392" t="str">
        <f>IF(OR('Base Encuesta'!AN366="",IFERROR(VALUE(LEFT('Base Encuesta'!K366,1)),"")&gt;=3),"",VALUE(LEFT('Base Encuesta'!AN366,1)))</f>
        <v/>
      </c>
      <c r="AF392" t="str">
        <f>IF(OR('Base Encuesta'!AO366="",IFERROR(VALUE(LEFT('Base Encuesta'!K366,1)),"")&gt;=3),"",VALUE(LEFT('Base Encuesta'!AO366,1)))</f>
        <v/>
      </c>
      <c r="AG392" t="str">
        <f>IF(OR('Base Encuesta'!AQ366="",IFERROR(VALUE(LEFT('Base Encuesta'!K366,1)),"")&gt;=3),"",VALUE(LEFT('Base Encuesta'!AQ366,1)))</f>
        <v/>
      </c>
      <c r="AH392" t="str">
        <f>IF(OR('Base Encuesta'!AR366="",IFERROR(VALUE(LEFT('Base Encuesta'!K366,1)),"")&gt;=3),"",VALUE(LEFT('Base Encuesta'!AR366,1)))</f>
        <v/>
      </c>
    </row>
    <row r="393" spans="1:34">
      <c r="A393" t="str">
        <f>IF('Base Encuesta'!C367="","",'Base Encuesta'!C367)</f>
        <v/>
      </c>
      <c r="B393" t="str">
        <f>IF('Base Encuesta'!D367="","",'Base Encuesta'!D367)</f>
        <v/>
      </c>
      <c r="C393" t="str">
        <f>IF('Base Encuesta'!E367="","",'Base Encuesta'!E367)</f>
        <v/>
      </c>
      <c r="D393" t="str">
        <f>IF('Base Encuesta'!F367="","",'Base Encuesta'!F367)</f>
        <v/>
      </c>
      <c r="E393" t="str">
        <f>IF('Base Encuesta'!G367="","",'Base Encuesta'!G367)</f>
        <v/>
      </c>
      <c r="F393" t="str">
        <f>IF('Base Encuesta'!H367="","",'Base Encuesta'!H367)</f>
        <v/>
      </c>
      <c r="G393" t="str">
        <f>IF('Base Encuesta'!I367="","",'Base Encuesta'!I367)</f>
        <v/>
      </c>
      <c r="H393" t="str">
        <f>IF('Base Encuesta'!J367="","",'Base Encuesta'!J367)</f>
        <v/>
      </c>
      <c r="I393" t="str">
        <f>IF('Base Encuesta'!K367="","",'Base Encuesta'!K367)</f>
        <v/>
      </c>
      <c r="J393" t="str">
        <f>IF(OR('Base Encuesta'!P367="",IFERROR(VALUE(LEFT('Base Encuesta'!K367,1)),"")&gt;=3),"",PROPER(TRIM('Base Encuesta'!P367)))</f>
        <v/>
      </c>
      <c r="K393" t="str">
        <f>IF(OR('Base Encuesta'!Q367="",IFERROR(VALUE(LEFT('Base Encuesta'!K367,1)),"")&gt;=3),"",'Base Encuesta'!Q367)</f>
        <v/>
      </c>
      <c r="L393" t="str">
        <f>IF(OR('Base Encuesta'!R367="",IFERROR(VALUE(LEFT('Base Encuesta'!K367,1)),"")&gt;=3),"",VALUE(LEFT('Base Encuesta'!R367,1)))</f>
        <v/>
      </c>
      <c r="M393" t="str">
        <f>IF(OR('Base Encuesta'!S367="",IFERROR(VALUE(LEFT('Base Encuesta'!K367,1)),"")&gt;=3),"",VALUE(LEFT('Base Encuesta'!S367,1)))</f>
        <v/>
      </c>
      <c r="N393" t="str">
        <f>IF(OR('Base Encuesta'!T367="",IFERROR(VALUE(LEFT('Base Encuesta'!K367,1)),"")&gt;=3),"",VALUE(LEFT('Base Encuesta'!T367,1)))</f>
        <v/>
      </c>
      <c r="O393" t="str">
        <f>IF(OR('Base Encuesta'!V367="",IFERROR(VALUE(LEFT('Base Encuesta'!K367,1)),"")&gt;=3),"",VALUE(LEFT('Base Encuesta'!V367,1)))</f>
        <v/>
      </c>
      <c r="P393" t="str">
        <f>IF(OR('Base Encuesta'!W367="",IFERROR(VALUE(LEFT('Base Encuesta'!K367,1)),"")&gt;=3),"",VALUE(LEFT('Base Encuesta'!W367,1)))</f>
        <v/>
      </c>
      <c r="Q393" t="str">
        <f>IF(OR('Base Encuesta'!X367="",IFERROR(VALUE(LEFT('Base Encuesta'!K367,1)),"")&gt;=3),"",VALUE(LEFT('Base Encuesta'!X367,1)))</f>
        <v/>
      </c>
      <c r="R393" t="str">
        <f>IF(OR('Base Encuesta'!Y367="",IFERROR(VALUE(LEFT('Base Encuesta'!K367,1)),"")&gt;=3),"",VALUE(LEFT('Base Encuesta'!Y367,1)))</f>
        <v/>
      </c>
      <c r="S393" t="str">
        <f>IF(OR('Base Encuesta'!Z367="",IFERROR(VALUE(LEFT('Base Encuesta'!K367,1)),"")&gt;=3),"",VALUE(LEFT('Base Encuesta'!Z367,1)))</f>
        <v/>
      </c>
      <c r="T393" t="str">
        <f>IF(OR('Base Encuesta'!AA367="",IFERROR(VALUE(LEFT('Base Encuesta'!K367,1)),"")&gt;=3),"",VALUE(LEFT('Base Encuesta'!AA367,1)))</f>
        <v/>
      </c>
      <c r="U393" t="str">
        <f>IF(OR('Base Encuesta'!AB367="",IFERROR(VALUE(LEFT('Base Encuesta'!K367,1)),"")&gt;=3),"",VALUE(LEFT('Base Encuesta'!AB367,1)))</f>
        <v/>
      </c>
      <c r="V393" t="str">
        <f>IF(OR('Base Encuesta'!AC367="",IFERROR(VALUE(LEFT('Base Encuesta'!K367,1)),"")&gt;=3),"",VALUE(LEFT('Base Encuesta'!AC367,1)))</f>
        <v/>
      </c>
      <c r="W393" t="str">
        <f>IF(OR('Base Encuesta'!AE367="",IFERROR(VALUE(LEFT('Base Encuesta'!K367,1)),"")&gt;=3),"",VALUE(LEFT('Base Encuesta'!AE367,1)))</f>
        <v/>
      </c>
      <c r="X393" t="str">
        <f>IF(OR('Base Encuesta'!AF367="",IFERROR(VALUE(LEFT('Base Encuesta'!K367,1)),"")&gt;=3),"",IF(W393=1,VALUE(LEFT('Base Encuesta'!AF367,1)),""))</f>
        <v/>
      </c>
      <c r="Y393" t="str">
        <f>IF(OR('Base Encuesta'!AG367="",IFERROR(VALUE(LEFT('Base Encuesta'!K367,1)),"")&gt;=3),"",IF(W393=1,VALUE(LEFT('Base Encuesta'!AG367,1)),""))</f>
        <v/>
      </c>
      <c r="Z393" t="str">
        <f>IF(OR('Base Encuesta'!AH367="",IFERROR(VALUE(LEFT('Base Encuesta'!K367,1)),"")&gt;=3),"",IF(W393=1,VALUE(LEFT('Base Encuesta'!AH367,1)),""))</f>
        <v/>
      </c>
      <c r="AA393" t="str">
        <f>IF(OR('Base Encuesta'!AI367="",IFERROR(VALUE(LEFT('Base Encuesta'!K367,1)),"")&gt;=3),"",IF(W393=1,VALUE(LEFT('Base Encuesta'!AI367,1)),""))</f>
        <v/>
      </c>
      <c r="AB393" t="str">
        <f>IF(OR('Base Encuesta'!AJ367="",IFERROR(VALUE(LEFT('Base Encuesta'!K367,1)),"")&gt;=3),"",IF(W393=1,VALUE(LEFT('Base Encuesta'!AJ367,1)),""))</f>
        <v/>
      </c>
      <c r="AC393" t="str">
        <f>IF(OR('Base Encuesta'!AL367="",IFERROR(VALUE(LEFT('Base Encuesta'!K367,1)),"")&gt;=3),"",VALUE(LEFT('Base Encuesta'!AL367,1)))</f>
        <v/>
      </c>
      <c r="AD393" t="str">
        <f>IF(OR('Base Encuesta'!AM367="",IFERROR(VALUE(LEFT('Base Encuesta'!K367,1)),"")&gt;=3),"",VALUE(LEFT('Base Encuesta'!AM367,1)))</f>
        <v/>
      </c>
      <c r="AE393" t="str">
        <f>IF(OR('Base Encuesta'!AN367="",IFERROR(VALUE(LEFT('Base Encuesta'!K367,1)),"")&gt;=3),"",VALUE(LEFT('Base Encuesta'!AN367,1)))</f>
        <v/>
      </c>
      <c r="AF393" t="str">
        <f>IF(OR('Base Encuesta'!AO367="",IFERROR(VALUE(LEFT('Base Encuesta'!K367,1)),"")&gt;=3),"",VALUE(LEFT('Base Encuesta'!AO367,1)))</f>
        <v/>
      </c>
      <c r="AG393" t="str">
        <f>IF(OR('Base Encuesta'!AQ367="",IFERROR(VALUE(LEFT('Base Encuesta'!K367,1)),"")&gt;=3),"",VALUE(LEFT('Base Encuesta'!AQ367,1)))</f>
        <v/>
      </c>
      <c r="AH393" t="str">
        <f>IF(OR('Base Encuesta'!AR367="",IFERROR(VALUE(LEFT('Base Encuesta'!K367,1)),"")&gt;=3),"",VALUE(LEFT('Base Encuesta'!AR367,1)))</f>
        <v/>
      </c>
    </row>
    <row r="394" spans="1:34">
      <c r="A394" t="str">
        <f>IF('Base Encuesta'!C368="","",'Base Encuesta'!C368)</f>
        <v/>
      </c>
      <c r="B394" t="str">
        <f>IF('Base Encuesta'!D368="","",'Base Encuesta'!D368)</f>
        <v/>
      </c>
      <c r="C394" t="str">
        <f>IF('Base Encuesta'!E368="","",'Base Encuesta'!E368)</f>
        <v/>
      </c>
      <c r="D394" t="str">
        <f>IF('Base Encuesta'!F368="","",'Base Encuesta'!F368)</f>
        <v/>
      </c>
      <c r="E394" t="str">
        <f>IF('Base Encuesta'!G368="","",'Base Encuesta'!G368)</f>
        <v/>
      </c>
      <c r="F394" t="str">
        <f>IF('Base Encuesta'!H368="","",'Base Encuesta'!H368)</f>
        <v/>
      </c>
      <c r="G394" t="str">
        <f>IF('Base Encuesta'!I368="","",'Base Encuesta'!I368)</f>
        <v/>
      </c>
      <c r="H394" t="str">
        <f>IF('Base Encuesta'!J368="","",'Base Encuesta'!J368)</f>
        <v/>
      </c>
      <c r="I394" t="str">
        <f>IF('Base Encuesta'!K368="","",'Base Encuesta'!K368)</f>
        <v/>
      </c>
      <c r="J394" t="str">
        <f>IF(OR('Base Encuesta'!P368="",IFERROR(VALUE(LEFT('Base Encuesta'!K368,1)),"")&gt;=3),"",PROPER(TRIM('Base Encuesta'!P368)))</f>
        <v/>
      </c>
      <c r="K394" t="str">
        <f>IF(OR('Base Encuesta'!Q368="",IFERROR(VALUE(LEFT('Base Encuesta'!K368,1)),"")&gt;=3),"",'Base Encuesta'!Q368)</f>
        <v/>
      </c>
      <c r="L394" t="str">
        <f>IF(OR('Base Encuesta'!R368="",IFERROR(VALUE(LEFT('Base Encuesta'!K368,1)),"")&gt;=3),"",VALUE(LEFT('Base Encuesta'!R368,1)))</f>
        <v/>
      </c>
      <c r="M394" t="str">
        <f>IF(OR('Base Encuesta'!S368="",IFERROR(VALUE(LEFT('Base Encuesta'!K368,1)),"")&gt;=3),"",VALUE(LEFT('Base Encuesta'!S368,1)))</f>
        <v/>
      </c>
      <c r="N394" t="str">
        <f>IF(OR('Base Encuesta'!T368="",IFERROR(VALUE(LEFT('Base Encuesta'!K368,1)),"")&gt;=3),"",VALUE(LEFT('Base Encuesta'!T368,1)))</f>
        <v/>
      </c>
      <c r="O394" t="str">
        <f>IF(OR('Base Encuesta'!V368="",IFERROR(VALUE(LEFT('Base Encuesta'!K368,1)),"")&gt;=3),"",VALUE(LEFT('Base Encuesta'!V368,1)))</f>
        <v/>
      </c>
      <c r="P394" t="str">
        <f>IF(OR('Base Encuesta'!W368="",IFERROR(VALUE(LEFT('Base Encuesta'!K368,1)),"")&gt;=3),"",VALUE(LEFT('Base Encuesta'!W368,1)))</f>
        <v/>
      </c>
      <c r="Q394" t="str">
        <f>IF(OR('Base Encuesta'!X368="",IFERROR(VALUE(LEFT('Base Encuesta'!K368,1)),"")&gt;=3),"",VALUE(LEFT('Base Encuesta'!X368,1)))</f>
        <v/>
      </c>
      <c r="R394" t="str">
        <f>IF(OR('Base Encuesta'!Y368="",IFERROR(VALUE(LEFT('Base Encuesta'!K368,1)),"")&gt;=3),"",VALUE(LEFT('Base Encuesta'!Y368,1)))</f>
        <v/>
      </c>
      <c r="S394" t="str">
        <f>IF(OR('Base Encuesta'!Z368="",IFERROR(VALUE(LEFT('Base Encuesta'!K368,1)),"")&gt;=3),"",VALUE(LEFT('Base Encuesta'!Z368,1)))</f>
        <v/>
      </c>
      <c r="T394" t="str">
        <f>IF(OR('Base Encuesta'!AA368="",IFERROR(VALUE(LEFT('Base Encuesta'!K368,1)),"")&gt;=3),"",VALUE(LEFT('Base Encuesta'!AA368,1)))</f>
        <v/>
      </c>
      <c r="U394" t="str">
        <f>IF(OR('Base Encuesta'!AB368="",IFERROR(VALUE(LEFT('Base Encuesta'!K368,1)),"")&gt;=3),"",VALUE(LEFT('Base Encuesta'!AB368,1)))</f>
        <v/>
      </c>
      <c r="V394" t="str">
        <f>IF(OR('Base Encuesta'!AC368="",IFERROR(VALUE(LEFT('Base Encuesta'!K368,1)),"")&gt;=3),"",VALUE(LEFT('Base Encuesta'!AC368,1)))</f>
        <v/>
      </c>
      <c r="W394" t="str">
        <f>IF(OR('Base Encuesta'!AE368="",IFERROR(VALUE(LEFT('Base Encuesta'!K368,1)),"")&gt;=3),"",VALUE(LEFT('Base Encuesta'!AE368,1)))</f>
        <v/>
      </c>
      <c r="X394" t="str">
        <f>IF(OR('Base Encuesta'!AF368="",IFERROR(VALUE(LEFT('Base Encuesta'!K368,1)),"")&gt;=3),"",IF(W394=1,VALUE(LEFT('Base Encuesta'!AF368,1)),""))</f>
        <v/>
      </c>
      <c r="Y394" t="str">
        <f>IF(OR('Base Encuesta'!AG368="",IFERROR(VALUE(LEFT('Base Encuesta'!K368,1)),"")&gt;=3),"",IF(W394=1,VALUE(LEFT('Base Encuesta'!AG368,1)),""))</f>
        <v/>
      </c>
      <c r="Z394" t="str">
        <f>IF(OR('Base Encuesta'!AH368="",IFERROR(VALUE(LEFT('Base Encuesta'!K368,1)),"")&gt;=3),"",IF(W394=1,VALUE(LEFT('Base Encuesta'!AH368,1)),""))</f>
        <v/>
      </c>
      <c r="AA394" t="str">
        <f>IF(OR('Base Encuesta'!AI368="",IFERROR(VALUE(LEFT('Base Encuesta'!K368,1)),"")&gt;=3),"",IF(W394=1,VALUE(LEFT('Base Encuesta'!AI368,1)),""))</f>
        <v/>
      </c>
      <c r="AB394" t="str">
        <f>IF(OR('Base Encuesta'!AJ368="",IFERROR(VALUE(LEFT('Base Encuesta'!K368,1)),"")&gt;=3),"",IF(W394=1,VALUE(LEFT('Base Encuesta'!AJ368,1)),""))</f>
        <v/>
      </c>
      <c r="AC394" t="str">
        <f>IF(OR('Base Encuesta'!AL368="",IFERROR(VALUE(LEFT('Base Encuesta'!K368,1)),"")&gt;=3),"",VALUE(LEFT('Base Encuesta'!AL368,1)))</f>
        <v/>
      </c>
      <c r="AD394" t="str">
        <f>IF(OR('Base Encuesta'!AM368="",IFERROR(VALUE(LEFT('Base Encuesta'!K368,1)),"")&gt;=3),"",VALUE(LEFT('Base Encuesta'!AM368,1)))</f>
        <v/>
      </c>
      <c r="AE394" t="str">
        <f>IF(OR('Base Encuesta'!AN368="",IFERROR(VALUE(LEFT('Base Encuesta'!K368,1)),"")&gt;=3),"",VALUE(LEFT('Base Encuesta'!AN368,1)))</f>
        <v/>
      </c>
      <c r="AF394" t="str">
        <f>IF(OR('Base Encuesta'!AO368="",IFERROR(VALUE(LEFT('Base Encuesta'!K368,1)),"")&gt;=3),"",VALUE(LEFT('Base Encuesta'!AO368,1)))</f>
        <v/>
      </c>
      <c r="AG394" t="str">
        <f>IF(OR('Base Encuesta'!AQ368="",IFERROR(VALUE(LEFT('Base Encuesta'!K368,1)),"")&gt;=3),"",VALUE(LEFT('Base Encuesta'!AQ368,1)))</f>
        <v/>
      </c>
      <c r="AH394" t="str">
        <f>IF(OR('Base Encuesta'!AR368="",IFERROR(VALUE(LEFT('Base Encuesta'!K368,1)),"")&gt;=3),"",VALUE(LEFT('Base Encuesta'!AR368,1)))</f>
        <v/>
      </c>
    </row>
    <row r="395" spans="1:34">
      <c r="A395" t="str">
        <f>IF('Base Encuesta'!C369="","",'Base Encuesta'!C369)</f>
        <v/>
      </c>
      <c r="B395" t="str">
        <f>IF('Base Encuesta'!D369="","",'Base Encuesta'!D369)</f>
        <v/>
      </c>
      <c r="C395" t="str">
        <f>IF('Base Encuesta'!E369="","",'Base Encuesta'!E369)</f>
        <v/>
      </c>
      <c r="D395" t="str">
        <f>IF('Base Encuesta'!F369="","",'Base Encuesta'!F369)</f>
        <v/>
      </c>
      <c r="E395" t="str">
        <f>IF('Base Encuesta'!G369="","",'Base Encuesta'!G369)</f>
        <v/>
      </c>
      <c r="F395" t="str">
        <f>IF('Base Encuesta'!H369="","",'Base Encuesta'!H369)</f>
        <v/>
      </c>
      <c r="G395" t="str">
        <f>IF('Base Encuesta'!I369="","",'Base Encuesta'!I369)</f>
        <v/>
      </c>
      <c r="H395" t="str">
        <f>IF('Base Encuesta'!J369="","",'Base Encuesta'!J369)</f>
        <v/>
      </c>
      <c r="I395" t="str">
        <f>IF('Base Encuesta'!K369="","",'Base Encuesta'!K369)</f>
        <v/>
      </c>
      <c r="J395" t="str">
        <f>IF(OR('Base Encuesta'!P369="",IFERROR(VALUE(LEFT('Base Encuesta'!K369,1)),"")&gt;=3),"",PROPER(TRIM('Base Encuesta'!P369)))</f>
        <v/>
      </c>
      <c r="K395" t="str">
        <f>IF(OR('Base Encuesta'!Q369="",IFERROR(VALUE(LEFT('Base Encuesta'!K369,1)),"")&gt;=3),"",'Base Encuesta'!Q369)</f>
        <v/>
      </c>
      <c r="L395" t="str">
        <f>IF(OR('Base Encuesta'!R369="",IFERROR(VALUE(LEFT('Base Encuesta'!K369,1)),"")&gt;=3),"",VALUE(LEFT('Base Encuesta'!R369,1)))</f>
        <v/>
      </c>
      <c r="M395" t="str">
        <f>IF(OR('Base Encuesta'!S369="",IFERROR(VALUE(LEFT('Base Encuesta'!K369,1)),"")&gt;=3),"",VALUE(LEFT('Base Encuesta'!S369,1)))</f>
        <v/>
      </c>
      <c r="N395" t="str">
        <f>IF(OR('Base Encuesta'!T369="",IFERROR(VALUE(LEFT('Base Encuesta'!K369,1)),"")&gt;=3),"",VALUE(LEFT('Base Encuesta'!T369,1)))</f>
        <v/>
      </c>
      <c r="O395" t="str">
        <f>IF(OR('Base Encuesta'!V369="",IFERROR(VALUE(LEFT('Base Encuesta'!K369,1)),"")&gt;=3),"",VALUE(LEFT('Base Encuesta'!V369,1)))</f>
        <v/>
      </c>
      <c r="P395" t="str">
        <f>IF(OR('Base Encuesta'!W369="",IFERROR(VALUE(LEFT('Base Encuesta'!K369,1)),"")&gt;=3),"",VALUE(LEFT('Base Encuesta'!W369,1)))</f>
        <v/>
      </c>
      <c r="Q395" t="str">
        <f>IF(OR('Base Encuesta'!X369="",IFERROR(VALUE(LEFT('Base Encuesta'!K369,1)),"")&gt;=3),"",VALUE(LEFT('Base Encuesta'!X369,1)))</f>
        <v/>
      </c>
      <c r="R395" t="str">
        <f>IF(OR('Base Encuesta'!Y369="",IFERROR(VALUE(LEFT('Base Encuesta'!K369,1)),"")&gt;=3),"",VALUE(LEFT('Base Encuesta'!Y369,1)))</f>
        <v/>
      </c>
      <c r="S395" t="str">
        <f>IF(OR('Base Encuesta'!Z369="",IFERROR(VALUE(LEFT('Base Encuesta'!K369,1)),"")&gt;=3),"",VALUE(LEFT('Base Encuesta'!Z369,1)))</f>
        <v/>
      </c>
      <c r="T395" t="str">
        <f>IF(OR('Base Encuesta'!AA369="",IFERROR(VALUE(LEFT('Base Encuesta'!K369,1)),"")&gt;=3),"",VALUE(LEFT('Base Encuesta'!AA369,1)))</f>
        <v/>
      </c>
      <c r="U395" t="str">
        <f>IF(OR('Base Encuesta'!AB369="",IFERROR(VALUE(LEFT('Base Encuesta'!K369,1)),"")&gt;=3),"",VALUE(LEFT('Base Encuesta'!AB369,1)))</f>
        <v/>
      </c>
      <c r="V395" t="str">
        <f>IF(OR('Base Encuesta'!AC369="",IFERROR(VALUE(LEFT('Base Encuesta'!K369,1)),"")&gt;=3),"",VALUE(LEFT('Base Encuesta'!AC369,1)))</f>
        <v/>
      </c>
      <c r="W395" t="str">
        <f>IF(OR('Base Encuesta'!AE369="",IFERROR(VALUE(LEFT('Base Encuesta'!K369,1)),"")&gt;=3),"",VALUE(LEFT('Base Encuesta'!AE369,1)))</f>
        <v/>
      </c>
      <c r="X395" t="str">
        <f>IF(OR('Base Encuesta'!AF369="",IFERROR(VALUE(LEFT('Base Encuesta'!K369,1)),"")&gt;=3),"",IF(W395=1,VALUE(LEFT('Base Encuesta'!AF369,1)),""))</f>
        <v/>
      </c>
      <c r="Y395" t="str">
        <f>IF(OR('Base Encuesta'!AG369="",IFERROR(VALUE(LEFT('Base Encuesta'!K369,1)),"")&gt;=3),"",IF(W395=1,VALUE(LEFT('Base Encuesta'!AG369,1)),""))</f>
        <v/>
      </c>
      <c r="Z395" t="str">
        <f>IF(OR('Base Encuesta'!AH369="",IFERROR(VALUE(LEFT('Base Encuesta'!K369,1)),"")&gt;=3),"",IF(W395=1,VALUE(LEFT('Base Encuesta'!AH369,1)),""))</f>
        <v/>
      </c>
      <c r="AA395" t="str">
        <f>IF(OR('Base Encuesta'!AI369="",IFERROR(VALUE(LEFT('Base Encuesta'!K369,1)),"")&gt;=3),"",IF(W395=1,VALUE(LEFT('Base Encuesta'!AI369,1)),""))</f>
        <v/>
      </c>
      <c r="AB395" t="str">
        <f>IF(OR('Base Encuesta'!AJ369="",IFERROR(VALUE(LEFT('Base Encuesta'!K369,1)),"")&gt;=3),"",IF(W395=1,VALUE(LEFT('Base Encuesta'!AJ369,1)),""))</f>
        <v/>
      </c>
      <c r="AC395" t="str">
        <f>IF(OR('Base Encuesta'!AL369="",IFERROR(VALUE(LEFT('Base Encuesta'!K369,1)),"")&gt;=3),"",VALUE(LEFT('Base Encuesta'!AL369,1)))</f>
        <v/>
      </c>
      <c r="AD395" t="str">
        <f>IF(OR('Base Encuesta'!AM369="",IFERROR(VALUE(LEFT('Base Encuesta'!K369,1)),"")&gt;=3),"",VALUE(LEFT('Base Encuesta'!AM369,1)))</f>
        <v/>
      </c>
      <c r="AE395" t="str">
        <f>IF(OR('Base Encuesta'!AN369="",IFERROR(VALUE(LEFT('Base Encuesta'!K369,1)),"")&gt;=3),"",VALUE(LEFT('Base Encuesta'!AN369,1)))</f>
        <v/>
      </c>
      <c r="AF395" t="str">
        <f>IF(OR('Base Encuesta'!AO369="",IFERROR(VALUE(LEFT('Base Encuesta'!K369,1)),"")&gt;=3),"",VALUE(LEFT('Base Encuesta'!AO369,1)))</f>
        <v/>
      </c>
      <c r="AG395" t="str">
        <f>IF(OR('Base Encuesta'!AQ369="",IFERROR(VALUE(LEFT('Base Encuesta'!K369,1)),"")&gt;=3),"",VALUE(LEFT('Base Encuesta'!AQ369,1)))</f>
        <v/>
      </c>
      <c r="AH395" t="str">
        <f>IF(OR('Base Encuesta'!AR369="",IFERROR(VALUE(LEFT('Base Encuesta'!K369,1)),"")&gt;=3),"",VALUE(LEFT('Base Encuesta'!AR369,1)))</f>
        <v/>
      </c>
    </row>
    <row r="396" spans="1:34">
      <c r="A396" t="str">
        <f>IF('Base Encuesta'!C370="","",'Base Encuesta'!C370)</f>
        <v/>
      </c>
      <c r="B396" t="str">
        <f>IF('Base Encuesta'!D370="","",'Base Encuesta'!D370)</f>
        <v/>
      </c>
      <c r="C396" t="str">
        <f>IF('Base Encuesta'!E370="","",'Base Encuesta'!E370)</f>
        <v/>
      </c>
      <c r="D396" t="str">
        <f>IF('Base Encuesta'!F370="","",'Base Encuesta'!F370)</f>
        <v/>
      </c>
      <c r="E396" t="str">
        <f>IF('Base Encuesta'!G370="","",'Base Encuesta'!G370)</f>
        <v/>
      </c>
      <c r="F396" t="str">
        <f>IF('Base Encuesta'!H370="","",'Base Encuesta'!H370)</f>
        <v/>
      </c>
      <c r="G396" t="str">
        <f>IF('Base Encuesta'!I370="","",'Base Encuesta'!I370)</f>
        <v/>
      </c>
      <c r="H396" t="str">
        <f>IF('Base Encuesta'!J370="","",'Base Encuesta'!J370)</f>
        <v/>
      </c>
      <c r="I396" t="str">
        <f>IF('Base Encuesta'!K370="","",'Base Encuesta'!K370)</f>
        <v/>
      </c>
      <c r="J396" t="str">
        <f>IF(OR('Base Encuesta'!P370="",IFERROR(VALUE(LEFT('Base Encuesta'!K370,1)),"")&gt;=3),"",PROPER(TRIM('Base Encuesta'!P370)))</f>
        <v/>
      </c>
      <c r="K396" t="str">
        <f>IF(OR('Base Encuesta'!Q370="",IFERROR(VALUE(LEFT('Base Encuesta'!K370,1)),"")&gt;=3),"",'Base Encuesta'!Q370)</f>
        <v/>
      </c>
      <c r="L396" t="str">
        <f>IF(OR('Base Encuesta'!R370="",IFERROR(VALUE(LEFT('Base Encuesta'!K370,1)),"")&gt;=3),"",VALUE(LEFT('Base Encuesta'!R370,1)))</f>
        <v/>
      </c>
      <c r="M396" t="str">
        <f>IF(OR('Base Encuesta'!S370="",IFERROR(VALUE(LEFT('Base Encuesta'!K370,1)),"")&gt;=3),"",VALUE(LEFT('Base Encuesta'!S370,1)))</f>
        <v/>
      </c>
      <c r="N396" t="str">
        <f>IF(OR('Base Encuesta'!T370="",IFERROR(VALUE(LEFT('Base Encuesta'!K370,1)),"")&gt;=3),"",VALUE(LEFT('Base Encuesta'!T370,1)))</f>
        <v/>
      </c>
      <c r="O396" t="str">
        <f>IF(OR('Base Encuesta'!V370="",IFERROR(VALUE(LEFT('Base Encuesta'!K370,1)),"")&gt;=3),"",VALUE(LEFT('Base Encuesta'!V370,1)))</f>
        <v/>
      </c>
      <c r="P396" t="str">
        <f>IF(OR('Base Encuesta'!W370="",IFERROR(VALUE(LEFT('Base Encuesta'!K370,1)),"")&gt;=3),"",VALUE(LEFT('Base Encuesta'!W370,1)))</f>
        <v/>
      </c>
      <c r="Q396" t="str">
        <f>IF(OR('Base Encuesta'!X370="",IFERROR(VALUE(LEFT('Base Encuesta'!K370,1)),"")&gt;=3),"",VALUE(LEFT('Base Encuesta'!X370,1)))</f>
        <v/>
      </c>
      <c r="R396" t="str">
        <f>IF(OR('Base Encuesta'!Y370="",IFERROR(VALUE(LEFT('Base Encuesta'!K370,1)),"")&gt;=3),"",VALUE(LEFT('Base Encuesta'!Y370,1)))</f>
        <v/>
      </c>
      <c r="S396" t="str">
        <f>IF(OR('Base Encuesta'!Z370="",IFERROR(VALUE(LEFT('Base Encuesta'!K370,1)),"")&gt;=3),"",VALUE(LEFT('Base Encuesta'!Z370,1)))</f>
        <v/>
      </c>
      <c r="T396" t="str">
        <f>IF(OR('Base Encuesta'!AA370="",IFERROR(VALUE(LEFT('Base Encuesta'!K370,1)),"")&gt;=3),"",VALUE(LEFT('Base Encuesta'!AA370,1)))</f>
        <v/>
      </c>
      <c r="U396" t="str">
        <f>IF(OR('Base Encuesta'!AB370="",IFERROR(VALUE(LEFT('Base Encuesta'!K370,1)),"")&gt;=3),"",VALUE(LEFT('Base Encuesta'!AB370,1)))</f>
        <v/>
      </c>
      <c r="V396" t="str">
        <f>IF(OR('Base Encuesta'!AC370="",IFERROR(VALUE(LEFT('Base Encuesta'!K370,1)),"")&gt;=3),"",VALUE(LEFT('Base Encuesta'!AC370,1)))</f>
        <v/>
      </c>
      <c r="W396" t="str">
        <f>IF(OR('Base Encuesta'!AE370="",IFERROR(VALUE(LEFT('Base Encuesta'!K370,1)),"")&gt;=3),"",VALUE(LEFT('Base Encuesta'!AE370,1)))</f>
        <v/>
      </c>
      <c r="X396" t="str">
        <f>IF(OR('Base Encuesta'!AF370="",IFERROR(VALUE(LEFT('Base Encuesta'!K370,1)),"")&gt;=3),"",IF(W396=1,VALUE(LEFT('Base Encuesta'!AF370,1)),""))</f>
        <v/>
      </c>
      <c r="Y396" t="str">
        <f>IF(OR('Base Encuesta'!AG370="",IFERROR(VALUE(LEFT('Base Encuesta'!K370,1)),"")&gt;=3),"",IF(W396=1,VALUE(LEFT('Base Encuesta'!AG370,1)),""))</f>
        <v/>
      </c>
      <c r="Z396" t="str">
        <f>IF(OR('Base Encuesta'!AH370="",IFERROR(VALUE(LEFT('Base Encuesta'!K370,1)),"")&gt;=3),"",IF(W396=1,VALUE(LEFT('Base Encuesta'!AH370,1)),""))</f>
        <v/>
      </c>
      <c r="AA396" t="str">
        <f>IF(OR('Base Encuesta'!AI370="",IFERROR(VALUE(LEFT('Base Encuesta'!K370,1)),"")&gt;=3),"",IF(W396=1,VALUE(LEFT('Base Encuesta'!AI370,1)),""))</f>
        <v/>
      </c>
      <c r="AB396" t="str">
        <f>IF(OR('Base Encuesta'!AJ370="",IFERROR(VALUE(LEFT('Base Encuesta'!K370,1)),"")&gt;=3),"",IF(W396=1,VALUE(LEFT('Base Encuesta'!AJ370,1)),""))</f>
        <v/>
      </c>
      <c r="AC396" t="str">
        <f>IF(OR('Base Encuesta'!AL370="",IFERROR(VALUE(LEFT('Base Encuesta'!K370,1)),"")&gt;=3),"",VALUE(LEFT('Base Encuesta'!AL370,1)))</f>
        <v/>
      </c>
      <c r="AD396" t="str">
        <f>IF(OR('Base Encuesta'!AM370="",IFERROR(VALUE(LEFT('Base Encuesta'!K370,1)),"")&gt;=3),"",VALUE(LEFT('Base Encuesta'!AM370,1)))</f>
        <v/>
      </c>
      <c r="AE396" t="str">
        <f>IF(OR('Base Encuesta'!AN370="",IFERROR(VALUE(LEFT('Base Encuesta'!K370,1)),"")&gt;=3),"",VALUE(LEFT('Base Encuesta'!AN370,1)))</f>
        <v/>
      </c>
      <c r="AF396" t="str">
        <f>IF(OR('Base Encuesta'!AO370="",IFERROR(VALUE(LEFT('Base Encuesta'!K370,1)),"")&gt;=3),"",VALUE(LEFT('Base Encuesta'!AO370,1)))</f>
        <v/>
      </c>
      <c r="AG396" t="str">
        <f>IF(OR('Base Encuesta'!AQ370="",IFERROR(VALUE(LEFT('Base Encuesta'!K370,1)),"")&gt;=3),"",VALUE(LEFT('Base Encuesta'!AQ370,1)))</f>
        <v/>
      </c>
      <c r="AH396" t="str">
        <f>IF(OR('Base Encuesta'!AR370="",IFERROR(VALUE(LEFT('Base Encuesta'!K370,1)),"")&gt;=3),"",VALUE(LEFT('Base Encuesta'!AR370,1)))</f>
        <v/>
      </c>
    </row>
    <row r="397" spans="1:34">
      <c r="A397" t="str">
        <f>IF('Base Encuesta'!C371="","",'Base Encuesta'!C371)</f>
        <v/>
      </c>
      <c r="B397" t="str">
        <f>IF('Base Encuesta'!D371="","",'Base Encuesta'!D371)</f>
        <v/>
      </c>
      <c r="C397" t="str">
        <f>IF('Base Encuesta'!E371="","",'Base Encuesta'!E371)</f>
        <v/>
      </c>
      <c r="D397" t="str">
        <f>IF('Base Encuesta'!F371="","",'Base Encuesta'!F371)</f>
        <v/>
      </c>
      <c r="E397" t="str">
        <f>IF('Base Encuesta'!G371="","",'Base Encuesta'!G371)</f>
        <v/>
      </c>
      <c r="F397" t="str">
        <f>IF('Base Encuesta'!H371="","",'Base Encuesta'!H371)</f>
        <v/>
      </c>
      <c r="G397" t="str">
        <f>IF('Base Encuesta'!I371="","",'Base Encuesta'!I371)</f>
        <v/>
      </c>
      <c r="H397" t="str">
        <f>IF('Base Encuesta'!J371="","",'Base Encuesta'!J371)</f>
        <v/>
      </c>
      <c r="I397" t="str">
        <f>IF('Base Encuesta'!K371="","",'Base Encuesta'!K371)</f>
        <v/>
      </c>
      <c r="J397" t="str">
        <f>IF(OR('Base Encuesta'!P371="",IFERROR(VALUE(LEFT('Base Encuesta'!K371,1)),"")&gt;=3),"",PROPER(TRIM('Base Encuesta'!P371)))</f>
        <v/>
      </c>
      <c r="K397" t="str">
        <f>IF(OR('Base Encuesta'!Q371="",IFERROR(VALUE(LEFT('Base Encuesta'!K371,1)),"")&gt;=3),"",'Base Encuesta'!Q371)</f>
        <v/>
      </c>
      <c r="L397" t="str">
        <f>IF(OR('Base Encuesta'!R371="",IFERROR(VALUE(LEFT('Base Encuesta'!K371,1)),"")&gt;=3),"",VALUE(LEFT('Base Encuesta'!R371,1)))</f>
        <v/>
      </c>
      <c r="M397" t="str">
        <f>IF(OR('Base Encuesta'!S371="",IFERROR(VALUE(LEFT('Base Encuesta'!K371,1)),"")&gt;=3),"",VALUE(LEFT('Base Encuesta'!S371,1)))</f>
        <v/>
      </c>
      <c r="N397" t="str">
        <f>IF(OR('Base Encuesta'!T371="",IFERROR(VALUE(LEFT('Base Encuesta'!K371,1)),"")&gt;=3),"",VALUE(LEFT('Base Encuesta'!T371,1)))</f>
        <v/>
      </c>
      <c r="O397" t="str">
        <f>IF(OR('Base Encuesta'!V371="",IFERROR(VALUE(LEFT('Base Encuesta'!K371,1)),"")&gt;=3),"",VALUE(LEFT('Base Encuesta'!V371,1)))</f>
        <v/>
      </c>
      <c r="P397" t="str">
        <f>IF(OR('Base Encuesta'!W371="",IFERROR(VALUE(LEFT('Base Encuesta'!K371,1)),"")&gt;=3),"",VALUE(LEFT('Base Encuesta'!W371,1)))</f>
        <v/>
      </c>
      <c r="Q397" t="str">
        <f>IF(OR('Base Encuesta'!X371="",IFERROR(VALUE(LEFT('Base Encuesta'!K371,1)),"")&gt;=3),"",VALUE(LEFT('Base Encuesta'!X371,1)))</f>
        <v/>
      </c>
      <c r="R397" t="str">
        <f>IF(OR('Base Encuesta'!Y371="",IFERROR(VALUE(LEFT('Base Encuesta'!K371,1)),"")&gt;=3),"",VALUE(LEFT('Base Encuesta'!Y371,1)))</f>
        <v/>
      </c>
      <c r="S397" t="str">
        <f>IF(OR('Base Encuesta'!Z371="",IFERROR(VALUE(LEFT('Base Encuesta'!K371,1)),"")&gt;=3),"",VALUE(LEFT('Base Encuesta'!Z371,1)))</f>
        <v/>
      </c>
      <c r="T397" t="str">
        <f>IF(OR('Base Encuesta'!AA371="",IFERROR(VALUE(LEFT('Base Encuesta'!K371,1)),"")&gt;=3),"",VALUE(LEFT('Base Encuesta'!AA371,1)))</f>
        <v/>
      </c>
      <c r="U397" t="str">
        <f>IF(OR('Base Encuesta'!AB371="",IFERROR(VALUE(LEFT('Base Encuesta'!K371,1)),"")&gt;=3),"",VALUE(LEFT('Base Encuesta'!AB371,1)))</f>
        <v/>
      </c>
      <c r="V397" t="str">
        <f>IF(OR('Base Encuesta'!AC371="",IFERROR(VALUE(LEFT('Base Encuesta'!K371,1)),"")&gt;=3),"",VALUE(LEFT('Base Encuesta'!AC371,1)))</f>
        <v/>
      </c>
      <c r="W397" t="str">
        <f>IF(OR('Base Encuesta'!AE371="",IFERROR(VALUE(LEFT('Base Encuesta'!K371,1)),"")&gt;=3),"",VALUE(LEFT('Base Encuesta'!AE371,1)))</f>
        <v/>
      </c>
      <c r="X397" t="str">
        <f>IF(OR('Base Encuesta'!AF371="",IFERROR(VALUE(LEFT('Base Encuesta'!K371,1)),"")&gt;=3),"",IF(W397=1,VALUE(LEFT('Base Encuesta'!AF371,1)),""))</f>
        <v/>
      </c>
      <c r="Y397" t="str">
        <f>IF(OR('Base Encuesta'!AG371="",IFERROR(VALUE(LEFT('Base Encuesta'!K371,1)),"")&gt;=3),"",IF(W397=1,VALUE(LEFT('Base Encuesta'!AG371,1)),""))</f>
        <v/>
      </c>
      <c r="Z397" t="str">
        <f>IF(OR('Base Encuesta'!AH371="",IFERROR(VALUE(LEFT('Base Encuesta'!K371,1)),"")&gt;=3),"",IF(W397=1,VALUE(LEFT('Base Encuesta'!AH371,1)),""))</f>
        <v/>
      </c>
      <c r="AA397" t="str">
        <f>IF(OR('Base Encuesta'!AI371="",IFERROR(VALUE(LEFT('Base Encuesta'!K371,1)),"")&gt;=3),"",IF(W397=1,VALUE(LEFT('Base Encuesta'!AI371,1)),""))</f>
        <v/>
      </c>
      <c r="AB397" t="str">
        <f>IF(OR('Base Encuesta'!AJ371="",IFERROR(VALUE(LEFT('Base Encuesta'!K371,1)),"")&gt;=3),"",IF(W397=1,VALUE(LEFT('Base Encuesta'!AJ371,1)),""))</f>
        <v/>
      </c>
      <c r="AC397" t="str">
        <f>IF(OR('Base Encuesta'!AL371="",IFERROR(VALUE(LEFT('Base Encuesta'!K371,1)),"")&gt;=3),"",VALUE(LEFT('Base Encuesta'!AL371,1)))</f>
        <v/>
      </c>
      <c r="AD397" t="str">
        <f>IF(OR('Base Encuesta'!AM371="",IFERROR(VALUE(LEFT('Base Encuesta'!K371,1)),"")&gt;=3),"",VALUE(LEFT('Base Encuesta'!AM371,1)))</f>
        <v/>
      </c>
      <c r="AE397" t="str">
        <f>IF(OR('Base Encuesta'!AN371="",IFERROR(VALUE(LEFT('Base Encuesta'!K371,1)),"")&gt;=3),"",VALUE(LEFT('Base Encuesta'!AN371,1)))</f>
        <v/>
      </c>
      <c r="AF397" t="str">
        <f>IF(OR('Base Encuesta'!AO371="",IFERROR(VALUE(LEFT('Base Encuesta'!K371,1)),"")&gt;=3),"",VALUE(LEFT('Base Encuesta'!AO371,1)))</f>
        <v/>
      </c>
      <c r="AG397" t="str">
        <f>IF(OR('Base Encuesta'!AQ371="",IFERROR(VALUE(LEFT('Base Encuesta'!K371,1)),"")&gt;=3),"",VALUE(LEFT('Base Encuesta'!AQ371,1)))</f>
        <v/>
      </c>
      <c r="AH397" t="str">
        <f>IF(OR('Base Encuesta'!AR371="",IFERROR(VALUE(LEFT('Base Encuesta'!K371,1)),"")&gt;=3),"",VALUE(LEFT('Base Encuesta'!AR371,1)))</f>
        <v/>
      </c>
    </row>
    <row r="398" spans="1:34">
      <c r="A398" t="str">
        <f>IF('Base Encuesta'!C372="","",'Base Encuesta'!C372)</f>
        <v/>
      </c>
      <c r="B398" t="str">
        <f>IF('Base Encuesta'!D372="","",'Base Encuesta'!D372)</f>
        <v/>
      </c>
      <c r="C398" t="str">
        <f>IF('Base Encuesta'!E372="","",'Base Encuesta'!E372)</f>
        <v/>
      </c>
      <c r="D398" t="str">
        <f>IF('Base Encuesta'!F372="","",'Base Encuesta'!F372)</f>
        <v/>
      </c>
      <c r="E398" t="str">
        <f>IF('Base Encuesta'!G372="","",'Base Encuesta'!G372)</f>
        <v/>
      </c>
      <c r="F398" t="str">
        <f>IF('Base Encuesta'!H372="","",'Base Encuesta'!H372)</f>
        <v/>
      </c>
      <c r="G398" t="str">
        <f>IF('Base Encuesta'!I372="","",'Base Encuesta'!I372)</f>
        <v/>
      </c>
      <c r="H398" t="str">
        <f>IF('Base Encuesta'!J372="","",'Base Encuesta'!J372)</f>
        <v/>
      </c>
      <c r="I398" t="str">
        <f>IF('Base Encuesta'!K372="","",'Base Encuesta'!K372)</f>
        <v/>
      </c>
      <c r="J398" t="str">
        <f>IF(OR('Base Encuesta'!P372="",IFERROR(VALUE(LEFT('Base Encuesta'!K372,1)),"")&gt;=3),"",PROPER(TRIM('Base Encuesta'!P372)))</f>
        <v/>
      </c>
      <c r="K398" t="str">
        <f>IF(OR('Base Encuesta'!Q372="",IFERROR(VALUE(LEFT('Base Encuesta'!K372,1)),"")&gt;=3),"",'Base Encuesta'!Q372)</f>
        <v/>
      </c>
      <c r="L398" t="str">
        <f>IF(OR('Base Encuesta'!R372="",IFERROR(VALUE(LEFT('Base Encuesta'!K372,1)),"")&gt;=3),"",VALUE(LEFT('Base Encuesta'!R372,1)))</f>
        <v/>
      </c>
      <c r="M398" t="str">
        <f>IF(OR('Base Encuesta'!S372="",IFERROR(VALUE(LEFT('Base Encuesta'!K372,1)),"")&gt;=3),"",VALUE(LEFT('Base Encuesta'!S372,1)))</f>
        <v/>
      </c>
      <c r="N398" t="str">
        <f>IF(OR('Base Encuesta'!T372="",IFERROR(VALUE(LEFT('Base Encuesta'!K372,1)),"")&gt;=3),"",VALUE(LEFT('Base Encuesta'!T372,1)))</f>
        <v/>
      </c>
      <c r="O398" t="str">
        <f>IF(OR('Base Encuesta'!V372="",IFERROR(VALUE(LEFT('Base Encuesta'!K372,1)),"")&gt;=3),"",VALUE(LEFT('Base Encuesta'!V372,1)))</f>
        <v/>
      </c>
      <c r="P398" t="str">
        <f>IF(OR('Base Encuesta'!W372="",IFERROR(VALUE(LEFT('Base Encuesta'!K372,1)),"")&gt;=3),"",VALUE(LEFT('Base Encuesta'!W372,1)))</f>
        <v/>
      </c>
      <c r="Q398" t="str">
        <f>IF(OR('Base Encuesta'!X372="",IFERROR(VALUE(LEFT('Base Encuesta'!K372,1)),"")&gt;=3),"",VALUE(LEFT('Base Encuesta'!X372,1)))</f>
        <v/>
      </c>
      <c r="R398" t="str">
        <f>IF(OR('Base Encuesta'!Y372="",IFERROR(VALUE(LEFT('Base Encuesta'!K372,1)),"")&gt;=3),"",VALUE(LEFT('Base Encuesta'!Y372,1)))</f>
        <v/>
      </c>
      <c r="S398" t="str">
        <f>IF(OR('Base Encuesta'!Z372="",IFERROR(VALUE(LEFT('Base Encuesta'!K372,1)),"")&gt;=3),"",VALUE(LEFT('Base Encuesta'!Z372,1)))</f>
        <v/>
      </c>
      <c r="T398" t="str">
        <f>IF(OR('Base Encuesta'!AA372="",IFERROR(VALUE(LEFT('Base Encuesta'!K372,1)),"")&gt;=3),"",VALUE(LEFT('Base Encuesta'!AA372,1)))</f>
        <v/>
      </c>
      <c r="U398" t="str">
        <f>IF(OR('Base Encuesta'!AB372="",IFERROR(VALUE(LEFT('Base Encuesta'!K372,1)),"")&gt;=3),"",VALUE(LEFT('Base Encuesta'!AB372,1)))</f>
        <v/>
      </c>
      <c r="V398" t="str">
        <f>IF(OR('Base Encuesta'!AC372="",IFERROR(VALUE(LEFT('Base Encuesta'!K372,1)),"")&gt;=3),"",VALUE(LEFT('Base Encuesta'!AC372,1)))</f>
        <v/>
      </c>
      <c r="W398" t="str">
        <f>IF(OR('Base Encuesta'!AE372="",IFERROR(VALUE(LEFT('Base Encuesta'!K372,1)),"")&gt;=3),"",VALUE(LEFT('Base Encuesta'!AE372,1)))</f>
        <v/>
      </c>
      <c r="X398" t="str">
        <f>IF(OR('Base Encuesta'!AF372="",IFERROR(VALUE(LEFT('Base Encuesta'!K372,1)),"")&gt;=3),"",IF(W398=1,VALUE(LEFT('Base Encuesta'!AF372,1)),""))</f>
        <v/>
      </c>
      <c r="Y398" t="str">
        <f>IF(OR('Base Encuesta'!AG372="",IFERROR(VALUE(LEFT('Base Encuesta'!K372,1)),"")&gt;=3),"",IF(W398=1,VALUE(LEFT('Base Encuesta'!AG372,1)),""))</f>
        <v/>
      </c>
      <c r="Z398" t="str">
        <f>IF(OR('Base Encuesta'!AH372="",IFERROR(VALUE(LEFT('Base Encuesta'!K372,1)),"")&gt;=3),"",IF(W398=1,VALUE(LEFT('Base Encuesta'!AH372,1)),""))</f>
        <v/>
      </c>
      <c r="AA398" t="str">
        <f>IF(OR('Base Encuesta'!AI372="",IFERROR(VALUE(LEFT('Base Encuesta'!K372,1)),"")&gt;=3),"",IF(W398=1,VALUE(LEFT('Base Encuesta'!AI372,1)),""))</f>
        <v/>
      </c>
      <c r="AB398" t="str">
        <f>IF(OR('Base Encuesta'!AJ372="",IFERROR(VALUE(LEFT('Base Encuesta'!K372,1)),"")&gt;=3),"",IF(W398=1,VALUE(LEFT('Base Encuesta'!AJ372,1)),""))</f>
        <v/>
      </c>
      <c r="AC398" t="str">
        <f>IF(OR('Base Encuesta'!AL372="",IFERROR(VALUE(LEFT('Base Encuesta'!K372,1)),"")&gt;=3),"",VALUE(LEFT('Base Encuesta'!AL372,1)))</f>
        <v/>
      </c>
      <c r="AD398" t="str">
        <f>IF(OR('Base Encuesta'!AM372="",IFERROR(VALUE(LEFT('Base Encuesta'!K372,1)),"")&gt;=3),"",VALUE(LEFT('Base Encuesta'!AM372,1)))</f>
        <v/>
      </c>
      <c r="AE398" t="str">
        <f>IF(OR('Base Encuesta'!AN372="",IFERROR(VALUE(LEFT('Base Encuesta'!K372,1)),"")&gt;=3),"",VALUE(LEFT('Base Encuesta'!AN372,1)))</f>
        <v/>
      </c>
      <c r="AF398" t="str">
        <f>IF(OR('Base Encuesta'!AO372="",IFERROR(VALUE(LEFT('Base Encuesta'!K372,1)),"")&gt;=3),"",VALUE(LEFT('Base Encuesta'!AO372,1)))</f>
        <v/>
      </c>
      <c r="AG398" t="str">
        <f>IF(OR('Base Encuesta'!AQ372="",IFERROR(VALUE(LEFT('Base Encuesta'!K372,1)),"")&gt;=3),"",VALUE(LEFT('Base Encuesta'!AQ372,1)))</f>
        <v/>
      </c>
      <c r="AH398" t="str">
        <f>IF(OR('Base Encuesta'!AR372="",IFERROR(VALUE(LEFT('Base Encuesta'!K372,1)),"")&gt;=3),"",VALUE(LEFT('Base Encuesta'!AR372,1)))</f>
        <v/>
      </c>
    </row>
    <row r="399" spans="1:34">
      <c r="A399" t="str">
        <f>IF('Base Encuesta'!C373="","",'Base Encuesta'!C373)</f>
        <v/>
      </c>
      <c r="B399" t="str">
        <f>IF('Base Encuesta'!D373="","",'Base Encuesta'!D373)</f>
        <v/>
      </c>
      <c r="C399" t="str">
        <f>IF('Base Encuesta'!E373="","",'Base Encuesta'!E373)</f>
        <v/>
      </c>
      <c r="D399" t="str">
        <f>IF('Base Encuesta'!F373="","",'Base Encuesta'!F373)</f>
        <v/>
      </c>
      <c r="E399" t="str">
        <f>IF('Base Encuesta'!G373="","",'Base Encuesta'!G373)</f>
        <v/>
      </c>
      <c r="F399" t="str">
        <f>IF('Base Encuesta'!H373="","",'Base Encuesta'!H373)</f>
        <v/>
      </c>
      <c r="G399" t="str">
        <f>IF('Base Encuesta'!I373="","",'Base Encuesta'!I373)</f>
        <v/>
      </c>
      <c r="H399" t="str">
        <f>IF('Base Encuesta'!J373="","",'Base Encuesta'!J373)</f>
        <v/>
      </c>
      <c r="I399" t="str">
        <f>IF('Base Encuesta'!K373="","",'Base Encuesta'!K373)</f>
        <v/>
      </c>
      <c r="J399" t="str">
        <f>IF(OR('Base Encuesta'!P373="",IFERROR(VALUE(LEFT('Base Encuesta'!K373,1)),"")&gt;=3),"",PROPER(TRIM('Base Encuesta'!P373)))</f>
        <v/>
      </c>
      <c r="K399" t="str">
        <f>IF(OR('Base Encuesta'!Q373="",IFERROR(VALUE(LEFT('Base Encuesta'!K373,1)),"")&gt;=3),"",'Base Encuesta'!Q373)</f>
        <v/>
      </c>
      <c r="L399" t="str">
        <f>IF(OR('Base Encuesta'!R373="",IFERROR(VALUE(LEFT('Base Encuesta'!K373,1)),"")&gt;=3),"",VALUE(LEFT('Base Encuesta'!R373,1)))</f>
        <v/>
      </c>
      <c r="M399" t="str">
        <f>IF(OR('Base Encuesta'!S373="",IFERROR(VALUE(LEFT('Base Encuesta'!K373,1)),"")&gt;=3),"",VALUE(LEFT('Base Encuesta'!S373,1)))</f>
        <v/>
      </c>
      <c r="N399" t="str">
        <f>IF(OR('Base Encuesta'!T373="",IFERROR(VALUE(LEFT('Base Encuesta'!K373,1)),"")&gt;=3),"",VALUE(LEFT('Base Encuesta'!T373,1)))</f>
        <v/>
      </c>
      <c r="O399" t="str">
        <f>IF(OR('Base Encuesta'!V373="",IFERROR(VALUE(LEFT('Base Encuesta'!K373,1)),"")&gt;=3),"",VALUE(LEFT('Base Encuesta'!V373,1)))</f>
        <v/>
      </c>
      <c r="P399" t="str">
        <f>IF(OR('Base Encuesta'!W373="",IFERROR(VALUE(LEFT('Base Encuesta'!K373,1)),"")&gt;=3),"",VALUE(LEFT('Base Encuesta'!W373,1)))</f>
        <v/>
      </c>
      <c r="Q399" t="str">
        <f>IF(OR('Base Encuesta'!X373="",IFERROR(VALUE(LEFT('Base Encuesta'!K373,1)),"")&gt;=3),"",VALUE(LEFT('Base Encuesta'!X373,1)))</f>
        <v/>
      </c>
      <c r="R399" t="str">
        <f>IF(OR('Base Encuesta'!Y373="",IFERROR(VALUE(LEFT('Base Encuesta'!K373,1)),"")&gt;=3),"",VALUE(LEFT('Base Encuesta'!Y373,1)))</f>
        <v/>
      </c>
      <c r="S399" t="str">
        <f>IF(OR('Base Encuesta'!Z373="",IFERROR(VALUE(LEFT('Base Encuesta'!K373,1)),"")&gt;=3),"",VALUE(LEFT('Base Encuesta'!Z373,1)))</f>
        <v/>
      </c>
      <c r="T399" t="str">
        <f>IF(OR('Base Encuesta'!AA373="",IFERROR(VALUE(LEFT('Base Encuesta'!K373,1)),"")&gt;=3),"",VALUE(LEFT('Base Encuesta'!AA373,1)))</f>
        <v/>
      </c>
      <c r="U399" t="str">
        <f>IF(OR('Base Encuesta'!AB373="",IFERROR(VALUE(LEFT('Base Encuesta'!K373,1)),"")&gt;=3),"",VALUE(LEFT('Base Encuesta'!AB373,1)))</f>
        <v/>
      </c>
      <c r="V399" t="str">
        <f>IF(OR('Base Encuesta'!AC373="",IFERROR(VALUE(LEFT('Base Encuesta'!K373,1)),"")&gt;=3),"",VALUE(LEFT('Base Encuesta'!AC373,1)))</f>
        <v/>
      </c>
      <c r="W399" t="str">
        <f>IF(OR('Base Encuesta'!AE373="",IFERROR(VALUE(LEFT('Base Encuesta'!K373,1)),"")&gt;=3),"",VALUE(LEFT('Base Encuesta'!AE373,1)))</f>
        <v/>
      </c>
      <c r="X399" t="str">
        <f>IF(OR('Base Encuesta'!AF373="",IFERROR(VALUE(LEFT('Base Encuesta'!K373,1)),"")&gt;=3),"",IF(W399=1,VALUE(LEFT('Base Encuesta'!AF373,1)),""))</f>
        <v/>
      </c>
      <c r="Y399" t="str">
        <f>IF(OR('Base Encuesta'!AG373="",IFERROR(VALUE(LEFT('Base Encuesta'!K373,1)),"")&gt;=3),"",IF(W399=1,VALUE(LEFT('Base Encuesta'!AG373,1)),""))</f>
        <v/>
      </c>
      <c r="Z399" t="str">
        <f>IF(OR('Base Encuesta'!AH373="",IFERROR(VALUE(LEFT('Base Encuesta'!K373,1)),"")&gt;=3),"",IF(W399=1,VALUE(LEFT('Base Encuesta'!AH373,1)),""))</f>
        <v/>
      </c>
      <c r="AA399" t="str">
        <f>IF(OR('Base Encuesta'!AI373="",IFERROR(VALUE(LEFT('Base Encuesta'!K373,1)),"")&gt;=3),"",IF(W399=1,VALUE(LEFT('Base Encuesta'!AI373,1)),""))</f>
        <v/>
      </c>
      <c r="AB399" t="str">
        <f>IF(OR('Base Encuesta'!AJ373="",IFERROR(VALUE(LEFT('Base Encuesta'!K373,1)),"")&gt;=3),"",IF(W399=1,VALUE(LEFT('Base Encuesta'!AJ373,1)),""))</f>
        <v/>
      </c>
      <c r="AC399" t="str">
        <f>IF(OR('Base Encuesta'!AL373="",IFERROR(VALUE(LEFT('Base Encuesta'!K373,1)),"")&gt;=3),"",VALUE(LEFT('Base Encuesta'!AL373,1)))</f>
        <v/>
      </c>
      <c r="AD399" t="str">
        <f>IF(OR('Base Encuesta'!AM373="",IFERROR(VALUE(LEFT('Base Encuesta'!K373,1)),"")&gt;=3),"",VALUE(LEFT('Base Encuesta'!AM373,1)))</f>
        <v/>
      </c>
      <c r="AE399" t="str">
        <f>IF(OR('Base Encuesta'!AN373="",IFERROR(VALUE(LEFT('Base Encuesta'!K373,1)),"")&gt;=3),"",VALUE(LEFT('Base Encuesta'!AN373,1)))</f>
        <v/>
      </c>
      <c r="AF399" t="str">
        <f>IF(OR('Base Encuesta'!AO373="",IFERROR(VALUE(LEFT('Base Encuesta'!K373,1)),"")&gt;=3),"",VALUE(LEFT('Base Encuesta'!AO373,1)))</f>
        <v/>
      </c>
      <c r="AG399" t="str">
        <f>IF(OR('Base Encuesta'!AQ373="",IFERROR(VALUE(LEFT('Base Encuesta'!K373,1)),"")&gt;=3),"",VALUE(LEFT('Base Encuesta'!AQ373,1)))</f>
        <v/>
      </c>
      <c r="AH399" t="str">
        <f>IF(OR('Base Encuesta'!AR373="",IFERROR(VALUE(LEFT('Base Encuesta'!K373,1)),"")&gt;=3),"",VALUE(LEFT('Base Encuesta'!AR373,1)))</f>
        <v/>
      </c>
    </row>
    <row r="400" spans="1:34">
      <c r="A400" t="str">
        <f>IF('Base Encuesta'!C374="","",'Base Encuesta'!C374)</f>
        <v/>
      </c>
      <c r="B400" t="str">
        <f>IF('Base Encuesta'!D374="","",'Base Encuesta'!D374)</f>
        <v/>
      </c>
      <c r="C400" t="str">
        <f>IF('Base Encuesta'!E374="","",'Base Encuesta'!E374)</f>
        <v/>
      </c>
      <c r="D400" t="str">
        <f>IF('Base Encuesta'!F374="","",'Base Encuesta'!F374)</f>
        <v/>
      </c>
      <c r="E400" t="str">
        <f>IF('Base Encuesta'!G374="","",'Base Encuesta'!G374)</f>
        <v/>
      </c>
      <c r="F400" t="str">
        <f>IF('Base Encuesta'!H374="","",'Base Encuesta'!H374)</f>
        <v/>
      </c>
      <c r="G400" t="str">
        <f>IF('Base Encuesta'!I374="","",'Base Encuesta'!I374)</f>
        <v/>
      </c>
      <c r="H400" t="str">
        <f>IF('Base Encuesta'!J374="","",'Base Encuesta'!J374)</f>
        <v/>
      </c>
      <c r="I400" t="str">
        <f>IF('Base Encuesta'!K374="","",'Base Encuesta'!K374)</f>
        <v/>
      </c>
      <c r="J400" t="str">
        <f>IF(OR('Base Encuesta'!P374="",IFERROR(VALUE(LEFT('Base Encuesta'!K374,1)),"")&gt;=3),"",PROPER(TRIM('Base Encuesta'!P374)))</f>
        <v/>
      </c>
      <c r="K400" t="str">
        <f>IF(OR('Base Encuesta'!Q374="",IFERROR(VALUE(LEFT('Base Encuesta'!K374,1)),"")&gt;=3),"",'Base Encuesta'!Q374)</f>
        <v/>
      </c>
      <c r="L400" t="str">
        <f>IF(OR('Base Encuesta'!R374="",IFERROR(VALUE(LEFT('Base Encuesta'!K374,1)),"")&gt;=3),"",VALUE(LEFT('Base Encuesta'!R374,1)))</f>
        <v/>
      </c>
      <c r="M400" t="str">
        <f>IF(OR('Base Encuesta'!S374="",IFERROR(VALUE(LEFT('Base Encuesta'!K374,1)),"")&gt;=3),"",VALUE(LEFT('Base Encuesta'!S374,1)))</f>
        <v/>
      </c>
      <c r="N400" t="str">
        <f>IF(OR('Base Encuesta'!T374="",IFERROR(VALUE(LEFT('Base Encuesta'!K374,1)),"")&gt;=3),"",VALUE(LEFT('Base Encuesta'!T374,1)))</f>
        <v/>
      </c>
      <c r="O400" t="str">
        <f>IF(OR('Base Encuesta'!V374="",IFERROR(VALUE(LEFT('Base Encuesta'!K374,1)),"")&gt;=3),"",VALUE(LEFT('Base Encuesta'!V374,1)))</f>
        <v/>
      </c>
      <c r="P400" t="str">
        <f>IF(OR('Base Encuesta'!W374="",IFERROR(VALUE(LEFT('Base Encuesta'!K374,1)),"")&gt;=3),"",VALUE(LEFT('Base Encuesta'!W374,1)))</f>
        <v/>
      </c>
      <c r="Q400" t="str">
        <f>IF(OR('Base Encuesta'!X374="",IFERROR(VALUE(LEFT('Base Encuesta'!K374,1)),"")&gt;=3),"",VALUE(LEFT('Base Encuesta'!X374,1)))</f>
        <v/>
      </c>
      <c r="R400" t="str">
        <f>IF(OR('Base Encuesta'!Y374="",IFERROR(VALUE(LEFT('Base Encuesta'!K374,1)),"")&gt;=3),"",VALUE(LEFT('Base Encuesta'!Y374,1)))</f>
        <v/>
      </c>
      <c r="S400" t="str">
        <f>IF(OR('Base Encuesta'!Z374="",IFERROR(VALUE(LEFT('Base Encuesta'!K374,1)),"")&gt;=3),"",VALUE(LEFT('Base Encuesta'!Z374,1)))</f>
        <v/>
      </c>
      <c r="T400" t="str">
        <f>IF(OR('Base Encuesta'!AA374="",IFERROR(VALUE(LEFT('Base Encuesta'!K374,1)),"")&gt;=3),"",VALUE(LEFT('Base Encuesta'!AA374,1)))</f>
        <v/>
      </c>
      <c r="U400" t="str">
        <f>IF(OR('Base Encuesta'!AB374="",IFERROR(VALUE(LEFT('Base Encuesta'!K374,1)),"")&gt;=3),"",VALUE(LEFT('Base Encuesta'!AB374,1)))</f>
        <v/>
      </c>
      <c r="V400" t="str">
        <f>IF(OR('Base Encuesta'!AC374="",IFERROR(VALUE(LEFT('Base Encuesta'!K374,1)),"")&gt;=3),"",VALUE(LEFT('Base Encuesta'!AC374,1)))</f>
        <v/>
      </c>
      <c r="W400" t="str">
        <f>IF(OR('Base Encuesta'!AE374="",IFERROR(VALUE(LEFT('Base Encuesta'!K374,1)),"")&gt;=3),"",VALUE(LEFT('Base Encuesta'!AE374,1)))</f>
        <v/>
      </c>
      <c r="X400" t="str">
        <f>IF(OR('Base Encuesta'!AF374="",IFERROR(VALUE(LEFT('Base Encuesta'!K374,1)),"")&gt;=3),"",IF(W400=1,VALUE(LEFT('Base Encuesta'!AF374,1)),""))</f>
        <v/>
      </c>
      <c r="Y400" t="str">
        <f>IF(OR('Base Encuesta'!AG374="",IFERROR(VALUE(LEFT('Base Encuesta'!K374,1)),"")&gt;=3),"",IF(W400=1,VALUE(LEFT('Base Encuesta'!AG374,1)),""))</f>
        <v/>
      </c>
      <c r="Z400" t="str">
        <f>IF(OR('Base Encuesta'!AH374="",IFERROR(VALUE(LEFT('Base Encuesta'!K374,1)),"")&gt;=3),"",IF(W400=1,VALUE(LEFT('Base Encuesta'!AH374,1)),""))</f>
        <v/>
      </c>
      <c r="AA400" t="str">
        <f>IF(OR('Base Encuesta'!AI374="",IFERROR(VALUE(LEFT('Base Encuesta'!K374,1)),"")&gt;=3),"",IF(W400=1,VALUE(LEFT('Base Encuesta'!AI374,1)),""))</f>
        <v/>
      </c>
      <c r="AB400" t="str">
        <f>IF(OR('Base Encuesta'!AJ374="",IFERROR(VALUE(LEFT('Base Encuesta'!K374,1)),"")&gt;=3),"",IF(W400=1,VALUE(LEFT('Base Encuesta'!AJ374,1)),""))</f>
        <v/>
      </c>
      <c r="AC400" t="str">
        <f>IF(OR('Base Encuesta'!AL374="",IFERROR(VALUE(LEFT('Base Encuesta'!K374,1)),"")&gt;=3),"",VALUE(LEFT('Base Encuesta'!AL374,1)))</f>
        <v/>
      </c>
      <c r="AD400" t="str">
        <f>IF(OR('Base Encuesta'!AM374="",IFERROR(VALUE(LEFT('Base Encuesta'!K374,1)),"")&gt;=3),"",VALUE(LEFT('Base Encuesta'!AM374,1)))</f>
        <v/>
      </c>
      <c r="AE400" t="str">
        <f>IF(OR('Base Encuesta'!AN374="",IFERROR(VALUE(LEFT('Base Encuesta'!K374,1)),"")&gt;=3),"",VALUE(LEFT('Base Encuesta'!AN374,1)))</f>
        <v/>
      </c>
      <c r="AF400" t="str">
        <f>IF(OR('Base Encuesta'!AO374="",IFERROR(VALUE(LEFT('Base Encuesta'!K374,1)),"")&gt;=3),"",VALUE(LEFT('Base Encuesta'!AO374,1)))</f>
        <v/>
      </c>
      <c r="AG400" t="str">
        <f>IF(OR('Base Encuesta'!AQ374="",IFERROR(VALUE(LEFT('Base Encuesta'!K374,1)),"")&gt;=3),"",VALUE(LEFT('Base Encuesta'!AQ374,1)))</f>
        <v/>
      </c>
      <c r="AH400" t="str">
        <f>IF(OR('Base Encuesta'!AR374="",IFERROR(VALUE(LEFT('Base Encuesta'!K374,1)),"")&gt;=3),"",VALUE(LEFT('Base Encuesta'!AR374,1)))</f>
        <v/>
      </c>
    </row>
    <row r="401" spans="1:34">
      <c r="A401" t="str">
        <f>IF('Base Encuesta'!C375="","",'Base Encuesta'!C375)</f>
        <v/>
      </c>
      <c r="B401" t="str">
        <f>IF('Base Encuesta'!D375="","",'Base Encuesta'!D375)</f>
        <v/>
      </c>
      <c r="C401" t="str">
        <f>IF('Base Encuesta'!E375="","",'Base Encuesta'!E375)</f>
        <v/>
      </c>
      <c r="D401" t="str">
        <f>IF('Base Encuesta'!F375="","",'Base Encuesta'!F375)</f>
        <v/>
      </c>
      <c r="E401" t="str">
        <f>IF('Base Encuesta'!G375="","",'Base Encuesta'!G375)</f>
        <v/>
      </c>
      <c r="F401" t="str">
        <f>IF('Base Encuesta'!H375="","",'Base Encuesta'!H375)</f>
        <v/>
      </c>
      <c r="G401" t="str">
        <f>IF('Base Encuesta'!I375="","",'Base Encuesta'!I375)</f>
        <v/>
      </c>
      <c r="H401" t="str">
        <f>IF('Base Encuesta'!J375="","",'Base Encuesta'!J375)</f>
        <v/>
      </c>
      <c r="I401" t="str">
        <f>IF('Base Encuesta'!K375="","",'Base Encuesta'!K375)</f>
        <v/>
      </c>
      <c r="J401" t="str">
        <f>IF(OR('Base Encuesta'!P375="",IFERROR(VALUE(LEFT('Base Encuesta'!K375,1)),"")&gt;=3),"",PROPER(TRIM('Base Encuesta'!P375)))</f>
        <v/>
      </c>
      <c r="K401" t="str">
        <f>IF(OR('Base Encuesta'!Q375="",IFERROR(VALUE(LEFT('Base Encuesta'!K375,1)),"")&gt;=3),"",'Base Encuesta'!Q375)</f>
        <v/>
      </c>
      <c r="L401" t="str">
        <f>IF(OR('Base Encuesta'!R375="",IFERROR(VALUE(LEFT('Base Encuesta'!K375,1)),"")&gt;=3),"",VALUE(LEFT('Base Encuesta'!R375,1)))</f>
        <v/>
      </c>
      <c r="M401" t="str">
        <f>IF(OR('Base Encuesta'!S375="",IFERROR(VALUE(LEFT('Base Encuesta'!K375,1)),"")&gt;=3),"",VALUE(LEFT('Base Encuesta'!S375,1)))</f>
        <v/>
      </c>
      <c r="N401" t="str">
        <f>IF(OR('Base Encuesta'!T375="",IFERROR(VALUE(LEFT('Base Encuesta'!K375,1)),"")&gt;=3),"",VALUE(LEFT('Base Encuesta'!T375,1)))</f>
        <v/>
      </c>
      <c r="O401" t="str">
        <f>IF(OR('Base Encuesta'!V375="",IFERROR(VALUE(LEFT('Base Encuesta'!K375,1)),"")&gt;=3),"",VALUE(LEFT('Base Encuesta'!V375,1)))</f>
        <v/>
      </c>
      <c r="P401" t="str">
        <f>IF(OR('Base Encuesta'!W375="",IFERROR(VALUE(LEFT('Base Encuesta'!K375,1)),"")&gt;=3),"",VALUE(LEFT('Base Encuesta'!W375,1)))</f>
        <v/>
      </c>
      <c r="Q401" t="str">
        <f>IF(OR('Base Encuesta'!X375="",IFERROR(VALUE(LEFT('Base Encuesta'!K375,1)),"")&gt;=3),"",VALUE(LEFT('Base Encuesta'!X375,1)))</f>
        <v/>
      </c>
      <c r="R401" t="str">
        <f>IF(OR('Base Encuesta'!Y375="",IFERROR(VALUE(LEFT('Base Encuesta'!K375,1)),"")&gt;=3),"",VALUE(LEFT('Base Encuesta'!Y375,1)))</f>
        <v/>
      </c>
      <c r="S401" t="str">
        <f>IF(OR('Base Encuesta'!Z375="",IFERROR(VALUE(LEFT('Base Encuesta'!K375,1)),"")&gt;=3),"",VALUE(LEFT('Base Encuesta'!Z375,1)))</f>
        <v/>
      </c>
      <c r="T401" t="str">
        <f>IF(OR('Base Encuesta'!AA375="",IFERROR(VALUE(LEFT('Base Encuesta'!K375,1)),"")&gt;=3),"",VALUE(LEFT('Base Encuesta'!AA375,1)))</f>
        <v/>
      </c>
      <c r="U401" t="str">
        <f>IF(OR('Base Encuesta'!AB375="",IFERROR(VALUE(LEFT('Base Encuesta'!K375,1)),"")&gt;=3),"",VALUE(LEFT('Base Encuesta'!AB375,1)))</f>
        <v/>
      </c>
      <c r="V401" t="str">
        <f>IF(OR('Base Encuesta'!AC375="",IFERROR(VALUE(LEFT('Base Encuesta'!K375,1)),"")&gt;=3),"",VALUE(LEFT('Base Encuesta'!AC375,1)))</f>
        <v/>
      </c>
      <c r="W401" t="str">
        <f>IF(OR('Base Encuesta'!AE375="",IFERROR(VALUE(LEFT('Base Encuesta'!K375,1)),"")&gt;=3),"",VALUE(LEFT('Base Encuesta'!AE375,1)))</f>
        <v/>
      </c>
      <c r="X401" t="str">
        <f>IF(OR('Base Encuesta'!AF375="",IFERROR(VALUE(LEFT('Base Encuesta'!K375,1)),"")&gt;=3),"",IF(W401=1,VALUE(LEFT('Base Encuesta'!AF375,1)),""))</f>
        <v/>
      </c>
      <c r="Y401" t="str">
        <f>IF(OR('Base Encuesta'!AG375="",IFERROR(VALUE(LEFT('Base Encuesta'!K375,1)),"")&gt;=3),"",IF(W401=1,VALUE(LEFT('Base Encuesta'!AG375,1)),""))</f>
        <v/>
      </c>
      <c r="Z401" t="str">
        <f>IF(OR('Base Encuesta'!AH375="",IFERROR(VALUE(LEFT('Base Encuesta'!K375,1)),"")&gt;=3),"",IF(W401=1,VALUE(LEFT('Base Encuesta'!AH375,1)),""))</f>
        <v/>
      </c>
      <c r="AA401" t="str">
        <f>IF(OR('Base Encuesta'!AI375="",IFERROR(VALUE(LEFT('Base Encuesta'!K375,1)),"")&gt;=3),"",IF(W401=1,VALUE(LEFT('Base Encuesta'!AI375,1)),""))</f>
        <v/>
      </c>
      <c r="AB401" t="str">
        <f>IF(OR('Base Encuesta'!AJ375="",IFERROR(VALUE(LEFT('Base Encuesta'!K375,1)),"")&gt;=3),"",IF(W401=1,VALUE(LEFT('Base Encuesta'!AJ375,1)),""))</f>
        <v/>
      </c>
      <c r="AC401" t="str">
        <f>IF(OR('Base Encuesta'!AL375="",IFERROR(VALUE(LEFT('Base Encuesta'!K375,1)),"")&gt;=3),"",VALUE(LEFT('Base Encuesta'!AL375,1)))</f>
        <v/>
      </c>
      <c r="AD401" t="str">
        <f>IF(OR('Base Encuesta'!AM375="",IFERROR(VALUE(LEFT('Base Encuesta'!K375,1)),"")&gt;=3),"",VALUE(LEFT('Base Encuesta'!AM375,1)))</f>
        <v/>
      </c>
      <c r="AE401" t="str">
        <f>IF(OR('Base Encuesta'!AN375="",IFERROR(VALUE(LEFT('Base Encuesta'!K375,1)),"")&gt;=3),"",VALUE(LEFT('Base Encuesta'!AN375,1)))</f>
        <v/>
      </c>
      <c r="AF401" t="str">
        <f>IF(OR('Base Encuesta'!AO375="",IFERROR(VALUE(LEFT('Base Encuesta'!K375,1)),"")&gt;=3),"",VALUE(LEFT('Base Encuesta'!AO375,1)))</f>
        <v/>
      </c>
      <c r="AG401" t="str">
        <f>IF(OR('Base Encuesta'!AQ375="",IFERROR(VALUE(LEFT('Base Encuesta'!K375,1)),"")&gt;=3),"",VALUE(LEFT('Base Encuesta'!AQ375,1)))</f>
        <v/>
      </c>
      <c r="AH401" t="str">
        <f>IF(OR('Base Encuesta'!AR375="",IFERROR(VALUE(LEFT('Base Encuesta'!K375,1)),"")&gt;=3),"",VALUE(LEFT('Base Encuesta'!AR375,1)))</f>
        <v/>
      </c>
    </row>
    <row r="402" spans="1:34">
      <c r="A402" t="str">
        <f>IF('Base Encuesta'!C376="","",'Base Encuesta'!C376)</f>
        <v/>
      </c>
      <c r="B402" t="str">
        <f>IF('Base Encuesta'!D376="","",'Base Encuesta'!D376)</f>
        <v/>
      </c>
      <c r="C402" t="str">
        <f>IF('Base Encuesta'!E376="","",'Base Encuesta'!E376)</f>
        <v/>
      </c>
      <c r="D402" t="str">
        <f>IF('Base Encuesta'!F376="","",'Base Encuesta'!F376)</f>
        <v/>
      </c>
      <c r="E402" t="str">
        <f>IF('Base Encuesta'!G376="","",'Base Encuesta'!G376)</f>
        <v/>
      </c>
      <c r="F402" t="str">
        <f>IF('Base Encuesta'!H376="","",'Base Encuesta'!H376)</f>
        <v/>
      </c>
      <c r="G402" t="str">
        <f>IF('Base Encuesta'!I376="","",'Base Encuesta'!I376)</f>
        <v/>
      </c>
      <c r="H402" t="str">
        <f>IF('Base Encuesta'!J376="","",'Base Encuesta'!J376)</f>
        <v/>
      </c>
      <c r="I402" t="str">
        <f>IF('Base Encuesta'!K376="","",'Base Encuesta'!K376)</f>
        <v/>
      </c>
      <c r="J402" t="str">
        <f>IF(OR('Base Encuesta'!P376="",IFERROR(VALUE(LEFT('Base Encuesta'!K376,1)),"")&gt;=3),"",PROPER(TRIM('Base Encuesta'!P376)))</f>
        <v/>
      </c>
      <c r="K402" t="str">
        <f>IF(OR('Base Encuesta'!Q376="",IFERROR(VALUE(LEFT('Base Encuesta'!K376,1)),"")&gt;=3),"",'Base Encuesta'!Q376)</f>
        <v/>
      </c>
      <c r="L402" t="str">
        <f>IF(OR('Base Encuesta'!R376="",IFERROR(VALUE(LEFT('Base Encuesta'!K376,1)),"")&gt;=3),"",VALUE(LEFT('Base Encuesta'!R376,1)))</f>
        <v/>
      </c>
      <c r="M402" t="str">
        <f>IF(OR('Base Encuesta'!S376="",IFERROR(VALUE(LEFT('Base Encuesta'!K376,1)),"")&gt;=3),"",VALUE(LEFT('Base Encuesta'!S376,1)))</f>
        <v/>
      </c>
      <c r="N402" t="str">
        <f>IF(OR('Base Encuesta'!T376="",IFERROR(VALUE(LEFT('Base Encuesta'!K376,1)),"")&gt;=3),"",VALUE(LEFT('Base Encuesta'!T376,1)))</f>
        <v/>
      </c>
      <c r="O402" t="str">
        <f>IF(OR('Base Encuesta'!V376="",IFERROR(VALUE(LEFT('Base Encuesta'!K376,1)),"")&gt;=3),"",VALUE(LEFT('Base Encuesta'!V376,1)))</f>
        <v/>
      </c>
      <c r="P402" t="str">
        <f>IF(OR('Base Encuesta'!W376="",IFERROR(VALUE(LEFT('Base Encuesta'!K376,1)),"")&gt;=3),"",VALUE(LEFT('Base Encuesta'!W376,1)))</f>
        <v/>
      </c>
      <c r="Q402" t="str">
        <f>IF(OR('Base Encuesta'!X376="",IFERROR(VALUE(LEFT('Base Encuesta'!K376,1)),"")&gt;=3),"",VALUE(LEFT('Base Encuesta'!X376,1)))</f>
        <v/>
      </c>
      <c r="R402" t="str">
        <f>IF(OR('Base Encuesta'!Y376="",IFERROR(VALUE(LEFT('Base Encuesta'!K376,1)),"")&gt;=3),"",VALUE(LEFT('Base Encuesta'!Y376,1)))</f>
        <v/>
      </c>
      <c r="S402" t="str">
        <f>IF(OR('Base Encuesta'!Z376="",IFERROR(VALUE(LEFT('Base Encuesta'!K376,1)),"")&gt;=3),"",VALUE(LEFT('Base Encuesta'!Z376,1)))</f>
        <v/>
      </c>
      <c r="T402" t="str">
        <f>IF(OR('Base Encuesta'!AA376="",IFERROR(VALUE(LEFT('Base Encuesta'!K376,1)),"")&gt;=3),"",VALUE(LEFT('Base Encuesta'!AA376,1)))</f>
        <v/>
      </c>
      <c r="U402" t="str">
        <f>IF(OR('Base Encuesta'!AB376="",IFERROR(VALUE(LEFT('Base Encuesta'!K376,1)),"")&gt;=3),"",VALUE(LEFT('Base Encuesta'!AB376,1)))</f>
        <v/>
      </c>
      <c r="V402" t="str">
        <f>IF(OR('Base Encuesta'!AC376="",IFERROR(VALUE(LEFT('Base Encuesta'!K376,1)),"")&gt;=3),"",VALUE(LEFT('Base Encuesta'!AC376,1)))</f>
        <v/>
      </c>
      <c r="W402" t="str">
        <f>IF(OR('Base Encuesta'!AE376="",IFERROR(VALUE(LEFT('Base Encuesta'!K376,1)),"")&gt;=3),"",VALUE(LEFT('Base Encuesta'!AE376,1)))</f>
        <v/>
      </c>
      <c r="X402" t="str">
        <f>IF(OR('Base Encuesta'!AF376="",IFERROR(VALUE(LEFT('Base Encuesta'!K376,1)),"")&gt;=3),"",IF(W402=1,VALUE(LEFT('Base Encuesta'!AF376,1)),""))</f>
        <v/>
      </c>
      <c r="Y402" t="str">
        <f>IF(OR('Base Encuesta'!AG376="",IFERROR(VALUE(LEFT('Base Encuesta'!K376,1)),"")&gt;=3),"",IF(W402=1,VALUE(LEFT('Base Encuesta'!AG376,1)),""))</f>
        <v/>
      </c>
      <c r="Z402" t="str">
        <f>IF(OR('Base Encuesta'!AH376="",IFERROR(VALUE(LEFT('Base Encuesta'!K376,1)),"")&gt;=3),"",IF(W402=1,VALUE(LEFT('Base Encuesta'!AH376,1)),""))</f>
        <v/>
      </c>
      <c r="AA402" t="str">
        <f>IF(OR('Base Encuesta'!AI376="",IFERROR(VALUE(LEFT('Base Encuesta'!K376,1)),"")&gt;=3),"",IF(W402=1,VALUE(LEFT('Base Encuesta'!AI376,1)),""))</f>
        <v/>
      </c>
      <c r="AB402" t="str">
        <f>IF(OR('Base Encuesta'!AJ376="",IFERROR(VALUE(LEFT('Base Encuesta'!K376,1)),"")&gt;=3),"",IF(W402=1,VALUE(LEFT('Base Encuesta'!AJ376,1)),""))</f>
        <v/>
      </c>
      <c r="AC402" t="str">
        <f>IF(OR('Base Encuesta'!AL376="",IFERROR(VALUE(LEFT('Base Encuesta'!K376,1)),"")&gt;=3),"",VALUE(LEFT('Base Encuesta'!AL376,1)))</f>
        <v/>
      </c>
      <c r="AD402" t="str">
        <f>IF(OR('Base Encuesta'!AM376="",IFERROR(VALUE(LEFT('Base Encuesta'!K376,1)),"")&gt;=3),"",VALUE(LEFT('Base Encuesta'!AM376,1)))</f>
        <v/>
      </c>
      <c r="AE402" t="str">
        <f>IF(OR('Base Encuesta'!AN376="",IFERROR(VALUE(LEFT('Base Encuesta'!K376,1)),"")&gt;=3),"",VALUE(LEFT('Base Encuesta'!AN376,1)))</f>
        <v/>
      </c>
      <c r="AF402" t="str">
        <f>IF(OR('Base Encuesta'!AO376="",IFERROR(VALUE(LEFT('Base Encuesta'!K376,1)),"")&gt;=3),"",VALUE(LEFT('Base Encuesta'!AO376,1)))</f>
        <v/>
      </c>
      <c r="AG402" t="str">
        <f>IF(OR('Base Encuesta'!AQ376="",IFERROR(VALUE(LEFT('Base Encuesta'!K376,1)),"")&gt;=3),"",VALUE(LEFT('Base Encuesta'!AQ376,1)))</f>
        <v/>
      </c>
      <c r="AH402" t="str">
        <f>IF(OR('Base Encuesta'!AR376="",IFERROR(VALUE(LEFT('Base Encuesta'!K376,1)),"")&gt;=3),"",VALUE(LEFT('Base Encuesta'!AR376,1)))</f>
        <v/>
      </c>
    </row>
    <row r="403" spans="1:34">
      <c r="A403" t="str">
        <f>IF('Base Encuesta'!C377="","",'Base Encuesta'!C377)</f>
        <v/>
      </c>
      <c r="B403" t="str">
        <f>IF('Base Encuesta'!D377="","",'Base Encuesta'!D377)</f>
        <v/>
      </c>
      <c r="C403" t="str">
        <f>IF('Base Encuesta'!E377="","",'Base Encuesta'!E377)</f>
        <v/>
      </c>
      <c r="D403" t="str">
        <f>IF('Base Encuesta'!F377="","",'Base Encuesta'!F377)</f>
        <v/>
      </c>
      <c r="E403" t="str">
        <f>IF('Base Encuesta'!G377="","",'Base Encuesta'!G377)</f>
        <v/>
      </c>
      <c r="F403" t="str">
        <f>IF('Base Encuesta'!H377="","",'Base Encuesta'!H377)</f>
        <v/>
      </c>
      <c r="G403" t="str">
        <f>IF('Base Encuesta'!I377="","",'Base Encuesta'!I377)</f>
        <v/>
      </c>
      <c r="H403" t="str">
        <f>IF('Base Encuesta'!J377="","",'Base Encuesta'!J377)</f>
        <v/>
      </c>
      <c r="I403" t="str">
        <f>IF('Base Encuesta'!K377="","",'Base Encuesta'!K377)</f>
        <v/>
      </c>
      <c r="J403" t="str">
        <f>IF(OR('Base Encuesta'!P377="",IFERROR(VALUE(LEFT('Base Encuesta'!K377,1)),"")&gt;=3),"",PROPER(TRIM('Base Encuesta'!P377)))</f>
        <v/>
      </c>
      <c r="K403" t="str">
        <f>IF(OR('Base Encuesta'!Q377="",IFERROR(VALUE(LEFT('Base Encuesta'!K377,1)),"")&gt;=3),"",'Base Encuesta'!Q377)</f>
        <v/>
      </c>
      <c r="L403" t="str">
        <f>IF(OR('Base Encuesta'!R377="",IFERROR(VALUE(LEFT('Base Encuesta'!K377,1)),"")&gt;=3),"",VALUE(LEFT('Base Encuesta'!R377,1)))</f>
        <v/>
      </c>
      <c r="M403" t="str">
        <f>IF(OR('Base Encuesta'!S377="",IFERROR(VALUE(LEFT('Base Encuesta'!K377,1)),"")&gt;=3),"",VALUE(LEFT('Base Encuesta'!S377,1)))</f>
        <v/>
      </c>
      <c r="N403" t="str">
        <f>IF(OR('Base Encuesta'!T377="",IFERROR(VALUE(LEFT('Base Encuesta'!K377,1)),"")&gt;=3),"",VALUE(LEFT('Base Encuesta'!T377,1)))</f>
        <v/>
      </c>
      <c r="O403" t="str">
        <f>IF(OR('Base Encuesta'!V377="",IFERROR(VALUE(LEFT('Base Encuesta'!K377,1)),"")&gt;=3),"",VALUE(LEFT('Base Encuesta'!V377,1)))</f>
        <v/>
      </c>
      <c r="P403" t="str">
        <f>IF(OR('Base Encuesta'!W377="",IFERROR(VALUE(LEFT('Base Encuesta'!K377,1)),"")&gt;=3),"",VALUE(LEFT('Base Encuesta'!W377,1)))</f>
        <v/>
      </c>
      <c r="Q403" t="str">
        <f>IF(OR('Base Encuesta'!X377="",IFERROR(VALUE(LEFT('Base Encuesta'!K377,1)),"")&gt;=3),"",VALUE(LEFT('Base Encuesta'!X377,1)))</f>
        <v/>
      </c>
      <c r="R403" t="str">
        <f>IF(OR('Base Encuesta'!Y377="",IFERROR(VALUE(LEFT('Base Encuesta'!K377,1)),"")&gt;=3),"",VALUE(LEFT('Base Encuesta'!Y377,1)))</f>
        <v/>
      </c>
      <c r="S403" t="str">
        <f>IF(OR('Base Encuesta'!Z377="",IFERROR(VALUE(LEFT('Base Encuesta'!K377,1)),"")&gt;=3),"",VALUE(LEFT('Base Encuesta'!Z377,1)))</f>
        <v/>
      </c>
      <c r="T403" t="str">
        <f>IF(OR('Base Encuesta'!AA377="",IFERROR(VALUE(LEFT('Base Encuesta'!K377,1)),"")&gt;=3),"",VALUE(LEFT('Base Encuesta'!AA377,1)))</f>
        <v/>
      </c>
      <c r="U403" t="str">
        <f>IF(OR('Base Encuesta'!AB377="",IFERROR(VALUE(LEFT('Base Encuesta'!K377,1)),"")&gt;=3),"",VALUE(LEFT('Base Encuesta'!AB377,1)))</f>
        <v/>
      </c>
      <c r="V403" t="str">
        <f>IF(OR('Base Encuesta'!AC377="",IFERROR(VALUE(LEFT('Base Encuesta'!K377,1)),"")&gt;=3),"",VALUE(LEFT('Base Encuesta'!AC377,1)))</f>
        <v/>
      </c>
      <c r="W403" t="str">
        <f>IF(OR('Base Encuesta'!AE377="",IFERROR(VALUE(LEFT('Base Encuesta'!K377,1)),"")&gt;=3),"",VALUE(LEFT('Base Encuesta'!AE377,1)))</f>
        <v/>
      </c>
      <c r="X403" t="str">
        <f>IF(OR('Base Encuesta'!AF377="",IFERROR(VALUE(LEFT('Base Encuesta'!K377,1)),"")&gt;=3),"",IF(W403=1,VALUE(LEFT('Base Encuesta'!AF377,1)),""))</f>
        <v/>
      </c>
      <c r="Y403" t="str">
        <f>IF(OR('Base Encuesta'!AG377="",IFERROR(VALUE(LEFT('Base Encuesta'!K377,1)),"")&gt;=3),"",IF(W403=1,VALUE(LEFT('Base Encuesta'!AG377,1)),""))</f>
        <v/>
      </c>
      <c r="Z403" t="str">
        <f>IF(OR('Base Encuesta'!AH377="",IFERROR(VALUE(LEFT('Base Encuesta'!K377,1)),"")&gt;=3),"",IF(W403=1,VALUE(LEFT('Base Encuesta'!AH377,1)),""))</f>
        <v/>
      </c>
      <c r="AA403" t="str">
        <f>IF(OR('Base Encuesta'!AI377="",IFERROR(VALUE(LEFT('Base Encuesta'!K377,1)),"")&gt;=3),"",IF(W403=1,VALUE(LEFT('Base Encuesta'!AI377,1)),""))</f>
        <v/>
      </c>
      <c r="AB403" t="str">
        <f>IF(OR('Base Encuesta'!AJ377="",IFERROR(VALUE(LEFT('Base Encuesta'!K377,1)),"")&gt;=3),"",IF(W403=1,VALUE(LEFT('Base Encuesta'!AJ377,1)),""))</f>
        <v/>
      </c>
      <c r="AC403" t="str">
        <f>IF(OR('Base Encuesta'!AL377="",IFERROR(VALUE(LEFT('Base Encuesta'!K377,1)),"")&gt;=3),"",VALUE(LEFT('Base Encuesta'!AL377,1)))</f>
        <v/>
      </c>
      <c r="AD403" t="str">
        <f>IF(OR('Base Encuesta'!AM377="",IFERROR(VALUE(LEFT('Base Encuesta'!K377,1)),"")&gt;=3),"",VALUE(LEFT('Base Encuesta'!AM377,1)))</f>
        <v/>
      </c>
      <c r="AE403" t="str">
        <f>IF(OR('Base Encuesta'!AN377="",IFERROR(VALUE(LEFT('Base Encuesta'!K377,1)),"")&gt;=3),"",VALUE(LEFT('Base Encuesta'!AN377,1)))</f>
        <v/>
      </c>
      <c r="AF403" t="str">
        <f>IF(OR('Base Encuesta'!AO377="",IFERROR(VALUE(LEFT('Base Encuesta'!K377,1)),"")&gt;=3),"",VALUE(LEFT('Base Encuesta'!AO377,1)))</f>
        <v/>
      </c>
      <c r="AG403" t="str">
        <f>IF(OR('Base Encuesta'!AQ377="",IFERROR(VALUE(LEFT('Base Encuesta'!K377,1)),"")&gt;=3),"",VALUE(LEFT('Base Encuesta'!AQ377,1)))</f>
        <v/>
      </c>
      <c r="AH403" t="str">
        <f>IF(OR('Base Encuesta'!AR377="",IFERROR(VALUE(LEFT('Base Encuesta'!K377,1)),"")&gt;=3),"",VALUE(LEFT('Base Encuesta'!AR377,1)))</f>
        <v/>
      </c>
    </row>
    <row r="404" spans="1:34">
      <c r="A404" t="str">
        <f>IF('Base Encuesta'!C378="","",'Base Encuesta'!C378)</f>
        <v/>
      </c>
      <c r="B404" t="str">
        <f>IF('Base Encuesta'!D378="","",'Base Encuesta'!D378)</f>
        <v/>
      </c>
      <c r="C404" t="str">
        <f>IF('Base Encuesta'!E378="","",'Base Encuesta'!E378)</f>
        <v/>
      </c>
      <c r="D404" t="str">
        <f>IF('Base Encuesta'!F378="","",'Base Encuesta'!F378)</f>
        <v/>
      </c>
      <c r="E404" t="str">
        <f>IF('Base Encuesta'!G378="","",'Base Encuesta'!G378)</f>
        <v/>
      </c>
      <c r="F404" t="str">
        <f>IF('Base Encuesta'!H378="","",'Base Encuesta'!H378)</f>
        <v/>
      </c>
      <c r="G404" t="str">
        <f>IF('Base Encuesta'!I378="","",'Base Encuesta'!I378)</f>
        <v/>
      </c>
      <c r="H404" t="str">
        <f>IF('Base Encuesta'!J378="","",'Base Encuesta'!J378)</f>
        <v/>
      </c>
      <c r="I404" t="str">
        <f>IF('Base Encuesta'!K378="","",'Base Encuesta'!K378)</f>
        <v/>
      </c>
      <c r="J404" t="str">
        <f>IF(OR('Base Encuesta'!P378="",IFERROR(VALUE(LEFT('Base Encuesta'!K378,1)),"")&gt;=3),"",PROPER(TRIM('Base Encuesta'!P378)))</f>
        <v/>
      </c>
      <c r="K404" t="str">
        <f>IF(OR('Base Encuesta'!Q378="",IFERROR(VALUE(LEFT('Base Encuesta'!K378,1)),"")&gt;=3),"",'Base Encuesta'!Q378)</f>
        <v/>
      </c>
      <c r="L404" t="str">
        <f>IF(OR('Base Encuesta'!R378="",IFERROR(VALUE(LEFT('Base Encuesta'!K378,1)),"")&gt;=3),"",VALUE(LEFT('Base Encuesta'!R378,1)))</f>
        <v/>
      </c>
      <c r="M404" t="str">
        <f>IF(OR('Base Encuesta'!S378="",IFERROR(VALUE(LEFT('Base Encuesta'!K378,1)),"")&gt;=3),"",VALUE(LEFT('Base Encuesta'!S378,1)))</f>
        <v/>
      </c>
      <c r="N404" t="str">
        <f>IF(OR('Base Encuesta'!T378="",IFERROR(VALUE(LEFT('Base Encuesta'!K378,1)),"")&gt;=3),"",VALUE(LEFT('Base Encuesta'!T378,1)))</f>
        <v/>
      </c>
      <c r="O404" t="str">
        <f>IF(OR('Base Encuesta'!V378="",IFERROR(VALUE(LEFT('Base Encuesta'!K378,1)),"")&gt;=3),"",VALUE(LEFT('Base Encuesta'!V378,1)))</f>
        <v/>
      </c>
      <c r="P404" t="str">
        <f>IF(OR('Base Encuesta'!W378="",IFERROR(VALUE(LEFT('Base Encuesta'!K378,1)),"")&gt;=3),"",VALUE(LEFT('Base Encuesta'!W378,1)))</f>
        <v/>
      </c>
      <c r="Q404" t="str">
        <f>IF(OR('Base Encuesta'!X378="",IFERROR(VALUE(LEFT('Base Encuesta'!K378,1)),"")&gt;=3),"",VALUE(LEFT('Base Encuesta'!X378,1)))</f>
        <v/>
      </c>
      <c r="R404" t="str">
        <f>IF(OR('Base Encuesta'!Y378="",IFERROR(VALUE(LEFT('Base Encuesta'!K378,1)),"")&gt;=3),"",VALUE(LEFT('Base Encuesta'!Y378,1)))</f>
        <v/>
      </c>
      <c r="S404" t="str">
        <f>IF(OR('Base Encuesta'!Z378="",IFERROR(VALUE(LEFT('Base Encuesta'!K378,1)),"")&gt;=3),"",VALUE(LEFT('Base Encuesta'!Z378,1)))</f>
        <v/>
      </c>
      <c r="T404" t="str">
        <f>IF(OR('Base Encuesta'!AA378="",IFERROR(VALUE(LEFT('Base Encuesta'!K378,1)),"")&gt;=3),"",VALUE(LEFT('Base Encuesta'!AA378,1)))</f>
        <v/>
      </c>
      <c r="U404" t="str">
        <f>IF(OR('Base Encuesta'!AB378="",IFERROR(VALUE(LEFT('Base Encuesta'!K378,1)),"")&gt;=3),"",VALUE(LEFT('Base Encuesta'!AB378,1)))</f>
        <v/>
      </c>
      <c r="V404" t="str">
        <f>IF(OR('Base Encuesta'!AC378="",IFERROR(VALUE(LEFT('Base Encuesta'!K378,1)),"")&gt;=3),"",VALUE(LEFT('Base Encuesta'!AC378,1)))</f>
        <v/>
      </c>
      <c r="W404" t="str">
        <f>IF(OR('Base Encuesta'!AE378="",IFERROR(VALUE(LEFT('Base Encuesta'!K378,1)),"")&gt;=3),"",VALUE(LEFT('Base Encuesta'!AE378,1)))</f>
        <v/>
      </c>
      <c r="X404" t="str">
        <f>IF(OR('Base Encuesta'!AF378="",IFERROR(VALUE(LEFT('Base Encuesta'!K378,1)),"")&gt;=3),"",IF(W404=1,VALUE(LEFT('Base Encuesta'!AF378,1)),""))</f>
        <v/>
      </c>
      <c r="Y404" t="str">
        <f>IF(OR('Base Encuesta'!AG378="",IFERROR(VALUE(LEFT('Base Encuesta'!K378,1)),"")&gt;=3),"",IF(W404=1,VALUE(LEFT('Base Encuesta'!AG378,1)),""))</f>
        <v/>
      </c>
      <c r="Z404" t="str">
        <f>IF(OR('Base Encuesta'!AH378="",IFERROR(VALUE(LEFT('Base Encuesta'!K378,1)),"")&gt;=3),"",IF(W404=1,VALUE(LEFT('Base Encuesta'!AH378,1)),""))</f>
        <v/>
      </c>
      <c r="AA404" t="str">
        <f>IF(OR('Base Encuesta'!AI378="",IFERROR(VALUE(LEFT('Base Encuesta'!K378,1)),"")&gt;=3),"",IF(W404=1,VALUE(LEFT('Base Encuesta'!AI378,1)),""))</f>
        <v/>
      </c>
      <c r="AB404" t="str">
        <f>IF(OR('Base Encuesta'!AJ378="",IFERROR(VALUE(LEFT('Base Encuesta'!K378,1)),"")&gt;=3),"",IF(W404=1,VALUE(LEFT('Base Encuesta'!AJ378,1)),""))</f>
        <v/>
      </c>
      <c r="AC404" t="str">
        <f>IF(OR('Base Encuesta'!AL378="",IFERROR(VALUE(LEFT('Base Encuesta'!K378,1)),"")&gt;=3),"",VALUE(LEFT('Base Encuesta'!AL378,1)))</f>
        <v/>
      </c>
      <c r="AD404" t="str">
        <f>IF(OR('Base Encuesta'!AM378="",IFERROR(VALUE(LEFT('Base Encuesta'!K378,1)),"")&gt;=3),"",VALUE(LEFT('Base Encuesta'!AM378,1)))</f>
        <v/>
      </c>
      <c r="AE404" t="str">
        <f>IF(OR('Base Encuesta'!AN378="",IFERROR(VALUE(LEFT('Base Encuesta'!K378,1)),"")&gt;=3),"",VALUE(LEFT('Base Encuesta'!AN378,1)))</f>
        <v/>
      </c>
      <c r="AF404" t="str">
        <f>IF(OR('Base Encuesta'!AO378="",IFERROR(VALUE(LEFT('Base Encuesta'!K378,1)),"")&gt;=3),"",VALUE(LEFT('Base Encuesta'!AO378,1)))</f>
        <v/>
      </c>
      <c r="AG404" t="str">
        <f>IF(OR('Base Encuesta'!AQ378="",IFERROR(VALUE(LEFT('Base Encuesta'!K378,1)),"")&gt;=3),"",VALUE(LEFT('Base Encuesta'!AQ378,1)))</f>
        <v/>
      </c>
      <c r="AH404" t="str">
        <f>IF(OR('Base Encuesta'!AR378="",IFERROR(VALUE(LEFT('Base Encuesta'!K378,1)),"")&gt;=3),"",VALUE(LEFT('Base Encuesta'!AR378,1)))</f>
        <v/>
      </c>
    </row>
    <row r="405" spans="1:34">
      <c r="A405" t="str">
        <f>IF('Base Encuesta'!C379="","",'Base Encuesta'!C379)</f>
        <v/>
      </c>
      <c r="B405" t="str">
        <f>IF('Base Encuesta'!D379="","",'Base Encuesta'!D379)</f>
        <v/>
      </c>
      <c r="C405" t="str">
        <f>IF('Base Encuesta'!E379="","",'Base Encuesta'!E379)</f>
        <v/>
      </c>
      <c r="D405" t="str">
        <f>IF('Base Encuesta'!F379="","",'Base Encuesta'!F379)</f>
        <v/>
      </c>
      <c r="E405" t="str">
        <f>IF('Base Encuesta'!G379="","",'Base Encuesta'!G379)</f>
        <v/>
      </c>
      <c r="F405" t="str">
        <f>IF('Base Encuesta'!H379="","",'Base Encuesta'!H379)</f>
        <v/>
      </c>
      <c r="G405" t="str">
        <f>IF('Base Encuesta'!I379="","",'Base Encuesta'!I379)</f>
        <v/>
      </c>
      <c r="H405" t="str">
        <f>IF('Base Encuesta'!J379="","",'Base Encuesta'!J379)</f>
        <v/>
      </c>
      <c r="I405" t="str">
        <f>IF('Base Encuesta'!K379="","",'Base Encuesta'!K379)</f>
        <v/>
      </c>
      <c r="J405" t="str">
        <f>IF(OR('Base Encuesta'!P379="",IFERROR(VALUE(LEFT('Base Encuesta'!K379,1)),"")&gt;=3),"",PROPER(TRIM('Base Encuesta'!P379)))</f>
        <v/>
      </c>
      <c r="K405" t="str">
        <f>IF(OR('Base Encuesta'!Q379="",IFERROR(VALUE(LEFT('Base Encuesta'!K379,1)),"")&gt;=3),"",'Base Encuesta'!Q379)</f>
        <v/>
      </c>
      <c r="L405" t="str">
        <f>IF(OR('Base Encuesta'!R379="",IFERROR(VALUE(LEFT('Base Encuesta'!K379,1)),"")&gt;=3),"",VALUE(LEFT('Base Encuesta'!R379,1)))</f>
        <v/>
      </c>
      <c r="M405" t="str">
        <f>IF(OR('Base Encuesta'!S379="",IFERROR(VALUE(LEFT('Base Encuesta'!K379,1)),"")&gt;=3),"",VALUE(LEFT('Base Encuesta'!S379,1)))</f>
        <v/>
      </c>
      <c r="N405" t="str">
        <f>IF(OR('Base Encuesta'!T379="",IFERROR(VALUE(LEFT('Base Encuesta'!K379,1)),"")&gt;=3),"",VALUE(LEFT('Base Encuesta'!T379,1)))</f>
        <v/>
      </c>
      <c r="O405" t="str">
        <f>IF(OR('Base Encuesta'!V379="",IFERROR(VALUE(LEFT('Base Encuesta'!K379,1)),"")&gt;=3),"",VALUE(LEFT('Base Encuesta'!V379,1)))</f>
        <v/>
      </c>
      <c r="P405" t="str">
        <f>IF(OR('Base Encuesta'!W379="",IFERROR(VALUE(LEFT('Base Encuesta'!K379,1)),"")&gt;=3),"",VALUE(LEFT('Base Encuesta'!W379,1)))</f>
        <v/>
      </c>
      <c r="Q405" t="str">
        <f>IF(OR('Base Encuesta'!X379="",IFERROR(VALUE(LEFT('Base Encuesta'!K379,1)),"")&gt;=3),"",VALUE(LEFT('Base Encuesta'!X379,1)))</f>
        <v/>
      </c>
      <c r="R405" t="str">
        <f>IF(OR('Base Encuesta'!Y379="",IFERROR(VALUE(LEFT('Base Encuesta'!K379,1)),"")&gt;=3),"",VALUE(LEFT('Base Encuesta'!Y379,1)))</f>
        <v/>
      </c>
      <c r="S405" t="str">
        <f>IF(OR('Base Encuesta'!Z379="",IFERROR(VALUE(LEFT('Base Encuesta'!K379,1)),"")&gt;=3),"",VALUE(LEFT('Base Encuesta'!Z379,1)))</f>
        <v/>
      </c>
      <c r="T405" t="str">
        <f>IF(OR('Base Encuesta'!AA379="",IFERROR(VALUE(LEFT('Base Encuesta'!K379,1)),"")&gt;=3),"",VALUE(LEFT('Base Encuesta'!AA379,1)))</f>
        <v/>
      </c>
      <c r="U405" t="str">
        <f>IF(OR('Base Encuesta'!AB379="",IFERROR(VALUE(LEFT('Base Encuesta'!K379,1)),"")&gt;=3),"",VALUE(LEFT('Base Encuesta'!AB379,1)))</f>
        <v/>
      </c>
      <c r="V405" t="str">
        <f>IF(OR('Base Encuesta'!AC379="",IFERROR(VALUE(LEFT('Base Encuesta'!K379,1)),"")&gt;=3),"",VALUE(LEFT('Base Encuesta'!AC379,1)))</f>
        <v/>
      </c>
      <c r="W405" t="str">
        <f>IF(OR('Base Encuesta'!AE379="",IFERROR(VALUE(LEFT('Base Encuesta'!K379,1)),"")&gt;=3),"",VALUE(LEFT('Base Encuesta'!AE379,1)))</f>
        <v/>
      </c>
      <c r="X405" t="str">
        <f>IF(OR('Base Encuesta'!AF379="",IFERROR(VALUE(LEFT('Base Encuesta'!K379,1)),"")&gt;=3),"",IF(W405=1,VALUE(LEFT('Base Encuesta'!AF379,1)),""))</f>
        <v/>
      </c>
      <c r="Y405" t="str">
        <f>IF(OR('Base Encuesta'!AG379="",IFERROR(VALUE(LEFT('Base Encuesta'!K379,1)),"")&gt;=3),"",IF(W405=1,VALUE(LEFT('Base Encuesta'!AG379,1)),""))</f>
        <v/>
      </c>
      <c r="Z405" t="str">
        <f>IF(OR('Base Encuesta'!AH379="",IFERROR(VALUE(LEFT('Base Encuesta'!K379,1)),"")&gt;=3),"",IF(W405=1,VALUE(LEFT('Base Encuesta'!AH379,1)),""))</f>
        <v/>
      </c>
      <c r="AA405" t="str">
        <f>IF(OR('Base Encuesta'!AI379="",IFERROR(VALUE(LEFT('Base Encuesta'!K379,1)),"")&gt;=3),"",IF(W405=1,VALUE(LEFT('Base Encuesta'!AI379,1)),""))</f>
        <v/>
      </c>
      <c r="AB405" t="str">
        <f>IF(OR('Base Encuesta'!AJ379="",IFERROR(VALUE(LEFT('Base Encuesta'!K379,1)),"")&gt;=3),"",IF(W405=1,VALUE(LEFT('Base Encuesta'!AJ379,1)),""))</f>
        <v/>
      </c>
      <c r="AC405" t="str">
        <f>IF(OR('Base Encuesta'!AL379="",IFERROR(VALUE(LEFT('Base Encuesta'!K379,1)),"")&gt;=3),"",VALUE(LEFT('Base Encuesta'!AL379,1)))</f>
        <v/>
      </c>
      <c r="AD405" t="str">
        <f>IF(OR('Base Encuesta'!AM379="",IFERROR(VALUE(LEFT('Base Encuesta'!K379,1)),"")&gt;=3),"",VALUE(LEFT('Base Encuesta'!AM379,1)))</f>
        <v/>
      </c>
      <c r="AE405" t="str">
        <f>IF(OR('Base Encuesta'!AN379="",IFERROR(VALUE(LEFT('Base Encuesta'!K379,1)),"")&gt;=3),"",VALUE(LEFT('Base Encuesta'!AN379,1)))</f>
        <v/>
      </c>
      <c r="AF405" t="str">
        <f>IF(OR('Base Encuesta'!AO379="",IFERROR(VALUE(LEFT('Base Encuesta'!K379,1)),"")&gt;=3),"",VALUE(LEFT('Base Encuesta'!AO379,1)))</f>
        <v/>
      </c>
      <c r="AG405" t="str">
        <f>IF(OR('Base Encuesta'!AQ379="",IFERROR(VALUE(LEFT('Base Encuesta'!K379,1)),"")&gt;=3),"",VALUE(LEFT('Base Encuesta'!AQ379,1)))</f>
        <v/>
      </c>
      <c r="AH405" t="str">
        <f>IF(OR('Base Encuesta'!AR379="",IFERROR(VALUE(LEFT('Base Encuesta'!K379,1)),"")&gt;=3),"",VALUE(LEFT('Base Encuesta'!AR379,1)))</f>
        <v/>
      </c>
    </row>
    <row r="406" spans="1:34">
      <c r="A406" t="str">
        <f>IF('Base Encuesta'!C380="","",'Base Encuesta'!C380)</f>
        <v/>
      </c>
      <c r="B406" t="str">
        <f>IF('Base Encuesta'!D380="","",'Base Encuesta'!D380)</f>
        <v/>
      </c>
      <c r="C406" t="str">
        <f>IF('Base Encuesta'!E380="","",'Base Encuesta'!E380)</f>
        <v/>
      </c>
      <c r="D406" t="str">
        <f>IF('Base Encuesta'!F380="","",'Base Encuesta'!F380)</f>
        <v/>
      </c>
      <c r="E406" t="str">
        <f>IF('Base Encuesta'!G380="","",'Base Encuesta'!G380)</f>
        <v/>
      </c>
      <c r="F406" t="str">
        <f>IF('Base Encuesta'!H380="","",'Base Encuesta'!H380)</f>
        <v/>
      </c>
      <c r="G406" t="str">
        <f>IF('Base Encuesta'!I380="","",'Base Encuesta'!I380)</f>
        <v/>
      </c>
      <c r="H406" t="str">
        <f>IF('Base Encuesta'!J380="","",'Base Encuesta'!J380)</f>
        <v/>
      </c>
      <c r="I406" t="str">
        <f>IF('Base Encuesta'!K380="","",'Base Encuesta'!K380)</f>
        <v/>
      </c>
      <c r="J406" t="str">
        <f>IF(OR('Base Encuesta'!P380="",IFERROR(VALUE(LEFT('Base Encuesta'!K380,1)),"")&gt;=3),"",PROPER(TRIM('Base Encuesta'!P380)))</f>
        <v/>
      </c>
      <c r="K406" t="str">
        <f>IF(OR('Base Encuesta'!Q380="",IFERROR(VALUE(LEFT('Base Encuesta'!K380,1)),"")&gt;=3),"",'Base Encuesta'!Q380)</f>
        <v/>
      </c>
      <c r="L406" t="str">
        <f>IF(OR('Base Encuesta'!R380="",IFERROR(VALUE(LEFT('Base Encuesta'!K380,1)),"")&gt;=3),"",VALUE(LEFT('Base Encuesta'!R380,1)))</f>
        <v/>
      </c>
      <c r="M406" t="str">
        <f>IF(OR('Base Encuesta'!S380="",IFERROR(VALUE(LEFT('Base Encuesta'!K380,1)),"")&gt;=3),"",VALUE(LEFT('Base Encuesta'!S380,1)))</f>
        <v/>
      </c>
      <c r="N406" t="str">
        <f>IF(OR('Base Encuesta'!T380="",IFERROR(VALUE(LEFT('Base Encuesta'!K380,1)),"")&gt;=3),"",VALUE(LEFT('Base Encuesta'!T380,1)))</f>
        <v/>
      </c>
      <c r="O406" t="str">
        <f>IF(OR('Base Encuesta'!V380="",IFERROR(VALUE(LEFT('Base Encuesta'!K380,1)),"")&gt;=3),"",VALUE(LEFT('Base Encuesta'!V380,1)))</f>
        <v/>
      </c>
      <c r="P406" t="str">
        <f>IF(OR('Base Encuesta'!W380="",IFERROR(VALUE(LEFT('Base Encuesta'!K380,1)),"")&gt;=3),"",VALUE(LEFT('Base Encuesta'!W380,1)))</f>
        <v/>
      </c>
      <c r="Q406" t="str">
        <f>IF(OR('Base Encuesta'!X380="",IFERROR(VALUE(LEFT('Base Encuesta'!K380,1)),"")&gt;=3),"",VALUE(LEFT('Base Encuesta'!X380,1)))</f>
        <v/>
      </c>
      <c r="R406" t="str">
        <f>IF(OR('Base Encuesta'!Y380="",IFERROR(VALUE(LEFT('Base Encuesta'!K380,1)),"")&gt;=3),"",VALUE(LEFT('Base Encuesta'!Y380,1)))</f>
        <v/>
      </c>
      <c r="S406" t="str">
        <f>IF(OR('Base Encuesta'!Z380="",IFERROR(VALUE(LEFT('Base Encuesta'!K380,1)),"")&gt;=3),"",VALUE(LEFT('Base Encuesta'!Z380,1)))</f>
        <v/>
      </c>
      <c r="T406" t="str">
        <f>IF(OR('Base Encuesta'!AA380="",IFERROR(VALUE(LEFT('Base Encuesta'!K380,1)),"")&gt;=3),"",VALUE(LEFT('Base Encuesta'!AA380,1)))</f>
        <v/>
      </c>
      <c r="U406" t="str">
        <f>IF(OR('Base Encuesta'!AB380="",IFERROR(VALUE(LEFT('Base Encuesta'!K380,1)),"")&gt;=3),"",VALUE(LEFT('Base Encuesta'!AB380,1)))</f>
        <v/>
      </c>
      <c r="V406" t="str">
        <f>IF(OR('Base Encuesta'!AC380="",IFERROR(VALUE(LEFT('Base Encuesta'!K380,1)),"")&gt;=3),"",VALUE(LEFT('Base Encuesta'!AC380,1)))</f>
        <v/>
      </c>
      <c r="W406" t="str">
        <f>IF(OR('Base Encuesta'!AE380="",IFERROR(VALUE(LEFT('Base Encuesta'!K380,1)),"")&gt;=3),"",VALUE(LEFT('Base Encuesta'!AE380,1)))</f>
        <v/>
      </c>
      <c r="X406" t="str">
        <f>IF(OR('Base Encuesta'!AF380="",IFERROR(VALUE(LEFT('Base Encuesta'!K380,1)),"")&gt;=3),"",IF(W406=1,VALUE(LEFT('Base Encuesta'!AF380,1)),""))</f>
        <v/>
      </c>
      <c r="Y406" t="str">
        <f>IF(OR('Base Encuesta'!AG380="",IFERROR(VALUE(LEFT('Base Encuesta'!K380,1)),"")&gt;=3),"",IF(W406=1,VALUE(LEFT('Base Encuesta'!AG380,1)),""))</f>
        <v/>
      </c>
      <c r="Z406" t="str">
        <f>IF(OR('Base Encuesta'!AH380="",IFERROR(VALUE(LEFT('Base Encuesta'!K380,1)),"")&gt;=3),"",IF(W406=1,VALUE(LEFT('Base Encuesta'!AH380,1)),""))</f>
        <v/>
      </c>
      <c r="AA406" t="str">
        <f>IF(OR('Base Encuesta'!AI380="",IFERROR(VALUE(LEFT('Base Encuesta'!K380,1)),"")&gt;=3),"",IF(W406=1,VALUE(LEFT('Base Encuesta'!AI380,1)),""))</f>
        <v/>
      </c>
      <c r="AB406" t="str">
        <f>IF(OR('Base Encuesta'!AJ380="",IFERROR(VALUE(LEFT('Base Encuesta'!K380,1)),"")&gt;=3),"",IF(W406=1,VALUE(LEFT('Base Encuesta'!AJ380,1)),""))</f>
        <v/>
      </c>
      <c r="AC406" t="str">
        <f>IF(OR('Base Encuesta'!AL380="",IFERROR(VALUE(LEFT('Base Encuesta'!K380,1)),"")&gt;=3),"",VALUE(LEFT('Base Encuesta'!AL380,1)))</f>
        <v/>
      </c>
      <c r="AD406" t="str">
        <f>IF(OR('Base Encuesta'!AM380="",IFERROR(VALUE(LEFT('Base Encuesta'!K380,1)),"")&gt;=3),"",VALUE(LEFT('Base Encuesta'!AM380,1)))</f>
        <v/>
      </c>
      <c r="AE406" t="str">
        <f>IF(OR('Base Encuesta'!AN380="",IFERROR(VALUE(LEFT('Base Encuesta'!K380,1)),"")&gt;=3),"",VALUE(LEFT('Base Encuesta'!AN380,1)))</f>
        <v/>
      </c>
      <c r="AF406" t="str">
        <f>IF(OR('Base Encuesta'!AO380="",IFERROR(VALUE(LEFT('Base Encuesta'!K380,1)),"")&gt;=3),"",VALUE(LEFT('Base Encuesta'!AO380,1)))</f>
        <v/>
      </c>
      <c r="AG406" t="str">
        <f>IF(OR('Base Encuesta'!AQ380="",IFERROR(VALUE(LEFT('Base Encuesta'!K380,1)),"")&gt;=3),"",VALUE(LEFT('Base Encuesta'!AQ380,1)))</f>
        <v/>
      </c>
      <c r="AH406" t="str">
        <f>IF(OR('Base Encuesta'!AR380="",IFERROR(VALUE(LEFT('Base Encuesta'!K380,1)),"")&gt;=3),"",VALUE(LEFT('Base Encuesta'!AR380,1)))</f>
        <v/>
      </c>
    </row>
    <row r="407" spans="1:34">
      <c r="A407" t="str">
        <f>IF('Base Encuesta'!C381="","",'Base Encuesta'!C381)</f>
        <v/>
      </c>
      <c r="B407" t="str">
        <f>IF('Base Encuesta'!D381="","",'Base Encuesta'!D381)</f>
        <v/>
      </c>
      <c r="C407" t="str">
        <f>IF('Base Encuesta'!E381="","",'Base Encuesta'!E381)</f>
        <v/>
      </c>
      <c r="D407" t="str">
        <f>IF('Base Encuesta'!F381="","",'Base Encuesta'!F381)</f>
        <v/>
      </c>
      <c r="E407" t="str">
        <f>IF('Base Encuesta'!G381="","",'Base Encuesta'!G381)</f>
        <v/>
      </c>
      <c r="F407" t="str">
        <f>IF('Base Encuesta'!H381="","",'Base Encuesta'!H381)</f>
        <v/>
      </c>
      <c r="G407" t="str">
        <f>IF('Base Encuesta'!I381="","",'Base Encuesta'!I381)</f>
        <v/>
      </c>
      <c r="H407" t="str">
        <f>IF('Base Encuesta'!J381="","",'Base Encuesta'!J381)</f>
        <v/>
      </c>
      <c r="I407" t="str">
        <f>IF('Base Encuesta'!K381="","",'Base Encuesta'!K381)</f>
        <v/>
      </c>
      <c r="J407" t="str">
        <f>IF(OR('Base Encuesta'!P381="",IFERROR(VALUE(LEFT('Base Encuesta'!K381,1)),"")&gt;=3),"",PROPER(TRIM('Base Encuesta'!P381)))</f>
        <v/>
      </c>
      <c r="K407" t="str">
        <f>IF(OR('Base Encuesta'!Q381="",IFERROR(VALUE(LEFT('Base Encuesta'!K381,1)),"")&gt;=3),"",'Base Encuesta'!Q381)</f>
        <v/>
      </c>
      <c r="L407" t="str">
        <f>IF(OR('Base Encuesta'!R381="",IFERROR(VALUE(LEFT('Base Encuesta'!K381,1)),"")&gt;=3),"",VALUE(LEFT('Base Encuesta'!R381,1)))</f>
        <v/>
      </c>
      <c r="M407" t="str">
        <f>IF(OR('Base Encuesta'!S381="",IFERROR(VALUE(LEFT('Base Encuesta'!K381,1)),"")&gt;=3),"",VALUE(LEFT('Base Encuesta'!S381,1)))</f>
        <v/>
      </c>
      <c r="N407" t="str">
        <f>IF(OR('Base Encuesta'!T381="",IFERROR(VALUE(LEFT('Base Encuesta'!K381,1)),"")&gt;=3),"",VALUE(LEFT('Base Encuesta'!T381,1)))</f>
        <v/>
      </c>
      <c r="O407" t="str">
        <f>IF(OR('Base Encuesta'!V381="",IFERROR(VALUE(LEFT('Base Encuesta'!K381,1)),"")&gt;=3),"",VALUE(LEFT('Base Encuesta'!V381,1)))</f>
        <v/>
      </c>
      <c r="P407" t="str">
        <f>IF(OR('Base Encuesta'!W381="",IFERROR(VALUE(LEFT('Base Encuesta'!K381,1)),"")&gt;=3),"",VALUE(LEFT('Base Encuesta'!W381,1)))</f>
        <v/>
      </c>
      <c r="Q407" t="str">
        <f>IF(OR('Base Encuesta'!X381="",IFERROR(VALUE(LEFT('Base Encuesta'!K381,1)),"")&gt;=3),"",VALUE(LEFT('Base Encuesta'!X381,1)))</f>
        <v/>
      </c>
      <c r="R407" t="str">
        <f>IF(OR('Base Encuesta'!Y381="",IFERROR(VALUE(LEFT('Base Encuesta'!K381,1)),"")&gt;=3),"",VALUE(LEFT('Base Encuesta'!Y381,1)))</f>
        <v/>
      </c>
      <c r="S407" t="str">
        <f>IF(OR('Base Encuesta'!Z381="",IFERROR(VALUE(LEFT('Base Encuesta'!K381,1)),"")&gt;=3),"",VALUE(LEFT('Base Encuesta'!Z381,1)))</f>
        <v/>
      </c>
      <c r="T407" t="str">
        <f>IF(OR('Base Encuesta'!AA381="",IFERROR(VALUE(LEFT('Base Encuesta'!K381,1)),"")&gt;=3),"",VALUE(LEFT('Base Encuesta'!AA381,1)))</f>
        <v/>
      </c>
      <c r="U407" t="str">
        <f>IF(OR('Base Encuesta'!AB381="",IFERROR(VALUE(LEFT('Base Encuesta'!K381,1)),"")&gt;=3),"",VALUE(LEFT('Base Encuesta'!AB381,1)))</f>
        <v/>
      </c>
      <c r="V407" t="str">
        <f>IF(OR('Base Encuesta'!AC381="",IFERROR(VALUE(LEFT('Base Encuesta'!K381,1)),"")&gt;=3),"",VALUE(LEFT('Base Encuesta'!AC381,1)))</f>
        <v/>
      </c>
      <c r="W407" t="str">
        <f>IF(OR('Base Encuesta'!AE381="",IFERROR(VALUE(LEFT('Base Encuesta'!K381,1)),"")&gt;=3),"",VALUE(LEFT('Base Encuesta'!AE381,1)))</f>
        <v/>
      </c>
      <c r="X407" t="str">
        <f>IF(OR('Base Encuesta'!AF381="",IFERROR(VALUE(LEFT('Base Encuesta'!K381,1)),"")&gt;=3),"",IF(W407=1,VALUE(LEFT('Base Encuesta'!AF381,1)),""))</f>
        <v/>
      </c>
      <c r="Y407" t="str">
        <f>IF(OR('Base Encuesta'!AG381="",IFERROR(VALUE(LEFT('Base Encuesta'!K381,1)),"")&gt;=3),"",IF(W407=1,VALUE(LEFT('Base Encuesta'!AG381,1)),""))</f>
        <v/>
      </c>
      <c r="Z407" t="str">
        <f>IF(OR('Base Encuesta'!AH381="",IFERROR(VALUE(LEFT('Base Encuesta'!K381,1)),"")&gt;=3),"",IF(W407=1,VALUE(LEFT('Base Encuesta'!AH381,1)),""))</f>
        <v/>
      </c>
      <c r="AA407" t="str">
        <f>IF(OR('Base Encuesta'!AI381="",IFERROR(VALUE(LEFT('Base Encuesta'!K381,1)),"")&gt;=3),"",IF(W407=1,VALUE(LEFT('Base Encuesta'!AI381,1)),""))</f>
        <v/>
      </c>
      <c r="AB407" t="str">
        <f>IF(OR('Base Encuesta'!AJ381="",IFERROR(VALUE(LEFT('Base Encuesta'!K381,1)),"")&gt;=3),"",IF(W407=1,VALUE(LEFT('Base Encuesta'!AJ381,1)),""))</f>
        <v/>
      </c>
      <c r="AC407" t="str">
        <f>IF(OR('Base Encuesta'!AL381="",IFERROR(VALUE(LEFT('Base Encuesta'!K381,1)),"")&gt;=3),"",VALUE(LEFT('Base Encuesta'!AL381,1)))</f>
        <v/>
      </c>
      <c r="AD407" t="str">
        <f>IF(OR('Base Encuesta'!AM381="",IFERROR(VALUE(LEFT('Base Encuesta'!K381,1)),"")&gt;=3),"",VALUE(LEFT('Base Encuesta'!AM381,1)))</f>
        <v/>
      </c>
      <c r="AE407" t="str">
        <f>IF(OR('Base Encuesta'!AN381="",IFERROR(VALUE(LEFT('Base Encuesta'!K381,1)),"")&gt;=3),"",VALUE(LEFT('Base Encuesta'!AN381,1)))</f>
        <v/>
      </c>
      <c r="AF407" t="str">
        <f>IF(OR('Base Encuesta'!AO381="",IFERROR(VALUE(LEFT('Base Encuesta'!K381,1)),"")&gt;=3),"",VALUE(LEFT('Base Encuesta'!AO381,1)))</f>
        <v/>
      </c>
      <c r="AG407" t="str">
        <f>IF(OR('Base Encuesta'!AQ381="",IFERROR(VALUE(LEFT('Base Encuesta'!K381,1)),"")&gt;=3),"",VALUE(LEFT('Base Encuesta'!AQ381,1)))</f>
        <v/>
      </c>
      <c r="AH407" t="str">
        <f>IF(OR('Base Encuesta'!AR381="",IFERROR(VALUE(LEFT('Base Encuesta'!K381,1)),"")&gt;=3),"",VALUE(LEFT('Base Encuesta'!AR381,1)))</f>
        <v/>
      </c>
    </row>
    <row r="408" spans="1:34">
      <c r="A408" t="str">
        <f>IF('Base Encuesta'!C382="","",'Base Encuesta'!C382)</f>
        <v/>
      </c>
      <c r="B408" t="str">
        <f>IF('Base Encuesta'!D382="","",'Base Encuesta'!D382)</f>
        <v/>
      </c>
      <c r="C408" t="str">
        <f>IF('Base Encuesta'!E382="","",'Base Encuesta'!E382)</f>
        <v/>
      </c>
      <c r="D408" t="str">
        <f>IF('Base Encuesta'!F382="","",'Base Encuesta'!F382)</f>
        <v/>
      </c>
      <c r="E408" t="str">
        <f>IF('Base Encuesta'!G382="","",'Base Encuesta'!G382)</f>
        <v/>
      </c>
      <c r="F408" t="str">
        <f>IF('Base Encuesta'!H382="","",'Base Encuesta'!H382)</f>
        <v/>
      </c>
      <c r="G408" t="str">
        <f>IF('Base Encuesta'!I382="","",'Base Encuesta'!I382)</f>
        <v/>
      </c>
      <c r="H408" t="str">
        <f>IF('Base Encuesta'!J382="","",'Base Encuesta'!J382)</f>
        <v/>
      </c>
      <c r="I408" t="str">
        <f>IF('Base Encuesta'!K382="","",'Base Encuesta'!K382)</f>
        <v/>
      </c>
      <c r="J408" t="str">
        <f>IF(OR('Base Encuesta'!P382="",IFERROR(VALUE(LEFT('Base Encuesta'!K382,1)),"")&gt;=3),"",PROPER(TRIM('Base Encuesta'!P382)))</f>
        <v/>
      </c>
      <c r="K408" t="str">
        <f>IF(OR('Base Encuesta'!Q382="",IFERROR(VALUE(LEFT('Base Encuesta'!K382,1)),"")&gt;=3),"",'Base Encuesta'!Q382)</f>
        <v/>
      </c>
      <c r="L408" t="str">
        <f>IF(OR('Base Encuesta'!R382="",IFERROR(VALUE(LEFT('Base Encuesta'!K382,1)),"")&gt;=3),"",VALUE(LEFT('Base Encuesta'!R382,1)))</f>
        <v/>
      </c>
      <c r="M408" t="str">
        <f>IF(OR('Base Encuesta'!S382="",IFERROR(VALUE(LEFT('Base Encuesta'!K382,1)),"")&gt;=3),"",VALUE(LEFT('Base Encuesta'!S382,1)))</f>
        <v/>
      </c>
      <c r="N408" t="str">
        <f>IF(OR('Base Encuesta'!T382="",IFERROR(VALUE(LEFT('Base Encuesta'!K382,1)),"")&gt;=3),"",VALUE(LEFT('Base Encuesta'!T382,1)))</f>
        <v/>
      </c>
      <c r="O408" t="str">
        <f>IF(OR('Base Encuesta'!V382="",IFERROR(VALUE(LEFT('Base Encuesta'!K382,1)),"")&gt;=3),"",VALUE(LEFT('Base Encuesta'!V382,1)))</f>
        <v/>
      </c>
      <c r="P408" t="str">
        <f>IF(OR('Base Encuesta'!W382="",IFERROR(VALUE(LEFT('Base Encuesta'!K382,1)),"")&gt;=3),"",VALUE(LEFT('Base Encuesta'!W382,1)))</f>
        <v/>
      </c>
      <c r="Q408" t="str">
        <f>IF(OR('Base Encuesta'!X382="",IFERROR(VALUE(LEFT('Base Encuesta'!K382,1)),"")&gt;=3),"",VALUE(LEFT('Base Encuesta'!X382,1)))</f>
        <v/>
      </c>
      <c r="R408" t="str">
        <f>IF(OR('Base Encuesta'!Y382="",IFERROR(VALUE(LEFT('Base Encuesta'!K382,1)),"")&gt;=3),"",VALUE(LEFT('Base Encuesta'!Y382,1)))</f>
        <v/>
      </c>
      <c r="S408" t="str">
        <f>IF(OR('Base Encuesta'!Z382="",IFERROR(VALUE(LEFT('Base Encuesta'!K382,1)),"")&gt;=3),"",VALUE(LEFT('Base Encuesta'!Z382,1)))</f>
        <v/>
      </c>
      <c r="T408" t="str">
        <f>IF(OR('Base Encuesta'!AA382="",IFERROR(VALUE(LEFT('Base Encuesta'!K382,1)),"")&gt;=3),"",VALUE(LEFT('Base Encuesta'!AA382,1)))</f>
        <v/>
      </c>
      <c r="U408" t="str">
        <f>IF(OR('Base Encuesta'!AB382="",IFERROR(VALUE(LEFT('Base Encuesta'!K382,1)),"")&gt;=3),"",VALUE(LEFT('Base Encuesta'!AB382,1)))</f>
        <v/>
      </c>
      <c r="V408" t="str">
        <f>IF(OR('Base Encuesta'!AC382="",IFERROR(VALUE(LEFT('Base Encuesta'!K382,1)),"")&gt;=3),"",VALUE(LEFT('Base Encuesta'!AC382,1)))</f>
        <v/>
      </c>
      <c r="W408" t="str">
        <f>IF(OR('Base Encuesta'!AE382="",IFERROR(VALUE(LEFT('Base Encuesta'!K382,1)),"")&gt;=3),"",VALUE(LEFT('Base Encuesta'!AE382,1)))</f>
        <v/>
      </c>
      <c r="X408" t="str">
        <f>IF(OR('Base Encuesta'!AF382="",IFERROR(VALUE(LEFT('Base Encuesta'!K382,1)),"")&gt;=3),"",IF(W408=1,VALUE(LEFT('Base Encuesta'!AF382,1)),""))</f>
        <v/>
      </c>
      <c r="Y408" t="str">
        <f>IF(OR('Base Encuesta'!AG382="",IFERROR(VALUE(LEFT('Base Encuesta'!K382,1)),"")&gt;=3),"",IF(W408=1,VALUE(LEFT('Base Encuesta'!AG382,1)),""))</f>
        <v/>
      </c>
      <c r="Z408" t="str">
        <f>IF(OR('Base Encuesta'!AH382="",IFERROR(VALUE(LEFT('Base Encuesta'!K382,1)),"")&gt;=3),"",IF(W408=1,VALUE(LEFT('Base Encuesta'!AH382,1)),""))</f>
        <v/>
      </c>
      <c r="AA408" t="str">
        <f>IF(OR('Base Encuesta'!AI382="",IFERROR(VALUE(LEFT('Base Encuesta'!K382,1)),"")&gt;=3),"",IF(W408=1,VALUE(LEFT('Base Encuesta'!AI382,1)),""))</f>
        <v/>
      </c>
      <c r="AB408" t="str">
        <f>IF(OR('Base Encuesta'!AJ382="",IFERROR(VALUE(LEFT('Base Encuesta'!K382,1)),"")&gt;=3),"",IF(W408=1,VALUE(LEFT('Base Encuesta'!AJ382,1)),""))</f>
        <v/>
      </c>
      <c r="AC408" t="str">
        <f>IF(OR('Base Encuesta'!AL382="",IFERROR(VALUE(LEFT('Base Encuesta'!K382,1)),"")&gt;=3),"",VALUE(LEFT('Base Encuesta'!AL382,1)))</f>
        <v/>
      </c>
      <c r="AD408" t="str">
        <f>IF(OR('Base Encuesta'!AM382="",IFERROR(VALUE(LEFT('Base Encuesta'!K382,1)),"")&gt;=3),"",VALUE(LEFT('Base Encuesta'!AM382,1)))</f>
        <v/>
      </c>
      <c r="AE408" t="str">
        <f>IF(OR('Base Encuesta'!AN382="",IFERROR(VALUE(LEFT('Base Encuesta'!K382,1)),"")&gt;=3),"",VALUE(LEFT('Base Encuesta'!AN382,1)))</f>
        <v/>
      </c>
      <c r="AF408" t="str">
        <f>IF(OR('Base Encuesta'!AO382="",IFERROR(VALUE(LEFT('Base Encuesta'!K382,1)),"")&gt;=3),"",VALUE(LEFT('Base Encuesta'!AO382,1)))</f>
        <v/>
      </c>
      <c r="AG408" t="str">
        <f>IF(OR('Base Encuesta'!AQ382="",IFERROR(VALUE(LEFT('Base Encuesta'!K382,1)),"")&gt;=3),"",VALUE(LEFT('Base Encuesta'!AQ382,1)))</f>
        <v/>
      </c>
      <c r="AH408" t="str">
        <f>IF(OR('Base Encuesta'!AR382="",IFERROR(VALUE(LEFT('Base Encuesta'!K382,1)),"")&gt;=3),"",VALUE(LEFT('Base Encuesta'!AR382,1)))</f>
        <v/>
      </c>
    </row>
    <row r="409" spans="1:34">
      <c r="A409" t="str">
        <f>IF('Base Encuesta'!C383="","",'Base Encuesta'!C383)</f>
        <v/>
      </c>
      <c r="B409" t="str">
        <f>IF('Base Encuesta'!D383="","",'Base Encuesta'!D383)</f>
        <v/>
      </c>
      <c r="C409" t="str">
        <f>IF('Base Encuesta'!E383="","",'Base Encuesta'!E383)</f>
        <v/>
      </c>
      <c r="D409" t="str">
        <f>IF('Base Encuesta'!F383="","",'Base Encuesta'!F383)</f>
        <v/>
      </c>
      <c r="E409" t="str">
        <f>IF('Base Encuesta'!G383="","",'Base Encuesta'!G383)</f>
        <v/>
      </c>
      <c r="F409" t="str">
        <f>IF('Base Encuesta'!H383="","",'Base Encuesta'!H383)</f>
        <v/>
      </c>
      <c r="G409" t="str">
        <f>IF('Base Encuesta'!I383="","",'Base Encuesta'!I383)</f>
        <v/>
      </c>
      <c r="H409" t="str">
        <f>IF('Base Encuesta'!J383="","",'Base Encuesta'!J383)</f>
        <v/>
      </c>
      <c r="I409" t="str">
        <f>IF('Base Encuesta'!K383="","",'Base Encuesta'!K383)</f>
        <v/>
      </c>
      <c r="J409" t="str">
        <f>IF(OR('Base Encuesta'!P383="",IFERROR(VALUE(LEFT('Base Encuesta'!K383,1)),"")&gt;=3),"",PROPER(TRIM('Base Encuesta'!P383)))</f>
        <v/>
      </c>
      <c r="K409" t="str">
        <f>IF(OR('Base Encuesta'!Q383="",IFERROR(VALUE(LEFT('Base Encuesta'!K383,1)),"")&gt;=3),"",'Base Encuesta'!Q383)</f>
        <v/>
      </c>
      <c r="L409" t="str">
        <f>IF(OR('Base Encuesta'!R383="",IFERROR(VALUE(LEFT('Base Encuesta'!K383,1)),"")&gt;=3),"",VALUE(LEFT('Base Encuesta'!R383,1)))</f>
        <v/>
      </c>
      <c r="M409" t="str">
        <f>IF(OR('Base Encuesta'!S383="",IFERROR(VALUE(LEFT('Base Encuesta'!K383,1)),"")&gt;=3),"",VALUE(LEFT('Base Encuesta'!S383,1)))</f>
        <v/>
      </c>
      <c r="N409" t="str">
        <f>IF(OR('Base Encuesta'!T383="",IFERROR(VALUE(LEFT('Base Encuesta'!K383,1)),"")&gt;=3),"",VALUE(LEFT('Base Encuesta'!T383,1)))</f>
        <v/>
      </c>
      <c r="O409" t="str">
        <f>IF(OR('Base Encuesta'!V383="",IFERROR(VALUE(LEFT('Base Encuesta'!K383,1)),"")&gt;=3),"",VALUE(LEFT('Base Encuesta'!V383,1)))</f>
        <v/>
      </c>
      <c r="P409" t="str">
        <f>IF(OR('Base Encuesta'!W383="",IFERROR(VALUE(LEFT('Base Encuesta'!K383,1)),"")&gt;=3),"",VALUE(LEFT('Base Encuesta'!W383,1)))</f>
        <v/>
      </c>
      <c r="Q409" t="str">
        <f>IF(OR('Base Encuesta'!X383="",IFERROR(VALUE(LEFT('Base Encuesta'!K383,1)),"")&gt;=3),"",VALUE(LEFT('Base Encuesta'!X383,1)))</f>
        <v/>
      </c>
      <c r="R409" t="str">
        <f>IF(OR('Base Encuesta'!Y383="",IFERROR(VALUE(LEFT('Base Encuesta'!K383,1)),"")&gt;=3),"",VALUE(LEFT('Base Encuesta'!Y383,1)))</f>
        <v/>
      </c>
      <c r="S409" t="str">
        <f>IF(OR('Base Encuesta'!Z383="",IFERROR(VALUE(LEFT('Base Encuesta'!K383,1)),"")&gt;=3),"",VALUE(LEFT('Base Encuesta'!Z383,1)))</f>
        <v/>
      </c>
      <c r="T409" t="str">
        <f>IF(OR('Base Encuesta'!AA383="",IFERROR(VALUE(LEFT('Base Encuesta'!K383,1)),"")&gt;=3),"",VALUE(LEFT('Base Encuesta'!AA383,1)))</f>
        <v/>
      </c>
      <c r="U409" t="str">
        <f>IF(OR('Base Encuesta'!AB383="",IFERROR(VALUE(LEFT('Base Encuesta'!K383,1)),"")&gt;=3),"",VALUE(LEFT('Base Encuesta'!AB383,1)))</f>
        <v/>
      </c>
      <c r="V409" t="str">
        <f>IF(OR('Base Encuesta'!AC383="",IFERROR(VALUE(LEFT('Base Encuesta'!K383,1)),"")&gt;=3),"",VALUE(LEFT('Base Encuesta'!AC383,1)))</f>
        <v/>
      </c>
      <c r="W409" t="str">
        <f>IF(OR('Base Encuesta'!AE383="",IFERROR(VALUE(LEFT('Base Encuesta'!K383,1)),"")&gt;=3),"",VALUE(LEFT('Base Encuesta'!AE383,1)))</f>
        <v/>
      </c>
      <c r="X409" t="str">
        <f>IF(OR('Base Encuesta'!AF383="",IFERROR(VALUE(LEFT('Base Encuesta'!K383,1)),"")&gt;=3),"",IF(W409=1,VALUE(LEFT('Base Encuesta'!AF383,1)),""))</f>
        <v/>
      </c>
      <c r="Y409" t="str">
        <f>IF(OR('Base Encuesta'!AG383="",IFERROR(VALUE(LEFT('Base Encuesta'!K383,1)),"")&gt;=3),"",IF(W409=1,VALUE(LEFT('Base Encuesta'!AG383,1)),""))</f>
        <v/>
      </c>
      <c r="Z409" t="str">
        <f>IF(OR('Base Encuesta'!AH383="",IFERROR(VALUE(LEFT('Base Encuesta'!K383,1)),"")&gt;=3),"",IF(W409=1,VALUE(LEFT('Base Encuesta'!AH383,1)),""))</f>
        <v/>
      </c>
      <c r="AA409" t="str">
        <f>IF(OR('Base Encuesta'!AI383="",IFERROR(VALUE(LEFT('Base Encuesta'!K383,1)),"")&gt;=3),"",IF(W409=1,VALUE(LEFT('Base Encuesta'!AI383,1)),""))</f>
        <v/>
      </c>
      <c r="AB409" t="str">
        <f>IF(OR('Base Encuesta'!AJ383="",IFERROR(VALUE(LEFT('Base Encuesta'!K383,1)),"")&gt;=3),"",IF(W409=1,VALUE(LEFT('Base Encuesta'!AJ383,1)),""))</f>
        <v/>
      </c>
      <c r="AC409" t="str">
        <f>IF(OR('Base Encuesta'!AL383="",IFERROR(VALUE(LEFT('Base Encuesta'!K383,1)),"")&gt;=3),"",VALUE(LEFT('Base Encuesta'!AL383,1)))</f>
        <v/>
      </c>
      <c r="AD409" t="str">
        <f>IF(OR('Base Encuesta'!AM383="",IFERROR(VALUE(LEFT('Base Encuesta'!K383,1)),"")&gt;=3),"",VALUE(LEFT('Base Encuesta'!AM383,1)))</f>
        <v/>
      </c>
      <c r="AE409" t="str">
        <f>IF(OR('Base Encuesta'!AN383="",IFERROR(VALUE(LEFT('Base Encuesta'!K383,1)),"")&gt;=3),"",VALUE(LEFT('Base Encuesta'!AN383,1)))</f>
        <v/>
      </c>
      <c r="AF409" t="str">
        <f>IF(OR('Base Encuesta'!AO383="",IFERROR(VALUE(LEFT('Base Encuesta'!K383,1)),"")&gt;=3),"",VALUE(LEFT('Base Encuesta'!AO383,1)))</f>
        <v/>
      </c>
      <c r="AG409" t="str">
        <f>IF(OR('Base Encuesta'!AQ383="",IFERROR(VALUE(LEFT('Base Encuesta'!K383,1)),"")&gt;=3),"",VALUE(LEFT('Base Encuesta'!AQ383,1)))</f>
        <v/>
      </c>
      <c r="AH409" t="str">
        <f>IF(OR('Base Encuesta'!AR383="",IFERROR(VALUE(LEFT('Base Encuesta'!K383,1)),"")&gt;=3),"",VALUE(LEFT('Base Encuesta'!AR383,1)))</f>
        <v/>
      </c>
    </row>
    <row r="410" spans="1:34">
      <c r="A410" t="str">
        <f>IF('Base Encuesta'!C384="","",'Base Encuesta'!C384)</f>
        <v/>
      </c>
      <c r="B410" t="str">
        <f>IF('Base Encuesta'!D384="","",'Base Encuesta'!D384)</f>
        <v/>
      </c>
      <c r="C410" t="str">
        <f>IF('Base Encuesta'!E384="","",'Base Encuesta'!E384)</f>
        <v/>
      </c>
      <c r="D410" t="str">
        <f>IF('Base Encuesta'!F384="","",'Base Encuesta'!F384)</f>
        <v/>
      </c>
      <c r="E410" t="str">
        <f>IF('Base Encuesta'!G384="","",'Base Encuesta'!G384)</f>
        <v/>
      </c>
      <c r="F410" t="str">
        <f>IF('Base Encuesta'!H384="","",'Base Encuesta'!H384)</f>
        <v/>
      </c>
      <c r="G410" t="str">
        <f>IF('Base Encuesta'!I384="","",'Base Encuesta'!I384)</f>
        <v/>
      </c>
      <c r="H410" t="str">
        <f>IF('Base Encuesta'!J384="","",'Base Encuesta'!J384)</f>
        <v/>
      </c>
      <c r="I410" t="str">
        <f>IF('Base Encuesta'!K384="","",'Base Encuesta'!K384)</f>
        <v/>
      </c>
      <c r="J410" t="str">
        <f>IF(OR('Base Encuesta'!P384="",IFERROR(VALUE(LEFT('Base Encuesta'!K384,1)),"")&gt;=3),"",PROPER(TRIM('Base Encuesta'!P384)))</f>
        <v/>
      </c>
      <c r="K410" t="str">
        <f>IF(OR('Base Encuesta'!Q384="",IFERROR(VALUE(LEFT('Base Encuesta'!K384,1)),"")&gt;=3),"",'Base Encuesta'!Q384)</f>
        <v/>
      </c>
      <c r="L410" t="str">
        <f>IF(OR('Base Encuesta'!R384="",IFERROR(VALUE(LEFT('Base Encuesta'!K384,1)),"")&gt;=3),"",VALUE(LEFT('Base Encuesta'!R384,1)))</f>
        <v/>
      </c>
      <c r="M410" t="str">
        <f>IF(OR('Base Encuesta'!S384="",IFERROR(VALUE(LEFT('Base Encuesta'!K384,1)),"")&gt;=3),"",VALUE(LEFT('Base Encuesta'!S384,1)))</f>
        <v/>
      </c>
      <c r="N410" t="str">
        <f>IF(OR('Base Encuesta'!T384="",IFERROR(VALUE(LEFT('Base Encuesta'!K384,1)),"")&gt;=3),"",VALUE(LEFT('Base Encuesta'!T384,1)))</f>
        <v/>
      </c>
      <c r="O410" t="str">
        <f>IF(OR('Base Encuesta'!V384="",IFERROR(VALUE(LEFT('Base Encuesta'!K384,1)),"")&gt;=3),"",VALUE(LEFT('Base Encuesta'!V384,1)))</f>
        <v/>
      </c>
      <c r="P410" t="str">
        <f>IF(OR('Base Encuesta'!W384="",IFERROR(VALUE(LEFT('Base Encuesta'!K384,1)),"")&gt;=3),"",VALUE(LEFT('Base Encuesta'!W384,1)))</f>
        <v/>
      </c>
      <c r="Q410" t="str">
        <f>IF(OR('Base Encuesta'!X384="",IFERROR(VALUE(LEFT('Base Encuesta'!K384,1)),"")&gt;=3),"",VALUE(LEFT('Base Encuesta'!X384,1)))</f>
        <v/>
      </c>
      <c r="R410" t="str">
        <f>IF(OR('Base Encuesta'!Y384="",IFERROR(VALUE(LEFT('Base Encuesta'!K384,1)),"")&gt;=3),"",VALUE(LEFT('Base Encuesta'!Y384,1)))</f>
        <v/>
      </c>
      <c r="S410" t="str">
        <f>IF(OR('Base Encuesta'!Z384="",IFERROR(VALUE(LEFT('Base Encuesta'!K384,1)),"")&gt;=3),"",VALUE(LEFT('Base Encuesta'!Z384,1)))</f>
        <v/>
      </c>
      <c r="T410" t="str">
        <f>IF(OR('Base Encuesta'!AA384="",IFERROR(VALUE(LEFT('Base Encuesta'!K384,1)),"")&gt;=3),"",VALUE(LEFT('Base Encuesta'!AA384,1)))</f>
        <v/>
      </c>
      <c r="U410" t="str">
        <f>IF(OR('Base Encuesta'!AB384="",IFERROR(VALUE(LEFT('Base Encuesta'!K384,1)),"")&gt;=3),"",VALUE(LEFT('Base Encuesta'!AB384,1)))</f>
        <v/>
      </c>
      <c r="V410" t="str">
        <f>IF(OR('Base Encuesta'!AC384="",IFERROR(VALUE(LEFT('Base Encuesta'!K384,1)),"")&gt;=3),"",VALUE(LEFT('Base Encuesta'!AC384,1)))</f>
        <v/>
      </c>
      <c r="W410" t="str">
        <f>IF(OR('Base Encuesta'!AE384="",IFERROR(VALUE(LEFT('Base Encuesta'!K384,1)),"")&gt;=3),"",VALUE(LEFT('Base Encuesta'!AE384,1)))</f>
        <v/>
      </c>
      <c r="X410" t="str">
        <f>IF(OR('Base Encuesta'!AF384="",IFERROR(VALUE(LEFT('Base Encuesta'!K384,1)),"")&gt;=3),"",IF(W410=1,VALUE(LEFT('Base Encuesta'!AF384,1)),""))</f>
        <v/>
      </c>
      <c r="Y410" t="str">
        <f>IF(OR('Base Encuesta'!AG384="",IFERROR(VALUE(LEFT('Base Encuesta'!K384,1)),"")&gt;=3),"",IF(W410=1,VALUE(LEFT('Base Encuesta'!AG384,1)),""))</f>
        <v/>
      </c>
      <c r="Z410" t="str">
        <f>IF(OR('Base Encuesta'!AH384="",IFERROR(VALUE(LEFT('Base Encuesta'!K384,1)),"")&gt;=3),"",IF(W410=1,VALUE(LEFT('Base Encuesta'!AH384,1)),""))</f>
        <v/>
      </c>
      <c r="AA410" t="str">
        <f>IF(OR('Base Encuesta'!AI384="",IFERROR(VALUE(LEFT('Base Encuesta'!K384,1)),"")&gt;=3),"",IF(W410=1,VALUE(LEFT('Base Encuesta'!AI384,1)),""))</f>
        <v/>
      </c>
      <c r="AB410" t="str">
        <f>IF(OR('Base Encuesta'!AJ384="",IFERROR(VALUE(LEFT('Base Encuesta'!K384,1)),"")&gt;=3),"",IF(W410=1,VALUE(LEFT('Base Encuesta'!AJ384,1)),""))</f>
        <v/>
      </c>
      <c r="AC410" t="str">
        <f>IF(OR('Base Encuesta'!AL384="",IFERROR(VALUE(LEFT('Base Encuesta'!K384,1)),"")&gt;=3),"",VALUE(LEFT('Base Encuesta'!AL384,1)))</f>
        <v/>
      </c>
      <c r="AD410" t="str">
        <f>IF(OR('Base Encuesta'!AM384="",IFERROR(VALUE(LEFT('Base Encuesta'!K384,1)),"")&gt;=3),"",VALUE(LEFT('Base Encuesta'!AM384,1)))</f>
        <v/>
      </c>
      <c r="AE410" t="str">
        <f>IF(OR('Base Encuesta'!AN384="",IFERROR(VALUE(LEFT('Base Encuesta'!K384,1)),"")&gt;=3),"",VALUE(LEFT('Base Encuesta'!AN384,1)))</f>
        <v/>
      </c>
      <c r="AF410" t="str">
        <f>IF(OR('Base Encuesta'!AO384="",IFERROR(VALUE(LEFT('Base Encuesta'!K384,1)),"")&gt;=3),"",VALUE(LEFT('Base Encuesta'!AO384,1)))</f>
        <v/>
      </c>
      <c r="AG410" t="str">
        <f>IF(OR('Base Encuesta'!AQ384="",IFERROR(VALUE(LEFT('Base Encuesta'!K384,1)),"")&gt;=3),"",VALUE(LEFT('Base Encuesta'!AQ384,1)))</f>
        <v/>
      </c>
      <c r="AH410" t="str">
        <f>IF(OR('Base Encuesta'!AR384="",IFERROR(VALUE(LEFT('Base Encuesta'!K384,1)),"")&gt;=3),"",VALUE(LEFT('Base Encuesta'!AR384,1)))</f>
        <v/>
      </c>
    </row>
    <row r="411" spans="1:34">
      <c r="A411" t="str">
        <f>IF('Base Encuesta'!C385="","",'Base Encuesta'!C385)</f>
        <v/>
      </c>
      <c r="B411" t="str">
        <f>IF('Base Encuesta'!D385="","",'Base Encuesta'!D385)</f>
        <v/>
      </c>
      <c r="C411" t="str">
        <f>IF('Base Encuesta'!E385="","",'Base Encuesta'!E385)</f>
        <v/>
      </c>
      <c r="D411" t="str">
        <f>IF('Base Encuesta'!F385="","",'Base Encuesta'!F385)</f>
        <v/>
      </c>
      <c r="E411" t="str">
        <f>IF('Base Encuesta'!G385="","",'Base Encuesta'!G385)</f>
        <v/>
      </c>
      <c r="F411" t="str">
        <f>IF('Base Encuesta'!H385="","",'Base Encuesta'!H385)</f>
        <v/>
      </c>
      <c r="G411" t="str">
        <f>IF('Base Encuesta'!I385="","",'Base Encuesta'!I385)</f>
        <v/>
      </c>
      <c r="H411" t="str">
        <f>IF('Base Encuesta'!J385="","",'Base Encuesta'!J385)</f>
        <v/>
      </c>
      <c r="I411" t="str">
        <f>IF('Base Encuesta'!K385="","",'Base Encuesta'!K385)</f>
        <v/>
      </c>
      <c r="J411" t="str">
        <f>IF(OR('Base Encuesta'!P385="",IFERROR(VALUE(LEFT('Base Encuesta'!K385,1)),"")&gt;=3),"",PROPER(TRIM('Base Encuesta'!P385)))</f>
        <v/>
      </c>
      <c r="K411" t="str">
        <f>IF(OR('Base Encuesta'!Q385="",IFERROR(VALUE(LEFT('Base Encuesta'!K385,1)),"")&gt;=3),"",'Base Encuesta'!Q385)</f>
        <v/>
      </c>
      <c r="L411" t="str">
        <f>IF(OR('Base Encuesta'!R385="",IFERROR(VALUE(LEFT('Base Encuesta'!K385,1)),"")&gt;=3),"",VALUE(LEFT('Base Encuesta'!R385,1)))</f>
        <v/>
      </c>
      <c r="M411" t="str">
        <f>IF(OR('Base Encuesta'!S385="",IFERROR(VALUE(LEFT('Base Encuesta'!K385,1)),"")&gt;=3),"",VALUE(LEFT('Base Encuesta'!S385,1)))</f>
        <v/>
      </c>
      <c r="N411" t="str">
        <f>IF(OR('Base Encuesta'!T385="",IFERROR(VALUE(LEFT('Base Encuesta'!K385,1)),"")&gt;=3),"",VALUE(LEFT('Base Encuesta'!T385,1)))</f>
        <v/>
      </c>
      <c r="O411" t="str">
        <f>IF(OR('Base Encuesta'!V385="",IFERROR(VALUE(LEFT('Base Encuesta'!K385,1)),"")&gt;=3),"",VALUE(LEFT('Base Encuesta'!V385,1)))</f>
        <v/>
      </c>
      <c r="P411" t="str">
        <f>IF(OR('Base Encuesta'!W385="",IFERROR(VALUE(LEFT('Base Encuesta'!K385,1)),"")&gt;=3),"",VALUE(LEFT('Base Encuesta'!W385,1)))</f>
        <v/>
      </c>
      <c r="Q411" t="str">
        <f>IF(OR('Base Encuesta'!X385="",IFERROR(VALUE(LEFT('Base Encuesta'!K385,1)),"")&gt;=3),"",VALUE(LEFT('Base Encuesta'!X385,1)))</f>
        <v/>
      </c>
      <c r="R411" t="str">
        <f>IF(OR('Base Encuesta'!Y385="",IFERROR(VALUE(LEFT('Base Encuesta'!K385,1)),"")&gt;=3),"",VALUE(LEFT('Base Encuesta'!Y385,1)))</f>
        <v/>
      </c>
      <c r="S411" t="str">
        <f>IF(OR('Base Encuesta'!Z385="",IFERROR(VALUE(LEFT('Base Encuesta'!K385,1)),"")&gt;=3),"",VALUE(LEFT('Base Encuesta'!Z385,1)))</f>
        <v/>
      </c>
      <c r="T411" t="str">
        <f>IF(OR('Base Encuesta'!AA385="",IFERROR(VALUE(LEFT('Base Encuesta'!K385,1)),"")&gt;=3),"",VALUE(LEFT('Base Encuesta'!AA385,1)))</f>
        <v/>
      </c>
      <c r="U411" t="str">
        <f>IF(OR('Base Encuesta'!AB385="",IFERROR(VALUE(LEFT('Base Encuesta'!K385,1)),"")&gt;=3),"",VALUE(LEFT('Base Encuesta'!AB385,1)))</f>
        <v/>
      </c>
      <c r="V411" t="str">
        <f>IF(OR('Base Encuesta'!AC385="",IFERROR(VALUE(LEFT('Base Encuesta'!K385,1)),"")&gt;=3),"",VALUE(LEFT('Base Encuesta'!AC385,1)))</f>
        <v/>
      </c>
      <c r="W411" t="str">
        <f>IF(OR('Base Encuesta'!AE385="",IFERROR(VALUE(LEFT('Base Encuesta'!K385,1)),"")&gt;=3),"",VALUE(LEFT('Base Encuesta'!AE385,1)))</f>
        <v/>
      </c>
      <c r="X411" t="str">
        <f>IF(OR('Base Encuesta'!AF385="",IFERROR(VALUE(LEFT('Base Encuesta'!K385,1)),"")&gt;=3),"",IF(W411=1,VALUE(LEFT('Base Encuesta'!AF385,1)),""))</f>
        <v/>
      </c>
      <c r="Y411" t="str">
        <f>IF(OR('Base Encuesta'!AG385="",IFERROR(VALUE(LEFT('Base Encuesta'!K385,1)),"")&gt;=3),"",IF(W411=1,VALUE(LEFT('Base Encuesta'!AG385,1)),""))</f>
        <v/>
      </c>
      <c r="Z411" t="str">
        <f>IF(OR('Base Encuesta'!AH385="",IFERROR(VALUE(LEFT('Base Encuesta'!K385,1)),"")&gt;=3),"",IF(W411=1,VALUE(LEFT('Base Encuesta'!AH385,1)),""))</f>
        <v/>
      </c>
      <c r="AA411" t="str">
        <f>IF(OR('Base Encuesta'!AI385="",IFERROR(VALUE(LEFT('Base Encuesta'!K385,1)),"")&gt;=3),"",IF(W411=1,VALUE(LEFT('Base Encuesta'!AI385,1)),""))</f>
        <v/>
      </c>
      <c r="AB411" t="str">
        <f>IF(OR('Base Encuesta'!AJ385="",IFERROR(VALUE(LEFT('Base Encuesta'!K385,1)),"")&gt;=3),"",IF(W411=1,VALUE(LEFT('Base Encuesta'!AJ385,1)),""))</f>
        <v/>
      </c>
      <c r="AC411" t="str">
        <f>IF(OR('Base Encuesta'!AL385="",IFERROR(VALUE(LEFT('Base Encuesta'!K385,1)),"")&gt;=3),"",VALUE(LEFT('Base Encuesta'!AL385,1)))</f>
        <v/>
      </c>
      <c r="AD411" t="str">
        <f>IF(OR('Base Encuesta'!AM385="",IFERROR(VALUE(LEFT('Base Encuesta'!K385,1)),"")&gt;=3),"",VALUE(LEFT('Base Encuesta'!AM385,1)))</f>
        <v/>
      </c>
      <c r="AE411" t="str">
        <f>IF(OR('Base Encuesta'!AN385="",IFERROR(VALUE(LEFT('Base Encuesta'!K385,1)),"")&gt;=3),"",VALUE(LEFT('Base Encuesta'!AN385,1)))</f>
        <v/>
      </c>
      <c r="AF411" t="str">
        <f>IF(OR('Base Encuesta'!AO385="",IFERROR(VALUE(LEFT('Base Encuesta'!K385,1)),"")&gt;=3),"",VALUE(LEFT('Base Encuesta'!AO385,1)))</f>
        <v/>
      </c>
      <c r="AG411" t="str">
        <f>IF(OR('Base Encuesta'!AQ385="",IFERROR(VALUE(LEFT('Base Encuesta'!K385,1)),"")&gt;=3),"",VALUE(LEFT('Base Encuesta'!AQ385,1)))</f>
        <v/>
      </c>
      <c r="AH411" t="str">
        <f>IF(OR('Base Encuesta'!AR385="",IFERROR(VALUE(LEFT('Base Encuesta'!K385,1)),"")&gt;=3),"",VALUE(LEFT('Base Encuesta'!AR385,1)))</f>
        <v/>
      </c>
    </row>
    <row r="412" spans="1:34">
      <c r="A412" t="str">
        <f>IF('Base Encuesta'!C386="","",'Base Encuesta'!C386)</f>
        <v/>
      </c>
      <c r="B412" t="str">
        <f>IF('Base Encuesta'!D386="","",'Base Encuesta'!D386)</f>
        <v/>
      </c>
      <c r="C412" t="str">
        <f>IF('Base Encuesta'!E386="","",'Base Encuesta'!E386)</f>
        <v/>
      </c>
      <c r="D412" t="str">
        <f>IF('Base Encuesta'!F386="","",'Base Encuesta'!F386)</f>
        <v/>
      </c>
      <c r="E412" t="str">
        <f>IF('Base Encuesta'!G386="","",'Base Encuesta'!G386)</f>
        <v/>
      </c>
      <c r="F412" t="str">
        <f>IF('Base Encuesta'!H386="","",'Base Encuesta'!H386)</f>
        <v/>
      </c>
      <c r="G412" t="str">
        <f>IF('Base Encuesta'!I386="","",'Base Encuesta'!I386)</f>
        <v/>
      </c>
      <c r="H412" t="str">
        <f>IF('Base Encuesta'!J386="","",'Base Encuesta'!J386)</f>
        <v/>
      </c>
      <c r="I412" t="str">
        <f>IF('Base Encuesta'!K386="","",'Base Encuesta'!K386)</f>
        <v/>
      </c>
      <c r="J412" t="str">
        <f>IF(OR('Base Encuesta'!P386="",IFERROR(VALUE(LEFT('Base Encuesta'!K386,1)),"")&gt;=3),"",PROPER(TRIM('Base Encuesta'!P386)))</f>
        <v/>
      </c>
      <c r="K412" t="str">
        <f>IF(OR('Base Encuesta'!Q386="",IFERROR(VALUE(LEFT('Base Encuesta'!K386,1)),"")&gt;=3),"",'Base Encuesta'!Q386)</f>
        <v/>
      </c>
      <c r="L412" t="str">
        <f>IF(OR('Base Encuesta'!R386="",IFERROR(VALUE(LEFT('Base Encuesta'!K386,1)),"")&gt;=3),"",VALUE(LEFT('Base Encuesta'!R386,1)))</f>
        <v/>
      </c>
      <c r="M412" t="str">
        <f>IF(OR('Base Encuesta'!S386="",IFERROR(VALUE(LEFT('Base Encuesta'!K386,1)),"")&gt;=3),"",VALUE(LEFT('Base Encuesta'!S386,1)))</f>
        <v/>
      </c>
      <c r="N412" t="str">
        <f>IF(OR('Base Encuesta'!T386="",IFERROR(VALUE(LEFT('Base Encuesta'!K386,1)),"")&gt;=3),"",VALUE(LEFT('Base Encuesta'!T386,1)))</f>
        <v/>
      </c>
      <c r="O412" t="str">
        <f>IF(OR('Base Encuesta'!V386="",IFERROR(VALUE(LEFT('Base Encuesta'!K386,1)),"")&gt;=3),"",VALUE(LEFT('Base Encuesta'!V386,1)))</f>
        <v/>
      </c>
      <c r="P412" t="str">
        <f>IF(OR('Base Encuesta'!W386="",IFERROR(VALUE(LEFT('Base Encuesta'!K386,1)),"")&gt;=3),"",VALUE(LEFT('Base Encuesta'!W386,1)))</f>
        <v/>
      </c>
      <c r="Q412" t="str">
        <f>IF(OR('Base Encuesta'!X386="",IFERROR(VALUE(LEFT('Base Encuesta'!K386,1)),"")&gt;=3),"",VALUE(LEFT('Base Encuesta'!X386,1)))</f>
        <v/>
      </c>
      <c r="R412" t="str">
        <f>IF(OR('Base Encuesta'!Y386="",IFERROR(VALUE(LEFT('Base Encuesta'!K386,1)),"")&gt;=3),"",VALUE(LEFT('Base Encuesta'!Y386,1)))</f>
        <v/>
      </c>
      <c r="S412" t="str">
        <f>IF(OR('Base Encuesta'!Z386="",IFERROR(VALUE(LEFT('Base Encuesta'!K386,1)),"")&gt;=3),"",VALUE(LEFT('Base Encuesta'!Z386,1)))</f>
        <v/>
      </c>
      <c r="T412" t="str">
        <f>IF(OR('Base Encuesta'!AA386="",IFERROR(VALUE(LEFT('Base Encuesta'!K386,1)),"")&gt;=3),"",VALUE(LEFT('Base Encuesta'!AA386,1)))</f>
        <v/>
      </c>
      <c r="U412" t="str">
        <f>IF(OR('Base Encuesta'!AB386="",IFERROR(VALUE(LEFT('Base Encuesta'!K386,1)),"")&gt;=3),"",VALUE(LEFT('Base Encuesta'!AB386,1)))</f>
        <v/>
      </c>
      <c r="V412" t="str">
        <f>IF(OR('Base Encuesta'!AC386="",IFERROR(VALUE(LEFT('Base Encuesta'!K386,1)),"")&gt;=3),"",VALUE(LEFT('Base Encuesta'!AC386,1)))</f>
        <v/>
      </c>
      <c r="W412" t="str">
        <f>IF(OR('Base Encuesta'!AE386="",IFERROR(VALUE(LEFT('Base Encuesta'!K386,1)),"")&gt;=3),"",VALUE(LEFT('Base Encuesta'!AE386,1)))</f>
        <v/>
      </c>
      <c r="X412" t="str">
        <f>IF(OR('Base Encuesta'!AF386="",IFERROR(VALUE(LEFT('Base Encuesta'!K386,1)),"")&gt;=3),"",IF(W412=1,VALUE(LEFT('Base Encuesta'!AF386,1)),""))</f>
        <v/>
      </c>
      <c r="Y412" t="str">
        <f>IF(OR('Base Encuesta'!AG386="",IFERROR(VALUE(LEFT('Base Encuesta'!K386,1)),"")&gt;=3),"",IF(W412=1,VALUE(LEFT('Base Encuesta'!AG386,1)),""))</f>
        <v/>
      </c>
      <c r="Z412" t="str">
        <f>IF(OR('Base Encuesta'!AH386="",IFERROR(VALUE(LEFT('Base Encuesta'!K386,1)),"")&gt;=3),"",IF(W412=1,VALUE(LEFT('Base Encuesta'!AH386,1)),""))</f>
        <v/>
      </c>
      <c r="AA412" t="str">
        <f>IF(OR('Base Encuesta'!AI386="",IFERROR(VALUE(LEFT('Base Encuesta'!K386,1)),"")&gt;=3),"",IF(W412=1,VALUE(LEFT('Base Encuesta'!AI386,1)),""))</f>
        <v/>
      </c>
      <c r="AB412" t="str">
        <f>IF(OR('Base Encuesta'!AJ386="",IFERROR(VALUE(LEFT('Base Encuesta'!K386,1)),"")&gt;=3),"",IF(W412=1,VALUE(LEFT('Base Encuesta'!AJ386,1)),""))</f>
        <v/>
      </c>
      <c r="AC412" t="str">
        <f>IF(OR('Base Encuesta'!AL386="",IFERROR(VALUE(LEFT('Base Encuesta'!K386,1)),"")&gt;=3),"",VALUE(LEFT('Base Encuesta'!AL386,1)))</f>
        <v/>
      </c>
      <c r="AD412" t="str">
        <f>IF(OR('Base Encuesta'!AM386="",IFERROR(VALUE(LEFT('Base Encuesta'!K386,1)),"")&gt;=3),"",VALUE(LEFT('Base Encuesta'!AM386,1)))</f>
        <v/>
      </c>
      <c r="AE412" t="str">
        <f>IF(OR('Base Encuesta'!AN386="",IFERROR(VALUE(LEFT('Base Encuesta'!K386,1)),"")&gt;=3),"",VALUE(LEFT('Base Encuesta'!AN386,1)))</f>
        <v/>
      </c>
      <c r="AF412" t="str">
        <f>IF(OR('Base Encuesta'!AO386="",IFERROR(VALUE(LEFT('Base Encuesta'!K386,1)),"")&gt;=3),"",VALUE(LEFT('Base Encuesta'!AO386,1)))</f>
        <v/>
      </c>
      <c r="AG412" t="str">
        <f>IF(OR('Base Encuesta'!AQ386="",IFERROR(VALUE(LEFT('Base Encuesta'!K386,1)),"")&gt;=3),"",VALUE(LEFT('Base Encuesta'!AQ386,1)))</f>
        <v/>
      </c>
      <c r="AH412" t="str">
        <f>IF(OR('Base Encuesta'!AR386="",IFERROR(VALUE(LEFT('Base Encuesta'!K386,1)),"")&gt;=3),"",VALUE(LEFT('Base Encuesta'!AR386,1)))</f>
        <v/>
      </c>
    </row>
    <row r="413" spans="1:34">
      <c r="A413" t="str">
        <f>IF('Base Encuesta'!C387="","",'Base Encuesta'!C387)</f>
        <v/>
      </c>
      <c r="B413" t="str">
        <f>IF('Base Encuesta'!D387="","",'Base Encuesta'!D387)</f>
        <v/>
      </c>
      <c r="C413" t="str">
        <f>IF('Base Encuesta'!E387="","",'Base Encuesta'!E387)</f>
        <v/>
      </c>
      <c r="D413" t="str">
        <f>IF('Base Encuesta'!F387="","",'Base Encuesta'!F387)</f>
        <v/>
      </c>
      <c r="E413" t="str">
        <f>IF('Base Encuesta'!G387="","",'Base Encuesta'!G387)</f>
        <v/>
      </c>
      <c r="F413" t="str">
        <f>IF('Base Encuesta'!H387="","",'Base Encuesta'!H387)</f>
        <v/>
      </c>
      <c r="G413" t="str">
        <f>IF('Base Encuesta'!I387="","",'Base Encuesta'!I387)</f>
        <v/>
      </c>
      <c r="H413" t="str">
        <f>IF('Base Encuesta'!J387="","",'Base Encuesta'!J387)</f>
        <v/>
      </c>
      <c r="I413" t="str">
        <f>IF('Base Encuesta'!K387="","",'Base Encuesta'!K387)</f>
        <v/>
      </c>
      <c r="J413" t="str">
        <f>IF(OR('Base Encuesta'!P387="",IFERROR(VALUE(LEFT('Base Encuesta'!K387,1)),"")&gt;=3),"",PROPER(TRIM('Base Encuesta'!P387)))</f>
        <v/>
      </c>
      <c r="K413" t="str">
        <f>IF(OR('Base Encuesta'!Q387="",IFERROR(VALUE(LEFT('Base Encuesta'!K387,1)),"")&gt;=3),"",'Base Encuesta'!Q387)</f>
        <v/>
      </c>
      <c r="L413" t="str">
        <f>IF(OR('Base Encuesta'!R387="",IFERROR(VALUE(LEFT('Base Encuesta'!K387,1)),"")&gt;=3),"",VALUE(LEFT('Base Encuesta'!R387,1)))</f>
        <v/>
      </c>
      <c r="M413" t="str">
        <f>IF(OR('Base Encuesta'!S387="",IFERROR(VALUE(LEFT('Base Encuesta'!K387,1)),"")&gt;=3),"",VALUE(LEFT('Base Encuesta'!S387,1)))</f>
        <v/>
      </c>
      <c r="N413" t="str">
        <f>IF(OR('Base Encuesta'!T387="",IFERROR(VALUE(LEFT('Base Encuesta'!K387,1)),"")&gt;=3),"",VALUE(LEFT('Base Encuesta'!T387,1)))</f>
        <v/>
      </c>
      <c r="O413" t="str">
        <f>IF(OR('Base Encuesta'!V387="",IFERROR(VALUE(LEFT('Base Encuesta'!K387,1)),"")&gt;=3),"",VALUE(LEFT('Base Encuesta'!V387,1)))</f>
        <v/>
      </c>
      <c r="P413" t="str">
        <f>IF(OR('Base Encuesta'!W387="",IFERROR(VALUE(LEFT('Base Encuesta'!K387,1)),"")&gt;=3),"",VALUE(LEFT('Base Encuesta'!W387,1)))</f>
        <v/>
      </c>
      <c r="Q413" t="str">
        <f>IF(OR('Base Encuesta'!X387="",IFERROR(VALUE(LEFT('Base Encuesta'!K387,1)),"")&gt;=3),"",VALUE(LEFT('Base Encuesta'!X387,1)))</f>
        <v/>
      </c>
      <c r="R413" t="str">
        <f>IF(OR('Base Encuesta'!Y387="",IFERROR(VALUE(LEFT('Base Encuesta'!K387,1)),"")&gt;=3),"",VALUE(LEFT('Base Encuesta'!Y387,1)))</f>
        <v/>
      </c>
      <c r="S413" t="str">
        <f>IF(OR('Base Encuesta'!Z387="",IFERROR(VALUE(LEFT('Base Encuesta'!K387,1)),"")&gt;=3),"",VALUE(LEFT('Base Encuesta'!Z387,1)))</f>
        <v/>
      </c>
      <c r="T413" t="str">
        <f>IF(OR('Base Encuesta'!AA387="",IFERROR(VALUE(LEFT('Base Encuesta'!K387,1)),"")&gt;=3),"",VALUE(LEFT('Base Encuesta'!AA387,1)))</f>
        <v/>
      </c>
      <c r="U413" t="str">
        <f>IF(OR('Base Encuesta'!AB387="",IFERROR(VALUE(LEFT('Base Encuesta'!K387,1)),"")&gt;=3),"",VALUE(LEFT('Base Encuesta'!AB387,1)))</f>
        <v/>
      </c>
      <c r="V413" t="str">
        <f>IF(OR('Base Encuesta'!AC387="",IFERROR(VALUE(LEFT('Base Encuesta'!K387,1)),"")&gt;=3),"",VALUE(LEFT('Base Encuesta'!AC387,1)))</f>
        <v/>
      </c>
      <c r="W413" t="str">
        <f>IF(OR('Base Encuesta'!AE387="",IFERROR(VALUE(LEFT('Base Encuesta'!K387,1)),"")&gt;=3),"",VALUE(LEFT('Base Encuesta'!AE387,1)))</f>
        <v/>
      </c>
      <c r="X413" t="str">
        <f>IF(OR('Base Encuesta'!AF387="",IFERROR(VALUE(LEFT('Base Encuesta'!K387,1)),"")&gt;=3),"",IF(W413=1,VALUE(LEFT('Base Encuesta'!AF387,1)),""))</f>
        <v/>
      </c>
      <c r="Y413" t="str">
        <f>IF(OR('Base Encuesta'!AG387="",IFERROR(VALUE(LEFT('Base Encuesta'!K387,1)),"")&gt;=3),"",IF(W413=1,VALUE(LEFT('Base Encuesta'!AG387,1)),""))</f>
        <v/>
      </c>
      <c r="Z413" t="str">
        <f>IF(OR('Base Encuesta'!AH387="",IFERROR(VALUE(LEFT('Base Encuesta'!K387,1)),"")&gt;=3),"",IF(W413=1,VALUE(LEFT('Base Encuesta'!AH387,1)),""))</f>
        <v/>
      </c>
      <c r="AA413" t="str">
        <f>IF(OR('Base Encuesta'!AI387="",IFERROR(VALUE(LEFT('Base Encuesta'!K387,1)),"")&gt;=3),"",IF(W413=1,VALUE(LEFT('Base Encuesta'!AI387,1)),""))</f>
        <v/>
      </c>
      <c r="AB413" t="str">
        <f>IF(OR('Base Encuesta'!AJ387="",IFERROR(VALUE(LEFT('Base Encuesta'!K387,1)),"")&gt;=3),"",IF(W413=1,VALUE(LEFT('Base Encuesta'!AJ387,1)),""))</f>
        <v/>
      </c>
      <c r="AC413" t="str">
        <f>IF(OR('Base Encuesta'!AL387="",IFERROR(VALUE(LEFT('Base Encuesta'!K387,1)),"")&gt;=3),"",VALUE(LEFT('Base Encuesta'!AL387,1)))</f>
        <v/>
      </c>
      <c r="AD413" t="str">
        <f>IF(OR('Base Encuesta'!AM387="",IFERROR(VALUE(LEFT('Base Encuesta'!K387,1)),"")&gt;=3),"",VALUE(LEFT('Base Encuesta'!AM387,1)))</f>
        <v/>
      </c>
      <c r="AE413" t="str">
        <f>IF(OR('Base Encuesta'!AN387="",IFERROR(VALUE(LEFT('Base Encuesta'!K387,1)),"")&gt;=3),"",VALUE(LEFT('Base Encuesta'!AN387,1)))</f>
        <v/>
      </c>
      <c r="AF413" t="str">
        <f>IF(OR('Base Encuesta'!AO387="",IFERROR(VALUE(LEFT('Base Encuesta'!K387,1)),"")&gt;=3),"",VALUE(LEFT('Base Encuesta'!AO387,1)))</f>
        <v/>
      </c>
      <c r="AG413" t="str">
        <f>IF(OR('Base Encuesta'!AQ387="",IFERROR(VALUE(LEFT('Base Encuesta'!K387,1)),"")&gt;=3),"",VALUE(LEFT('Base Encuesta'!AQ387,1)))</f>
        <v/>
      </c>
      <c r="AH413" t="str">
        <f>IF(OR('Base Encuesta'!AR387="",IFERROR(VALUE(LEFT('Base Encuesta'!K387,1)),"")&gt;=3),"",VALUE(LEFT('Base Encuesta'!AR387,1)))</f>
        <v/>
      </c>
    </row>
    <row r="414" spans="1:34">
      <c r="A414" t="str">
        <f>IF('Base Encuesta'!C388="","",'Base Encuesta'!C388)</f>
        <v/>
      </c>
      <c r="B414" t="str">
        <f>IF('Base Encuesta'!D388="","",'Base Encuesta'!D388)</f>
        <v/>
      </c>
      <c r="C414" t="str">
        <f>IF('Base Encuesta'!E388="","",'Base Encuesta'!E388)</f>
        <v/>
      </c>
      <c r="D414" t="str">
        <f>IF('Base Encuesta'!F388="","",'Base Encuesta'!F388)</f>
        <v/>
      </c>
      <c r="E414" t="str">
        <f>IF('Base Encuesta'!G388="","",'Base Encuesta'!G388)</f>
        <v/>
      </c>
      <c r="F414" t="str">
        <f>IF('Base Encuesta'!H388="","",'Base Encuesta'!H388)</f>
        <v/>
      </c>
      <c r="G414" t="str">
        <f>IF('Base Encuesta'!I388="","",'Base Encuesta'!I388)</f>
        <v/>
      </c>
      <c r="H414" t="str">
        <f>IF('Base Encuesta'!J388="","",'Base Encuesta'!J388)</f>
        <v/>
      </c>
      <c r="I414" t="str">
        <f>IF('Base Encuesta'!K388="","",'Base Encuesta'!K388)</f>
        <v/>
      </c>
      <c r="J414" t="str">
        <f>IF(OR('Base Encuesta'!P388="",IFERROR(VALUE(LEFT('Base Encuesta'!K388,1)),"")&gt;=3),"",PROPER(TRIM('Base Encuesta'!P388)))</f>
        <v/>
      </c>
      <c r="K414" t="str">
        <f>IF(OR('Base Encuesta'!Q388="",IFERROR(VALUE(LEFT('Base Encuesta'!K388,1)),"")&gt;=3),"",'Base Encuesta'!Q388)</f>
        <v/>
      </c>
      <c r="L414" t="str">
        <f>IF(OR('Base Encuesta'!R388="",IFERROR(VALUE(LEFT('Base Encuesta'!K388,1)),"")&gt;=3),"",VALUE(LEFT('Base Encuesta'!R388,1)))</f>
        <v/>
      </c>
      <c r="M414" t="str">
        <f>IF(OR('Base Encuesta'!S388="",IFERROR(VALUE(LEFT('Base Encuesta'!K388,1)),"")&gt;=3),"",VALUE(LEFT('Base Encuesta'!S388,1)))</f>
        <v/>
      </c>
      <c r="N414" t="str">
        <f>IF(OR('Base Encuesta'!T388="",IFERROR(VALUE(LEFT('Base Encuesta'!K388,1)),"")&gt;=3),"",VALUE(LEFT('Base Encuesta'!T388,1)))</f>
        <v/>
      </c>
      <c r="O414" t="str">
        <f>IF(OR('Base Encuesta'!V388="",IFERROR(VALUE(LEFT('Base Encuesta'!K388,1)),"")&gt;=3),"",VALUE(LEFT('Base Encuesta'!V388,1)))</f>
        <v/>
      </c>
      <c r="P414" t="str">
        <f>IF(OR('Base Encuesta'!W388="",IFERROR(VALUE(LEFT('Base Encuesta'!K388,1)),"")&gt;=3),"",VALUE(LEFT('Base Encuesta'!W388,1)))</f>
        <v/>
      </c>
      <c r="Q414" t="str">
        <f>IF(OR('Base Encuesta'!X388="",IFERROR(VALUE(LEFT('Base Encuesta'!K388,1)),"")&gt;=3),"",VALUE(LEFT('Base Encuesta'!X388,1)))</f>
        <v/>
      </c>
      <c r="R414" t="str">
        <f>IF(OR('Base Encuesta'!Y388="",IFERROR(VALUE(LEFT('Base Encuesta'!K388,1)),"")&gt;=3),"",VALUE(LEFT('Base Encuesta'!Y388,1)))</f>
        <v/>
      </c>
      <c r="S414" t="str">
        <f>IF(OR('Base Encuesta'!Z388="",IFERROR(VALUE(LEFT('Base Encuesta'!K388,1)),"")&gt;=3),"",VALUE(LEFT('Base Encuesta'!Z388,1)))</f>
        <v/>
      </c>
      <c r="T414" t="str">
        <f>IF(OR('Base Encuesta'!AA388="",IFERROR(VALUE(LEFT('Base Encuesta'!K388,1)),"")&gt;=3),"",VALUE(LEFT('Base Encuesta'!AA388,1)))</f>
        <v/>
      </c>
      <c r="U414" t="str">
        <f>IF(OR('Base Encuesta'!AB388="",IFERROR(VALUE(LEFT('Base Encuesta'!K388,1)),"")&gt;=3),"",VALUE(LEFT('Base Encuesta'!AB388,1)))</f>
        <v/>
      </c>
      <c r="V414" t="str">
        <f>IF(OR('Base Encuesta'!AC388="",IFERROR(VALUE(LEFT('Base Encuesta'!K388,1)),"")&gt;=3),"",VALUE(LEFT('Base Encuesta'!AC388,1)))</f>
        <v/>
      </c>
      <c r="W414" t="str">
        <f>IF(OR('Base Encuesta'!AE388="",IFERROR(VALUE(LEFT('Base Encuesta'!K388,1)),"")&gt;=3),"",VALUE(LEFT('Base Encuesta'!AE388,1)))</f>
        <v/>
      </c>
      <c r="X414" t="str">
        <f>IF(OR('Base Encuesta'!AF388="",IFERROR(VALUE(LEFT('Base Encuesta'!K388,1)),"")&gt;=3),"",IF(W414=1,VALUE(LEFT('Base Encuesta'!AF388,1)),""))</f>
        <v/>
      </c>
      <c r="Y414" t="str">
        <f>IF(OR('Base Encuesta'!AG388="",IFERROR(VALUE(LEFT('Base Encuesta'!K388,1)),"")&gt;=3),"",IF(W414=1,VALUE(LEFT('Base Encuesta'!AG388,1)),""))</f>
        <v/>
      </c>
      <c r="Z414" t="str">
        <f>IF(OR('Base Encuesta'!AH388="",IFERROR(VALUE(LEFT('Base Encuesta'!K388,1)),"")&gt;=3),"",IF(W414=1,VALUE(LEFT('Base Encuesta'!AH388,1)),""))</f>
        <v/>
      </c>
      <c r="AA414" t="str">
        <f>IF(OR('Base Encuesta'!AI388="",IFERROR(VALUE(LEFT('Base Encuesta'!K388,1)),"")&gt;=3),"",IF(W414=1,VALUE(LEFT('Base Encuesta'!AI388,1)),""))</f>
        <v/>
      </c>
      <c r="AB414" t="str">
        <f>IF(OR('Base Encuesta'!AJ388="",IFERROR(VALUE(LEFT('Base Encuesta'!K388,1)),"")&gt;=3),"",IF(W414=1,VALUE(LEFT('Base Encuesta'!AJ388,1)),""))</f>
        <v/>
      </c>
      <c r="AC414" t="str">
        <f>IF(OR('Base Encuesta'!AL388="",IFERROR(VALUE(LEFT('Base Encuesta'!K388,1)),"")&gt;=3),"",VALUE(LEFT('Base Encuesta'!AL388,1)))</f>
        <v/>
      </c>
      <c r="AD414" t="str">
        <f>IF(OR('Base Encuesta'!AM388="",IFERROR(VALUE(LEFT('Base Encuesta'!K388,1)),"")&gt;=3),"",VALUE(LEFT('Base Encuesta'!AM388,1)))</f>
        <v/>
      </c>
      <c r="AE414" t="str">
        <f>IF(OR('Base Encuesta'!AN388="",IFERROR(VALUE(LEFT('Base Encuesta'!K388,1)),"")&gt;=3),"",VALUE(LEFT('Base Encuesta'!AN388,1)))</f>
        <v/>
      </c>
      <c r="AF414" t="str">
        <f>IF(OR('Base Encuesta'!AO388="",IFERROR(VALUE(LEFT('Base Encuesta'!K388,1)),"")&gt;=3),"",VALUE(LEFT('Base Encuesta'!AO388,1)))</f>
        <v/>
      </c>
      <c r="AG414" t="str">
        <f>IF(OR('Base Encuesta'!AQ388="",IFERROR(VALUE(LEFT('Base Encuesta'!K388,1)),"")&gt;=3),"",VALUE(LEFT('Base Encuesta'!AQ388,1)))</f>
        <v/>
      </c>
      <c r="AH414" t="str">
        <f>IF(OR('Base Encuesta'!AR388="",IFERROR(VALUE(LEFT('Base Encuesta'!K388,1)),"")&gt;=3),"",VALUE(LEFT('Base Encuesta'!AR388,1)))</f>
        <v/>
      </c>
    </row>
    <row r="415" spans="1:34">
      <c r="A415" t="str">
        <f>IF('Base Encuesta'!C389="","",'Base Encuesta'!C389)</f>
        <v/>
      </c>
      <c r="B415" t="str">
        <f>IF('Base Encuesta'!D389="","",'Base Encuesta'!D389)</f>
        <v/>
      </c>
      <c r="C415" t="str">
        <f>IF('Base Encuesta'!E389="","",'Base Encuesta'!E389)</f>
        <v/>
      </c>
      <c r="D415" t="str">
        <f>IF('Base Encuesta'!F389="","",'Base Encuesta'!F389)</f>
        <v/>
      </c>
      <c r="E415" t="str">
        <f>IF('Base Encuesta'!G389="","",'Base Encuesta'!G389)</f>
        <v/>
      </c>
      <c r="F415" t="str">
        <f>IF('Base Encuesta'!H389="","",'Base Encuesta'!H389)</f>
        <v/>
      </c>
      <c r="G415" t="str">
        <f>IF('Base Encuesta'!I389="","",'Base Encuesta'!I389)</f>
        <v/>
      </c>
      <c r="H415" t="str">
        <f>IF('Base Encuesta'!J389="","",'Base Encuesta'!J389)</f>
        <v/>
      </c>
      <c r="I415" t="str">
        <f>IF('Base Encuesta'!K389="","",'Base Encuesta'!K389)</f>
        <v/>
      </c>
      <c r="J415" t="str">
        <f>IF(OR('Base Encuesta'!P389="",IFERROR(VALUE(LEFT('Base Encuesta'!K389,1)),"")&gt;=3),"",PROPER(TRIM('Base Encuesta'!P389)))</f>
        <v/>
      </c>
      <c r="K415" t="str">
        <f>IF(OR('Base Encuesta'!Q389="",IFERROR(VALUE(LEFT('Base Encuesta'!K389,1)),"")&gt;=3),"",'Base Encuesta'!Q389)</f>
        <v/>
      </c>
      <c r="L415" t="str">
        <f>IF(OR('Base Encuesta'!R389="",IFERROR(VALUE(LEFT('Base Encuesta'!K389,1)),"")&gt;=3),"",VALUE(LEFT('Base Encuesta'!R389,1)))</f>
        <v/>
      </c>
      <c r="M415" t="str">
        <f>IF(OR('Base Encuesta'!S389="",IFERROR(VALUE(LEFT('Base Encuesta'!K389,1)),"")&gt;=3),"",VALUE(LEFT('Base Encuesta'!S389,1)))</f>
        <v/>
      </c>
      <c r="N415" t="str">
        <f>IF(OR('Base Encuesta'!T389="",IFERROR(VALUE(LEFT('Base Encuesta'!K389,1)),"")&gt;=3),"",VALUE(LEFT('Base Encuesta'!T389,1)))</f>
        <v/>
      </c>
      <c r="O415" t="str">
        <f>IF(OR('Base Encuesta'!V389="",IFERROR(VALUE(LEFT('Base Encuesta'!K389,1)),"")&gt;=3),"",VALUE(LEFT('Base Encuesta'!V389,1)))</f>
        <v/>
      </c>
      <c r="P415" t="str">
        <f>IF(OR('Base Encuesta'!W389="",IFERROR(VALUE(LEFT('Base Encuesta'!K389,1)),"")&gt;=3),"",VALUE(LEFT('Base Encuesta'!W389,1)))</f>
        <v/>
      </c>
      <c r="Q415" t="str">
        <f>IF(OR('Base Encuesta'!X389="",IFERROR(VALUE(LEFT('Base Encuesta'!K389,1)),"")&gt;=3),"",VALUE(LEFT('Base Encuesta'!X389,1)))</f>
        <v/>
      </c>
      <c r="R415" t="str">
        <f>IF(OR('Base Encuesta'!Y389="",IFERROR(VALUE(LEFT('Base Encuesta'!K389,1)),"")&gt;=3),"",VALUE(LEFT('Base Encuesta'!Y389,1)))</f>
        <v/>
      </c>
      <c r="S415" t="str">
        <f>IF(OR('Base Encuesta'!Z389="",IFERROR(VALUE(LEFT('Base Encuesta'!K389,1)),"")&gt;=3),"",VALUE(LEFT('Base Encuesta'!Z389,1)))</f>
        <v/>
      </c>
      <c r="T415" t="str">
        <f>IF(OR('Base Encuesta'!AA389="",IFERROR(VALUE(LEFT('Base Encuesta'!K389,1)),"")&gt;=3),"",VALUE(LEFT('Base Encuesta'!AA389,1)))</f>
        <v/>
      </c>
      <c r="U415" t="str">
        <f>IF(OR('Base Encuesta'!AB389="",IFERROR(VALUE(LEFT('Base Encuesta'!K389,1)),"")&gt;=3),"",VALUE(LEFT('Base Encuesta'!AB389,1)))</f>
        <v/>
      </c>
      <c r="V415" t="str">
        <f>IF(OR('Base Encuesta'!AC389="",IFERROR(VALUE(LEFT('Base Encuesta'!K389,1)),"")&gt;=3),"",VALUE(LEFT('Base Encuesta'!AC389,1)))</f>
        <v/>
      </c>
      <c r="W415" t="str">
        <f>IF(OR('Base Encuesta'!AE389="",IFERROR(VALUE(LEFT('Base Encuesta'!K389,1)),"")&gt;=3),"",VALUE(LEFT('Base Encuesta'!AE389,1)))</f>
        <v/>
      </c>
      <c r="X415" t="str">
        <f>IF(OR('Base Encuesta'!AF389="",IFERROR(VALUE(LEFT('Base Encuesta'!K389,1)),"")&gt;=3),"",IF(W415=1,VALUE(LEFT('Base Encuesta'!AF389,1)),""))</f>
        <v/>
      </c>
      <c r="Y415" t="str">
        <f>IF(OR('Base Encuesta'!AG389="",IFERROR(VALUE(LEFT('Base Encuesta'!K389,1)),"")&gt;=3),"",IF(W415=1,VALUE(LEFT('Base Encuesta'!AG389,1)),""))</f>
        <v/>
      </c>
      <c r="Z415" t="str">
        <f>IF(OR('Base Encuesta'!AH389="",IFERROR(VALUE(LEFT('Base Encuesta'!K389,1)),"")&gt;=3),"",IF(W415=1,VALUE(LEFT('Base Encuesta'!AH389,1)),""))</f>
        <v/>
      </c>
      <c r="AA415" t="str">
        <f>IF(OR('Base Encuesta'!AI389="",IFERROR(VALUE(LEFT('Base Encuesta'!K389,1)),"")&gt;=3),"",IF(W415=1,VALUE(LEFT('Base Encuesta'!AI389,1)),""))</f>
        <v/>
      </c>
      <c r="AB415" t="str">
        <f>IF(OR('Base Encuesta'!AJ389="",IFERROR(VALUE(LEFT('Base Encuesta'!K389,1)),"")&gt;=3),"",IF(W415=1,VALUE(LEFT('Base Encuesta'!AJ389,1)),""))</f>
        <v/>
      </c>
      <c r="AC415" t="str">
        <f>IF(OR('Base Encuesta'!AL389="",IFERROR(VALUE(LEFT('Base Encuesta'!K389,1)),"")&gt;=3),"",VALUE(LEFT('Base Encuesta'!AL389,1)))</f>
        <v/>
      </c>
      <c r="AD415" t="str">
        <f>IF(OR('Base Encuesta'!AM389="",IFERROR(VALUE(LEFT('Base Encuesta'!K389,1)),"")&gt;=3),"",VALUE(LEFT('Base Encuesta'!AM389,1)))</f>
        <v/>
      </c>
      <c r="AE415" t="str">
        <f>IF(OR('Base Encuesta'!AN389="",IFERROR(VALUE(LEFT('Base Encuesta'!K389,1)),"")&gt;=3),"",VALUE(LEFT('Base Encuesta'!AN389,1)))</f>
        <v/>
      </c>
      <c r="AF415" t="str">
        <f>IF(OR('Base Encuesta'!AO389="",IFERROR(VALUE(LEFT('Base Encuesta'!K389,1)),"")&gt;=3),"",VALUE(LEFT('Base Encuesta'!AO389,1)))</f>
        <v/>
      </c>
      <c r="AG415" t="str">
        <f>IF(OR('Base Encuesta'!AQ389="",IFERROR(VALUE(LEFT('Base Encuesta'!K389,1)),"")&gt;=3),"",VALUE(LEFT('Base Encuesta'!AQ389,1)))</f>
        <v/>
      </c>
      <c r="AH415" t="str">
        <f>IF(OR('Base Encuesta'!AR389="",IFERROR(VALUE(LEFT('Base Encuesta'!K389,1)),"")&gt;=3),"",VALUE(LEFT('Base Encuesta'!AR389,1)))</f>
        <v/>
      </c>
    </row>
    <row r="416" spans="1:34">
      <c r="A416" t="str">
        <f>IF('Base Encuesta'!C390="","",'Base Encuesta'!C390)</f>
        <v/>
      </c>
      <c r="B416" t="str">
        <f>IF('Base Encuesta'!D390="","",'Base Encuesta'!D390)</f>
        <v/>
      </c>
      <c r="C416" t="str">
        <f>IF('Base Encuesta'!E390="","",'Base Encuesta'!E390)</f>
        <v/>
      </c>
      <c r="D416" t="str">
        <f>IF('Base Encuesta'!F390="","",'Base Encuesta'!F390)</f>
        <v/>
      </c>
      <c r="E416" t="str">
        <f>IF('Base Encuesta'!G390="","",'Base Encuesta'!G390)</f>
        <v/>
      </c>
      <c r="F416" t="str">
        <f>IF('Base Encuesta'!H390="","",'Base Encuesta'!H390)</f>
        <v/>
      </c>
      <c r="G416" t="str">
        <f>IF('Base Encuesta'!I390="","",'Base Encuesta'!I390)</f>
        <v/>
      </c>
      <c r="H416" t="str">
        <f>IF('Base Encuesta'!J390="","",'Base Encuesta'!J390)</f>
        <v/>
      </c>
      <c r="I416" t="str">
        <f>IF('Base Encuesta'!K390="","",'Base Encuesta'!K390)</f>
        <v/>
      </c>
      <c r="J416" t="str">
        <f>IF(OR('Base Encuesta'!P390="",IFERROR(VALUE(LEFT('Base Encuesta'!K390,1)),"")&gt;=3),"",PROPER(TRIM('Base Encuesta'!P390)))</f>
        <v/>
      </c>
      <c r="K416" t="str">
        <f>IF(OR('Base Encuesta'!Q390="",IFERROR(VALUE(LEFT('Base Encuesta'!K390,1)),"")&gt;=3),"",'Base Encuesta'!Q390)</f>
        <v/>
      </c>
      <c r="L416" t="str">
        <f>IF(OR('Base Encuesta'!R390="",IFERROR(VALUE(LEFT('Base Encuesta'!K390,1)),"")&gt;=3),"",VALUE(LEFT('Base Encuesta'!R390,1)))</f>
        <v/>
      </c>
      <c r="M416" t="str">
        <f>IF(OR('Base Encuesta'!S390="",IFERROR(VALUE(LEFT('Base Encuesta'!K390,1)),"")&gt;=3),"",VALUE(LEFT('Base Encuesta'!S390,1)))</f>
        <v/>
      </c>
      <c r="N416" t="str">
        <f>IF(OR('Base Encuesta'!T390="",IFERROR(VALUE(LEFT('Base Encuesta'!K390,1)),"")&gt;=3),"",VALUE(LEFT('Base Encuesta'!T390,1)))</f>
        <v/>
      </c>
      <c r="O416" t="str">
        <f>IF(OR('Base Encuesta'!V390="",IFERROR(VALUE(LEFT('Base Encuesta'!K390,1)),"")&gt;=3),"",VALUE(LEFT('Base Encuesta'!V390,1)))</f>
        <v/>
      </c>
      <c r="P416" t="str">
        <f>IF(OR('Base Encuesta'!W390="",IFERROR(VALUE(LEFT('Base Encuesta'!K390,1)),"")&gt;=3),"",VALUE(LEFT('Base Encuesta'!W390,1)))</f>
        <v/>
      </c>
      <c r="Q416" t="str">
        <f>IF(OR('Base Encuesta'!X390="",IFERROR(VALUE(LEFT('Base Encuesta'!K390,1)),"")&gt;=3),"",VALUE(LEFT('Base Encuesta'!X390,1)))</f>
        <v/>
      </c>
      <c r="R416" t="str">
        <f>IF(OR('Base Encuesta'!Y390="",IFERROR(VALUE(LEFT('Base Encuesta'!K390,1)),"")&gt;=3),"",VALUE(LEFT('Base Encuesta'!Y390,1)))</f>
        <v/>
      </c>
      <c r="S416" t="str">
        <f>IF(OR('Base Encuesta'!Z390="",IFERROR(VALUE(LEFT('Base Encuesta'!K390,1)),"")&gt;=3),"",VALUE(LEFT('Base Encuesta'!Z390,1)))</f>
        <v/>
      </c>
      <c r="T416" t="str">
        <f>IF(OR('Base Encuesta'!AA390="",IFERROR(VALUE(LEFT('Base Encuesta'!K390,1)),"")&gt;=3),"",VALUE(LEFT('Base Encuesta'!AA390,1)))</f>
        <v/>
      </c>
      <c r="U416" t="str">
        <f>IF(OR('Base Encuesta'!AB390="",IFERROR(VALUE(LEFT('Base Encuesta'!K390,1)),"")&gt;=3),"",VALUE(LEFT('Base Encuesta'!AB390,1)))</f>
        <v/>
      </c>
      <c r="V416" t="str">
        <f>IF(OR('Base Encuesta'!AC390="",IFERROR(VALUE(LEFT('Base Encuesta'!K390,1)),"")&gt;=3),"",VALUE(LEFT('Base Encuesta'!AC390,1)))</f>
        <v/>
      </c>
      <c r="W416" t="str">
        <f>IF(OR('Base Encuesta'!AE390="",IFERROR(VALUE(LEFT('Base Encuesta'!K390,1)),"")&gt;=3),"",VALUE(LEFT('Base Encuesta'!AE390,1)))</f>
        <v/>
      </c>
      <c r="X416" t="str">
        <f>IF(OR('Base Encuesta'!AF390="",IFERROR(VALUE(LEFT('Base Encuesta'!K390,1)),"")&gt;=3),"",IF(W416=1,VALUE(LEFT('Base Encuesta'!AF390,1)),""))</f>
        <v/>
      </c>
      <c r="Y416" t="str">
        <f>IF(OR('Base Encuesta'!AG390="",IFERROR(VALUE(LEFT('Base Encuesta'!K390,1)),"")&gt;=3),"",IF(W416=1,VALUE(LEFT('Base Encuesta'!AG390,1)),""))</f>
        <v/>
      </c>
      <c r="Z416" t="str">
        <f>IF(OR('Base Encuesta'!AH390="",IFERROR(VALUE(LEFT('Base Encuesta'!K390,1)),"")&gt;=3),"",IF(W416=1,VALUE(LEFT('Base Encuesta'!AH390,1)),""))</f>
        <v/>
      </c>
      <c r="AA416" t="str">
        <f>IF(OR('Base Encuesta'!AI390="",IFERROR(VALUE(LEFT('Base Encuesta'!K390,1)),"")&gt;=3),"",IF(W416=1,VALUE(LEFT('Base Encuesta'!AI390,1)),""))</f>
        <v/>
      </c>
      <c r="AB416" t="str">
        <f>IF(OR('Base Encuesta'!AJ390="",IFERROR(VALUE(LEFT('Base Encuesta'!K390,1)),"")&gt;=3),"",IF(W416=1,VALUE(LEFT('Base Encuesta'!AJ390,1)),""))</f>
        <v/>
      </c>
      <c r="AC416" t="str">
        <f>IF(OR('Base Encuesta'!AL390="",IFERROR(VALUE(LEFT('Base Encuesta'!K390,1)),"")&gt;=3),"",VALUE(LEFT('Base Encuesta'!AL390,1)))</f>
        <v/>
      </c>
      <c r="AD416" t="str">
        <f>IF(OR('Base Encuesta'!AM390="",IFERROR(VALUE(LEFT('Base Encuesta'!K390,1)),"")&gt;=3),"",VALUE(LEFT('Base Encuesta'!AM390,1)))</f>
        <v/>
      </c>
      <c r="AE416" t="str">
        <f>IF(OR('Base Encuesta'!AN390="",IFERROR(VALUE(LEFT('Base Encuesta'!K390,1)),"")&gt;=3),"",VALUE(LEFT('Base Encuesta'!AN390,1)))</f>
        <v/>
      </c>
      <c r="AF416" t="str">
        <f>IF(OR('Base Encuesta'!AO390="",IFERROR(VALUE(LEFT('Base Encuesta'!K390,1)),"")&gt;=3),"",VALUE(LEFT('Base Encuesta'!AO390,1)))</f>
        <v/>
      </c>
      <c r="AG416" t="str">
        <f>IF(OR('Base Encuesta'!AQ390="",IFERROR(VALUE(LEFT('Base Encuesta'!K390,1)),"")&gt;=3),"",VALUE(LEFT('Base Encuesta'!AQ390,1)))</f>
        <v/>
      </c>
      <c r="AH416" t="str">
        <f>IF(OR('Base Encuesta'!AR390="",IFERROR(VALUE(LEFT('Base Encuesta'!K390,1)),"")&gt;=3),"",VALUE(LEFT('Base Encuesta'!AR390,1)))</f>
        <v/>
      </c>
    </row>
    <row r="417" spans="1:34">
      <c r="A417" t="str">
        <f>IF('Base Encuesta'!C391="","",'Base Encuesta'!C391)</f>
        <v/>
      </c>
      <c r="B417" t="str">
        <f>IF('Base Encuesta'!D391="","",'Base Encuesta'!D391)</f>
        <v/>
      </c>
      <c r="C417" t="str">
        <f>IF('Base Encuesta'!E391="","",'Base Encuesta'!E391)</f>
        <v/>
      </c>
      <c r="D417" t="str">
        <f>IF('Base Encuesta'!F391="","",'Base Encuesta'!F391)</f>
        <v/>
      </c>
      <c r="E417" t="str">
        <f>IF('Base Encuesta'!G391="","",'Base Encuesta'!G391)</f>
        <v/>
      </c>
      <c r="F417" t="str">
        <f>IF('Base Encuesta'!H391="","",'Base Encuesta'!H391)</f>
        <v/>
      </c>
      <c r="G417" t="str">
        <f>IF('Base Encuesta'!I391="","",'Base Encuesta'!I391)</f>
        <v/>
      </c>
      <c r="H417" t="str">
        <f>IF('Base Encuesta'!J391="","",'Base Encuesta'!J391)</f>
        <v/>
      </c>
      <c r="I417" t="str">
        <f>IF('Base Encuesta'!K391="","",'Base Encuesta'!K391)</f>
        <v/>
      </c>
      <c r="J417" t="str">
        <f>IF(OR('Base Encuesta'!P391="",IFERROR(VALUE(LEFT('Base Encuesta'!K391,1)),"")&gt;=3),"",PROPER(TRIM('Base Encuesta'!P391)))</f>
        <v/>
      </c>
      <c r="K417" t="str">
        <f>IF(OR('Base Encuesta'!Q391="",IFERROR(VALUE(LEFT('Base Encuesta'!K391,1)),"")&gt;=3),"",'Base Encuesta'!Q391)</f>
        <v/>
      </c>
      <c r="L417" t="str">
        <f>IF(OR('Base Encuesta'!R391="",IFERROR(VALUE(LEFT('Base Encuesta'!K391,1)),"")&gt;=3),"",VALUE(LEFT('Base Encuesta'!R391,1)))</f>
        <v/>
      </c>
      <c r="M417" t="str">
        <f>IF(OR('Base Encuesta'!S391="",IFERROR(VALUE(LEFT('Base Encuesta'!K391,1)),"")&gt;=3),"",VALUE(LEFT('Base Encuesta'!S391,1)))</f>
        <v/>
      </c>
      <c r="N417" t="str">
        <f>IF(OR('Base Encuesta'!T391="",IFERROR(VALUE(LEFT('Base Encuesta'!K391,1)),"")&gt;=3),"",VALUE(LEFT('Base Encuesta'!T391,1)))</f>
        <v/>
      </c>
      <c r="O417" t="str">
        <f>IF(OR('Base Encuesta'!V391="",IFERROR(VALUE(LEFT('Base Encuesta'!K391,1)),"")&gt;=3),"",VALUE(LEFT('Base Encuesta'!V391,1)))</f>
        <v/>
      </c>
      <c r="P417" t="str">
        <f>IF(OR('Base Encuesta'!W391="",IFERROR(VALUE(LEFT('Base Encuesta'!K391,1)),"")&gt;=3),"",VALUE(LEFT('Base Encuesta'!W391,1)))</f>
        <v/>
      </c>
      <c r="Q417" t="str">
        <f>IF(OR('Base Encuesta'!X391="",IFERROR(VALUE(LEFT('Base Encuesta'!K391,1)),"")&gt;=3),"",VALUE(LEFT('Base Encuesta'!X391,1)))</f>
        <v/>
      </c>
      <c r="R417" t="str">
        <f>IF(OR('Base Encuesta'!Y391="",IFERROR(VALUE(LEFT('Base Encuesta'!K391,1)),"")&gt;=3),"",VALUE(LEFT('Base Encuesta'!Y391,1)))</f>
        <v/>
      </c>
      <c r="S417" t="str">
        <f>IF(OR('Base Encuesta'!Z391="",IFERROR(VALUE(LEFT('Base Encuesta'!K391,1)),"")&gt;=3),"",VALUE(LEFT('Base Encuesta'!Z391,1)))</f>
        <v/>
      </c>
      <c r="T417" t="str">
        <f>IF(OR('Base Encuesta'!AA391="",IFERROR(VALUE(LEFT('Base Encuesta'!K391,1)),"")&gt;=3),"",VALUE(LEFT('Base Encuesta'!AA391,1)))</f>
        <v/>
      </c>
      <c r="U417" t="str">
        <f>IF(OR('Base Encuesta'!AB391="",IFERROR(VALUE(LEFT('Base Encuesta'!K391,1)),"")&gt;=3),"",VALUE(LEFT('Base Encuesta'!AB391,1)))</f>
        <v/>
      </c>
      <c r="V417" t="str">
        <f>IF(OR('Base Encuesta'!AC391="",IFERROR(VALUE(LEFT('Base Encuesta'!K391,1)),"")&gt;=3),"",VALUE(LEFT('Base Encuesta'!AC391,1)))</f>
        <v/>
      </c>
      <c r="W417" t="str">
        <f>IF(OR('Base Encuesta'!AE391="",IFERROR(VALUE(LEFT('Base Encuesta'!K391,1)),"")&gt;=3),"",VALUE(LEFT('Base Encuesta'!AE391,1)))</f>
        <v/>
      </c>
      <c r="X417" t="str">
        <f>IF(OR('Base Encuesta'!AF391="",IFERROR(VALUE(LEFT('Base Encuesta'!K391,1)),"")&gt;=3),"",IF(W417=1,VALUE(LEFT('Base Encuesta'!AF391,1)),""))</f>
        <v/>
      </c>
      <c r="Y417" t="str">
        <f>IF(OR('Base Encuesta'!AG391="",IFERROR(VALUE(LEFT('Base Encuesta'!K391,1)),"")&gt;=3),"",IF(W417=1,VALUE(LEFT('Base Encuesta'!AG391,1)),""))</f>
        <v/>
      </c>
      <c r="Z417" t="str">
        <f>IF(OR('Base Encuesta'!AH391="",IFERROR(VALUE(LEFT('Base Encuesta'!K391,1)),"")&gt;=3),"",IF(W417=1,VALUE(LEFT('Base Encuesta'!AH391,1)),""))</f>
        <v/>
      </c>
      <c r="AA417" t="str">
        <f>IF(OR('Base Encuesta'!AI391="",IFERROR(VALUE(LEFT('Base Encuesta'!K391,1)),"")&gt;=3),"",IF(W417=1,VALUE(LEFT('Base Encuesta'!AI391,1)),""))</f>
        <v/>
      </c>
      <c r="AB417" t="str">
        <f>IF(OR('Base Encuesta'!AJ391="",IFERROR(VALUE(LEFT('Base Encuesta'!K391,1)),"")&gt;=3),"",IF(W417=1,VALUE(LEFT('Base Encuesta'!AJ391,1)),""))</f>
        <v/>
      </c>
      <c r="AC417" t="str">
        <f>IF(OR('Base Encuesta'!AL391="",IFERROR(VALUE(LEFT('Base Encuesta'!K391,1)),"")&gt;=3),"",VALUE(LEFT('Base Encuesta'!AL391,1)))</f>
        <v/>
      </c>
      <c r="AD417" t="str">
        <f>IF(OR('Base Encuesta'!AM391="",IFERROR(VALUE(LEFT('Base Encuesta'!K391,1)),"")&gt;=3),"",VALUE(LEFT('Base Encuesta'!AM391,1)))</f>
        <v/>
      </c>
      <c r="AE417" t="str">
        <f>IF(OR('Base Encuesta'!AN391="",IFERROR(VALUE(LEFT('Base Encuesta'!K391,1)),"")&gt;=3),"",VALUE(LEFT('Base Encuesta'!AN391,1)))</f>
        <v/>
      </c>
      <c r="AF417" t="str">
        <f>IF(OR('Base Encuesta'!AO391="",IFERROR(VALUE(LEFT('Base Encuesta'!K391,1)),"")&gt;=3),"",VALUE(LEFT('Base Encuesta'!AO391,1)))</f>
        <v/>
      </c>
      <c r="AG417" t="str">
        <f>IF(OR('Base Encuesta'!AQ391="",IFERROR(VALUE(LEFT('Base Encuesta'!K391,1)),"")&gt;=3),"",VALUE(LEFT('Base Encuesta'!AQ391,1)))</f>
        <v/>
      </c>
      <c r="AH417" t="str">
        <f>IF(OR('Base Encuesta'!AR391="",IFERROR(VALUE(LEFT('Base Encuesta'!K391,1)),"")&gt;=3),"",VALUE(LEFT('Base Encuesta'!AR391,1)))</f>
        <v/>
      </c>
    </row>
    <row r="418" spans="1:34">
      <c r="A418" t="str">
        <f>IF('Base Encuesta'!C392="","",'Base Encuesta'!C392)</f>
        <v/>
      </c>
      <c r="B418" t="str">
        <f>IF('Base Encuesta'!D392="","",'Base Encuesta'!D392)</f>
        <v/>
      </c>
      <c r="C418" t="str">
        <f>IF('Base Encuesta'!E392="","",'Base Encuesta'!E392)</f>
        <v/>
      </c>
      <c r="D418" t="str">
        <f>IF('Base Encuesta'!F392="","",'Base Encuesta'!F392)</f>
        <v/>
      </c>
      <c r="E418" t="str">
        <f>IF('Base Encuesta'!G392="","",'Base Encuesta'!G392)</f>
        <v/>
      </c>
      <c r="F418" t="str">
        <f>IF('Base Encuesta'!H392="","",'Base Encuesta'!H392)</f>
        <v/>
      </c>
      <c r="G418" t="str">
        <f>IF('Base Encuesta'!I392="","",'Base Encuesta'!I392)</f>
        <v/>
      </c>
      <c r="H418" t="str">
        <f>IF('Base Encuesta'!J392="","",'Base Encuesta'!J392)</f>
        <v/>
      </c>
      <c r="I418" t="str">
        <f>IF('Base Encuesta'!K392="","",'Base Encuesta'!K392)</f>
        <v/>
      </c>
      <c r="J418" t="str">
        <f>IF(OR('Base Encuesta'!P392="",IFERROR(VALUE(LEFT('Base Encuesta'!K392,1)),"")&gt;=3),"",PROPER(TRIM('Base Encuesta'!P392)))</f>
        <v/>
      </c>
      <c r="K418" t="str">
        <f>IF(OR('Base Encuesta'!Q392="",IFERROR(VALUE(LEFT('Base Encuesta'!K392,1)),"")&gt;=3),"",'Base Encuesta'!Q392)</f>
        <v/>
      </c>
      <c r="L418" t="str">
        <f>IF(OR('Base Encuesta'!R392="",IFERROR(VALUE(LEFT('Base Encuesta'!K392,1)),"")&gt;=3),"",VALUE(LEFT('Base Encuesta'!R392,1)))</f>
        <v/>
      </c>
      <c r="M418" t="str">
        <f>IF(OR('Base Encuesta'!S392="",IFERROR(VALUE(LEFT('Base Encuesta'!K392,1)),"")&gt;=3),"",VALUE(LEFT('Base Encuesta'!S392,1)))</f>
        <v/>
      </c>
      <c r="N418" t="str">
        <f>IF(OR('Base Encuesta'!T392="",IFERROR(VALUE(LEFT('Base Encuesta'!K392,1)),"")&gt;=3),"",VALUE(LEFT('Base Encuesta'!T392,1)))</f>
        <v/>
      </c>
      <c r="O418" t="str">
        <f>IF(OR('Base Encuesta'!V392="",IFERROR(VALUE(LEFT('Base Encuesta'!K392,1)),"")&gt;=3),"",VALUE(LEFT('Base Encuesta'!V392,1)))</f>
        <v/>
      </c>
      <c r="P418" t="str">
        <f>IF(OR('Base Encuesta'!W392="",IFERROR(VALUE(LEFT('Base Encuesta'!K392,1)),"")&gt;=3),"",VALUE(LEFT('Base Encuesta'!W392,1)))</f>
        <v/>
      </c>
      <c r="Q418" t="str">
        <f>IF(OR('Base Encuesta'!X392="",IFERROR(VALUE(LEFT('Base Encuesta'!K392,1)),"")&gt;=3),"",VALUE(LEFT('Base Encuesta'!X392,1)))</f>
        <v/>
      </c>
      <c r="R418" t="str">
        <f>IF(OR('Base Encuesta'!Y392="",IFERROR(VALUE(LEFT('Base Encuesta'!K392,1)),"")&gt;=3),"",VALUE(LEFT('Base Encuesta'!Y392,1)))</f>
        <v/>
      </c>
      <c r="S418" t="str">
        <f>IF(OR('Base Encuesta'!Z392="",IFERROR(VALUE(LEFT('Base Encuesta'!K392,1)),"")&gt;=3),"",VALUE(LEFT('Base Encuesta'!Z392,1)))</f>
        <v/>
      </c>
      <c r="T418" t="str">
        <f>IF(OR('Base Encuesta'!AA392="",IFERROR(VALUE(LEFT('Base Encuesta'!K392,1)),"")&gt;=3),"",VALUE(LEFT('Base Encuesta'!AA392,1)))</f>
        <v/>
      </c>
      <c r="U418" t="str">
        <f>IF(OR('Base Encuesta'!AB392="",IFERROR(VALUE(LEFT('Base Encuesta'!K392,1)),"")&gt;=3),"",VALUE(LEFT('Base Encuesta'!AB392,1)))</f>
        <v/>
      </c>
      <c r="V418" t="str">
        <f>IF(OR('Base Encuesta'!AC392="",IFERROR(VALUE(LEFT('Base Encuesta'!K392,1)),"")&gt;=3),"",VALUE(LEFT('Base Encuesta'!AC392,1)))</f>
        <v/>
      </c>
      <c r="W418" t="str">
        <f>IF(OR('Base Encuesta'!AE392="",IFERROR(VALUE(LEFT('Base Encuesta'!K392,1)),"")&gt;=3),"",VALUE(LEFT('Base Encuesta'!AE392,1)))</f>
        <v/>
      </c>
      <c r="X418" t="str">
        <f>IF(OR('Base Encuesta'!AF392="",IFERROR(VALUE(LEFT('Base Encuesta'!K392,1)),"")&gt;=3),"",IF(W418=1,VALUE(LEFT('Base Encuesta'!AF392,1)),""))</f>
        <v/>
      </c>
      <c r="Y418" t="str">
        <f>IF(OR('Base Encuesta'!AG392="",IFERROR(VALUE(LEFT('Base Encuesta'!K392,1)),"")&gt;=3),"",IF(W418=1,VALUE(LEFT('Base Encuesta'!AG392,1)),""))</f>
        <v/>
      </c>
      <c r="Z418" t="str">
        <f>IF(OR('Base Encuesta'!AH392="",IFERROR(VALUE(LEFT('Base Encuesta'!K392,1)),"")&gt;=3),"",IF(W418=1,VALUE(LEFT('Base Encuesta'!AH392,1)),""))</f>
        <v/>
      </c>
      <c r="AA418" t="str">
        <f>IF(OR('Base Encuesta'!AI392="",IFERROR(VALUE(LEFT('Base Encuesta'!K392,1)),"")&gt;=3),"",IF(W418=1,VALUE(LEFT('Base Encuesta'!AI392,1)),""))</f>
        <v/>
      </c>
      <c r="AB418" t="str">
        <f>IF(OR('Base Encuesta'!AJ392="",IFERROR(VALUE(LEFT('Base Encuesta'!K392,1)),"")&gt;=3),"",IF(W418=1,VALUE(LEFT('Base Encuesta'!AJ392,1)),""))</f>
        <v/>
      </c>
      <c r="AC418" t="str">
        <f>IF(OR('Base Encuesta'!AL392="",IFERROR(VALUE(LEFT('Base Encuesta'!K392,1)),"")&gt;=3),"",VALUE(LEFT('Base Encuesta'!AL392,1)))</f>
        <v/>
      </c>
      <c r="AD418" t="str">
        <f>IF(OR('Base Encuesta'!AM392="",IFERROR(VALUE(LEFT('Base Encuesta'!K392,1)),"")&gt;=3),"",VALUE(LEFT('Base Encuesta'!AM392,1)))</f>
        <v/>
      </c>
      <c r="AE418" t="str">
        <f>IF(OR('Base Encuesta'!AN392="",IFERROR(VALUE(LEFT('Base Encuesta'!K392,1)),"")&gt;=3),"",VALUE(LEFT('Base Encuesta'!AN392,1)))</f>
        <v/>
      </c>
      <c r="AF418" t="str">
        <f>IF(OR('Base Encuesta'!AO392="",IFERROR(VALUE(LEFT('Base Encuesta'!K392,1)),"")&gt;=3),"",VALUE(LEFT('Base Encuesta'!AO392,1)))</f>
        <v/>
      </c>
      <c r="AG418" t="str">
        <f>IF(OR('Base Encuesta'!AQ392="",IFERROR(VALUE(LEFT('Base Encuesta'!K392,1)),"")&gt;=3),"",VALUE(LEFT('Base Encuesta'!AQ392,1)))</f>
        <v/>
      </c>
      <c r="AH418" t="str">
        <f>IF(OR('Base Encuesta'!AR392="",IFERROR(VALUE(LEFT('Base Encuesta'!K392,1)),"")&gt;=3),"",VALUE(LEFT('Base Encuesta'!AR392,1)))</f>
        <v/>
      </c>
    </row>
    <row r="419" spans="1:34">
      <c r="A419" t="str">
        <f>IF('Base Encuesta'!C393="","",'Base Encuesta'!C393)</f>
        <v/>
      </c>
      <c r="B419" t="str">
        <f>IF('Base Encuesta'!D393="","",'Base Encuesta'!D393)</f>
        <v/>
      </c>
      <c r="C419" t="str">
        <f>IF('Base Encuesta'!E393="","",'Base Encuesta'!E393)</f>
        <v/>
      </c>
      <c r="D419" t="str">
        <f>IF('Base Encuesta'!F393="","",'Base Encuesta'!F393)</f>
        <v/>
      </c>
      <c r="E419" t="str">
        <f>IF('Base Encuesta'!G393="","",'Base Encuesta'!G393)</f>
        <v/>
      </c>
      <c r="F419" t="str">
        <f>IF('Base Encuesta'!H393="","",'Base Encuesta'!H393)</f>
        <v/>
      </c>
      <c r="G419" t="str">
        <f>IF('Base Encuesta'!I393="","",'Base Encuesta'!I393)</f>
        <v/>
      </c>
      <c r="H419" t="str">
        <f>IF('Base Encuesta'!J393="","",'Base Encuesta'!J393)</f>
        <v/>
      </c>
      <c r="I419" t="str">
        <f>IF('Base Encuesta'!K393="","",'Base Encuesta'!K393)</f>
        <v/>
      </c>
      <c r="J419" t="str">
        <f>IF(OR('Base Encuesta'!P393="",IFERROR(VALUE(LEFT('Base Encuesta'!K393,1)),"")&gt;=3),"",PROPER(TRIM('Base Encuesta'!P393)))</f>
        <v/>
      </c>
      <c r="K419" t="str">
        <f>IF(OR('Base Encuesta'!Q393="",IFERROR(VALUE(LEFT('Base Encuesta'!K393,1)),"")&gt;=3),"",'Base Encuesta'!Q393)</f>
        <v/>
      </c>
      <c r="L419" t="str">
        <f>IF(OR('Base Encuesta'!R393="",IFERROR(VALUE(LEFT('Base Encuesta'!K393,1)),"")&gt;=3),"",VALUE(LEFT('Base Encuesta'!R393,1)))</f>
        <v/>
      </c>
      <c r="M419" t="str">
        <f>IF(OR('Base Encuesta'!S393="",IFERROR(VALUE(LEFT('Base Encuesta'!K393,1)),"")&gt;=3),"",VALUE(LEFT('Base Encuesta'!S393,1)))</f>
        <v/>
      </c>
      <c r="N419" t="str">
        <f>IF(OR('Base Encuesta'!T393="",IFERROR(VALUE(LEFT('Base Encuesta'!K393,1)),"")&gt;=3),"",VALUE(LEFT('Base Encuesta'!T393,1)))</f>
        <v/>
      </c>
      <c r="O419" t="str">
        <f>IF(OR('Base Encuesta'!V393="",IFERROR(VALUE(LEFT('Base Encuesta'!K393,1)),"")&gt;=3),"",VALUE(LEFT('Base Encuesta'!V393,1)))</f>
        <v/>
      </c>
      <c r="P419" t="str">
        <f>IF(OR('Base Encuesta'!W393="",IFERROR(VALUE(LEFT('Base Encuesta'!K393,1)),"")&gt;=3),"",VALUE(LEFT('Base Encuesta'!W393,1)))</f>
        <v/>
      </c>
      <c r="Q419" t="str">
        <f>IF(OR('Base Encuesta'!X393="",IFERROR(VALUE(LEFT('Base Encuesta'!K393,1)),"")&gt;=3),"",VALUE(LEFT('Base Encuesta'!X393,1)))</f>
        <v/>
      </c>
      <c r="R419" t="str">
        <f>IF(OR('Base Encuesta'!Y393="",IFERROR(VALUE(LEFT('Base Encuesta'!K393,1)),"")&gt;=3),"",VALUE(LEFT('Base Encuesta'!Y393,1)))</f>
        <v/>
      </c>
      <c r="S419" t="str">
        <f>IF(OR('Base Encuesta'!Z393="",IFERROR(VALUE(LEFT('Base Encuesta'!K393,1)),"")&gt;=3),"",VALUE(LEFT('Base Encuesta'!Z393,1)))</f>
        <v/>
      </c>
      <c r="T419" t="str">
        <f>IF(OR('Base Encuesta'!AA393="",IFERROR(VALUE(LEFT('Base Encuesta'!K393,1)),"")&gt;=3),"",VALUE(LEFT('Base Encuesta'!AA393,1)))</f>
        <v/>
      </c>
      <c r="U419" t="str">
        <f>IF(OR('Base Encuesta'!AB393="",IFERROR(VALUE(LEFT('Base Encuesta'!K393,1)),"")&gt;=3),"",VALUE(LEFT('Base Encuesta'!AB393,1)))</f>
        <v/>
      </c>
      <c r="V419" t="str">
        <f>IF(OR('Base Encuesta'!AC393="",IFERROR(VALUE(LEFT('Base Encuesta'!K393,1)),"")&gt;=3),"",VALUE(LEFT('Base Encuesta'!AC393,1)))</f>
        <v/>
      </c>
      <c r="W419" t="str">
        <f>IF(OR('Base Encuesta'!AE393="",IFERROR(VALUE(LEFT('Base Encuesta'!K393,1)),"")&gt;=3),"",VALUE(LEFT('Base Encuesta'!AE393,1)))</f>
        <v/>
      </c>
      <c r="X419" t="str">
        <f>IF(OR('Base Encuesta'!AF393="",IFERROR(VALUE(LEFT('Base Encuesta'!K393,1)),"")&gt;=3),"",IF(W419=1,VALUE(LEFT('Base Encuesta'!AF393,1)),""))</f>
        <v/>
      </c>
      <c r="Y419" t="str">
        <f>IF(OR('Base Encuesta'!AG393="",IFERROR(VALUE(LEFT('Base Encuesta'!K393,1)),"")&gt;=3),"",IF(W419=1,VALUE(LEFT('Base Encuesta'!AG393,1)),""))</f>
        <v/>
      </c>
      <c r="Z419" t="str">
        <f>IF(OR('Base Encuesta'!AH393="",IFERROR(VALUE(LEFT('Base Encuesta'!K393,1)),"")&gt;=3),"",IF(W419=1,VALUE(LEFT('Base Encuesta'!AH393,1)),""))</f>
        <v/>
      </c>
      <c r="AA419" t="str">
        <f>IF(OR('Base Encuesta'!AI393="",IFERROR(VALUE(LEFT('Base Encuesta'!K393,1)),"")&gt;=3),"",IF(W419=1,VALUE(LEFT('Base Encuesta'!AI393,1)),""))</f>
        <v/>
      </c>
      <c r="AB419" t="str">
        <f>IF(OR('Base Encuesta'!AJ393="",IFERROR(VALUE(LEFT('Base Encuesta'!K393,1)),"")&gt;=3),"",IF(W419=1,VALUE(LEFT('Base Encuesta'!AJ393,1)),""))</f>
        <v/>
      </c>
      <c r="AC419" t="str">
        <f>IF(OR('Base Encuesta'!AL393="",IFERROR(VALUE(LEFT('Base Encuesta'!K393,1)),"")&gt;=3),"",VALUE(LEFT('Base Encuesta'!AL393,1)))</f>
        <v/>
      </c>
      <c r="AD419" t="str">
        <f>IF(OR('Base Encuesta'!AM393="",IFERROR(VALUE(LEFT('Base Encuesta'!K393,1)),"")&gt;=3),"",VALUE(LEFT('Base Encuesta'!AM393,1)))</f>
        <v/>
      </c>
      <c r="AE419" t="str">
        <f>IF(OR('Base Encuesta'!AN393="",IFERROR(VALUE(LEFT('Base Encuesta'!K393,1)),"")&gt;=3),"",VALUE(LEFT('Base Encuesta'!AN393,1)))</f>
        <v/>
      </c>
      <c r="AF419" t="str">
        <f>IF(OR('Base Encuesta'!AO393="",IFERROR(VALUE(LEFT('Base Encuesta'!K393,1)),"")&gt;=3),"",VALUE(LEFT('Base Encuesta'!AO393,1)))</f>
        <v/>
      </c>
      <c r="AG419" t="str">
        <f>IF(OR('Base Encuesta'!AQ393="",IFERROR(VALUE(LEFT('Base Encuesta'!K393,1)),"")&gt;=3),"",VALUE(LEFT('Base Encuesta'!AQ393,1)))</f>
        <v/>
      </c>
      <c r="AH419" t="str">
        <f>IF(OR('Base Encuesta'!AR393="",IFERROR(VALUE(LEFT('Base Encuesta'!K393,1)),"")&gt;=3),"",VALUE(LEFT('Base Encuesta'!AR393,1)))</f>
        <v/>
      </c>
    </row>
    <row r="420" spans="1:34">
      <c r="A420" t="str">
        <f>IF('Base Encuesta'!C394="","",'Base Encuesta'!C394)</f>
        <v/>
      </c>
      <c r="B420" t="str">
        <f>IF('Base Encuesta'!D394="","",'Base Encuesta'!D394)</f>
        <v/>
      </c>
      <c r="C420" t="str">
        <f>IF('Base Encuesta'!E394="","",'Base Encuesta'!E394)</f>
        <v/>
      </c>
      <c r="D420" t="str">
        <f>IF('Base Encuesta'!F394="","",'Base Encuesta'!F394)</f>
        <v/>
      </c>
      <c r="E420" t="str">
        <f>IF('Base Encuesta'!G394="","",'Base Encuesta'!G394)</f>
        <v/>
      </c>
      <c r="F420" t="str">
        <f>IF('Base Encuesta'!H394="","",'Base Encuesta'!H394)</f>
        <v/>
      </c>
      <c r="G420" t="str">
        <f>IF('Base Encuesta'!I394="","",'Base Encuesta'!I394)</f>
        <v/>
      </c>
      <c r="H420" t="str">
        <f>IF('Base Encuesta'!J394="","",'Base Encuesta'!J394)</f>
        <v/>
      </c>
      <c r="I420" t="str">
        <f>IF('Base Encuesta'!K394="","",'Base Encuesta'!K394)</f>
        <v/>
      </c>
      <c r="J420" t="str">
        <f>IF(OR('Base Encuesta'!P394="",IFERROR(VALUE(LEFT('Base Encuesta'!K394,1)),"")&gt;=3),"",PROPER(TRIM('Base Encuesta'!P394)))</f>
        <v/>
      </c>
      <c r="K420" t="str">
        <f>IF(OR('Base Encuesta'!Q394="",IFERROR(VALUE(LEFT('Base Encuesta'!K394,1)),"")&gt;=3),"",'Base Encuesta'!Q394)</f>
        <v/>
      </c>
      <c r="L420" t="str">
        <f>IF(OR('Base Encuesta'!R394="",IFERROR(VALUE(LEFT('Base Encuesta'!K394,1)),"")&gt;=3),"",VALUE(LEFT('Base Encuesta'!R394,1)))</f>
        <v/>
      </c>
      <c r="M420" t="str">
        <f>IF(OR('Base Encuesta'!S394="",IFERROR(VALUE(LEFT('Base Encuesta'!K394,1)),"")&gt;=3),"",VALUE(LEFT('Base Encuesta'!S394,1)))</f>
        <v/>
      </c>
      <c r="N420" t="str">
        <f>IF(OR('Base Encuesta'!T394="",IFERROR(VALUE(LEFT('Base Encuesta'!K394,1)),"")&gt;=3),"",VALUE(LEFT('Base Encuesta'!T394,1)))</f>
        <v/>
      </c>
      <c r="O420" t="str">
        <f>IF(OR('Base Encuesta'!V394="",IFERROR(VALUE(LEFT('Base Encuesta'!K394,1)),"")&gt;=3),"",VALUE(LEFT('Base Encuesta'!V394,1)))</f>
        <v/>
      </c>
      <c r="P420" t="str">
        <f>IF(OR('Base Encuesta'!W394="",IFERROR(VALUE(LEFT('Base Encuesta'!K394,1)),"")&gt;=3),"",VALUE(LEFT('Base Encuesta'!W394,1)))</f>
        <v/>
      </c>
      <c r="Q420" t="str">
        <f>IF(OR('Base Encuesta'!X394="",IFERROR(VALUE(LEFT('Base Encuesta'!K394,1)),"")&gt;=3),"",VALUE(LEFT('Base Encuesta'!X394,1)))</f>
        <v/>
      </c>
      <c r="R420" t="str">
        <f>IF(OR('Base Encuesta'!Y394="",IFERROR(VALUE(LEFT('Base Encuesta'!K394,1)),"")&gt;=3),"",VALUE(LEFT('Base Encuesta'!Y394,1)))</f>
        <v/>
      </c>
      <c r="S420" t="str">
        <f>IF(OR('Base Encuesta'!Z394="",IFERROR(VALUE(LEFT('Base Encuesta'!K394,1)),"")&gt;=3),"",VALUE(LEFT('Base Encuesta'!Z394,1)))</f>
        <v/>
      </c>
      <c r="T420" t="str">
        <f>IF(OR('Base Encuesta'!AA394="",IFERROR(VALUE(LEFT('Base Encuesta'!K394,1)),"")&gt;=3),"",VALUE(LEFT('Base Encuesta'!AA394,1)))</f>
        <v/>
      </c>
      <c r="U420" t="str">
        <f>IF(OR('Base Encuesta'!AB394="",IFERROR(VALUE(LEFT('Base Encuesta'!K394,1)),"")&gt;=3),"",VALUE(LEFT('Base Encuesta'!AB394,1)))</f>
        <v/>
      </c>
      <c r="V420" t="str">
        <f>IF(OR('Base Encuesta'!AC394="",IFERROR(VALUE(LEFT('Base Encuesta'!K394,1)),"")&gt;=3),"",VALUE(LEFT('Base Encuesta'!AC394,1)))</f>
        <v/>
      </c>
      <c r="W420" t="str">
        <f>IF(OR('Base Encuesta'!AE394="",IFERROR(VALUE(LEFT('Base Encuesta'!K394,1)),"")&gt;=3),"",VALUE(LEFT('Base Encuesta'!AE394,1)))</f>
        <v/>
      </c>
      <c r="X420" t="str">
        <f>IF(OR('Base Encuesta'!AF394="",IFERROR(VALUE(LEFT('Base Encuesta'!K394,1)),"")&gt;=3),"",IF(W420=1,VALUE(LEFT('Base Encuesta'!AF394,1)),""))</f>
        <v/>
      </c>
      <c r="Y420" t="str">
        <f>IF(OR('Base Encuesta'!AG394="",IFERROR(VALUE(LEFT('Base Encuesta'!K394,1)),"")&gt;=3),"",IF(W420=1,VALUE(LEFT('Base Encuesta'!AG394,1)),""))</f>
        <v/>
      </c>
      <c r="Z420" t="str">
        <f>IF(OR('Base Encuesta'!AH394="",IFERROR(VALUE(LEFT('Base Encuesta'!K394,1)),"")&gt;=3),"",IF(W420=1,VALUE(LEFT('Base Encuesta'!AH394,1)),""))</f>
        <v/>
      </c>
      <c r="AA420" t="str">
        <f>IF(OR('Base Encuesta'!AI394="",IFERROR(VALUE(LEFT('Base Encuesta'!K394,1)),"")&gt;=3),"",IF(W420=1,VALUE(LEFT('Base Encuesta'!AI394,1)),""))</f>
        <v/>
      </c>
      <c r="AB420" t="str">
        <f>IF(OR('Base Encuesta'!AJ394="",IFERROR(VALUE(LEFT('Base Encuesta'!K394,1)),"")&gt;=3),"",IF(W420=1,VALUE(LEFT('Base Encuesta'!AJ394,1)),""))</f>
        <v/>
      </c>
      <c r="AC420" t="str">
        <f>IF(OR('Base Encuesta'!AL394="",IFERROR(VALUE(LEFT('Base Encuesta'!K394,1)),"")&gt;=3),"",VALUE(LEFT('Base Encuesta'!AL394,1)))</f>
        <v/>
      </c>
      <c r="AD420" t="str">
        <f>IF(OR('Base Encuesta'!AM394="",IFERROR(VALUE(LEFT('Base Encuesta'!K394,1)),"")&gt;=3),"",VALUE(LEFT('Base Encuesta'!AM394,1)))</f>
        <v/>
      </c>
      <c r="AE420" t="str">
        <f>IF(OR('Base Encuesta'!AN394="",IFERROR(VALUE(LEFT('Base Encuesta'!K394,1)),"")&gt;=3),"",VALUE(LEFT('Base Encuesta'!AN394,1)))</f>
        <v/>
      </c>
      <c r="AF420" t="str">
        <f>IF(OR('Base Encuesta'!AO394="",IFERROR(VALUE(LEFT('Base Encuesta'!K394,1)),"")&gt;=3),"",VALUE(LEFT('Base Encuesta'!AO394,1)))</f>
        <v/>
      </c>
      <c r="AG420" t="str">
        <f>IF(OR('Base Encuesta'!AQ394="",IFERROR(VALUE(LEFT('Base Encuesta'!K394,1)),"")&gt;=3),"",VALUE(LEFT('Base Encuesta'!AQ394,1)))</f>
        <v/>
      </c>
      <c r="AH420" t="str">
        <f>IF(OR('Base Encuesta'!AR394="",IFERROR(VALUE(LEFT('Base Encuesta'!K394,1)),"")&gt;=3),"",VALUE(LEFT('Base Encuesta'!AR394,1)))</f>
        <v/>
      </c>
    </row>
    <row r="421" spans="1:34">
      <c r="A421" t="str">
        <f>IF('Base Encuesta'!C395="","",'Base Encuesta'!C395)</f>
        <v/>
      </c>
      <c r="B421" t="str">
        <f>IF('Base Encuesta'!D395="","",'Base Encuesta'!D395)</f>
        <v/>
      </c>
      <c r="C421" t="str">
        <f>IF('Base Encuesta'!E395="","",'Base Encuesta'!E395)</f>
        <v/>
      </c>
      <c r="D421" t="str">
        <f>IF('Base Encuesta'!F395="","",'Base Encuesta'!F395)</f>
        <v/>
      </c>
      <c r="E421" t="str">
        <f>IF('Base Encuesta'!G395="","",'Base Encuesta'!G395)</f>
        <v/>
      </c>
      <c r="F421" t="str">
        <f>IF('Base Encuesta'!H395="","",'Base Encuesta'!H395)</f>
        <v/>
      </c>
      <c r="G421" t="str">
        <f>IF('Base Encuesta'!I395="","",'Base Encuesta'!I395)</f>
        <v/>
      </c>
      <c r="H421" t="str">
        <f>IF('Base Encuesta'!J395="","",'Base Encuesta'!J395)</f>
        <v/>
      </c>
      <c r="I421" t="str">
        <f>IF('Base Encuesta'!K395="","",'Base Encuesta'!K395)</f>
        <v/>
      </c>
      <c r="J421" t="str">
        <f>IF(OR('Base Encuesta'!P395="",IFERROR(VALUE(LEFT('Base Encuesta'!K395,1)),"")&gt;=3),"",PROPER(TRIM('Base Encuesta'!P395)))</f>
        <v/>
      </c>
      <c r="K421" t="str">
        <f>IF(OR('Base Encuesta'!Q395="",IFERROR(VALUE(LEFT('Base Encuesta'!K395,1)),"")&gt;=3),"",'Base Encuesta'!Q395)</f>
        <v/>
      </c>
      <c r="L421" t="str">
        <f>IF(OR('Base Encuesta'!R395="",IFERROR(VALUE(LEFT('Base Encuesta'!K395,1)),"")&gt;=3),"",VALUE(LEFT('Base Encuesta'!R395,1)))</f>
        <v/>
      </c>
      <c r="M421" t="str">
        <f>IF(OR('Base Encuesta'!S395="",IFERROR(VALUE(LEFT('Base Encuesta'!K395,1)),"")&gt;=3),"",VALUE(LEFT('Base Encuesta'!S395,1)))</f>
        <v/>
      </c>
      <c r="N421" t="str">
        <f>IF(OR('Base Encuesta'!T395="",IFERROR(VALUE(LEFT('Base Encuesta'!K395,1)),"")&gt;=3),"",VALUE(LEFT('Base Encuesta'!T395,1)))</f>
        <v/>
      </c>
      <c r="O421" t="str">
        <f>IF(OR('Base Encuesta'!V395="",IFERROR(VALUE(LEFT('Base Encuesta'!K395,1)),"")&gt;=3),"",VALUE(LEFT('Base Encuesta'!V395,1)))</f>
        <v/>
      </c>
      <c r="P421" t="str">
        <f>IF(OR('Base Encuesta'!W395="",IFERROR(VALUE(LEFT('Base Encuesta'!K395,1)),"")&gt;=3),"",VALUE(LEFT('Base Encuesta'!W395,1)))</f>
        <v/>
      </c>
      <c r="Q421" t="str">
        <f>IF(OR('Base Encuesta'!X395="",IFERROR(VALUE(LEFT('Base Encuesta'!K395,1)),"")&gt;=3),"",VALUE(LEFT('Base Encuesta'!X395,1)))</f>
        <v/>
      </c>
      <c r="R421" t="str">
        <f>IF(OR('Base Encuesta'!Y395="",IFERROR(VALUE(LEFT('Base Encuesta'!K395,1)),"")&gt;=3),"",VALUE(LEFT('Base Encuesta'!Y395,1)))</f>
        <v/>
      </c>
      <c r="S421" t="str">
        <f>IF(OR('Base Encuesta'!Z395="",IFERROR(VALUE(LEFT('Base Encuesta'!K395,1)),"")&gt;=3),"",VALUE(LEFT('Base Encuesta'!Z395,1)))</f>
        <v/>
      </c>
      <c r="T421" t="str">
        <f>IF(OR('Base Encuesta'!AA395="",IFERROR(VALUE(LEFT('Base Encuesta'!K395,1)),"")&gt;=3),"",VALUE(LEFT('Base Encuesta'!AA395,1)))</f>
        <v/>
      </c>
      <c r="U421" t="str">
        <f>IF(OR('Base Encuesta'!AB395="",IFERROR(VALUE(LEFT('Base Encuesta'!K395,1)),"")&gt;=3),"",VALUE(LEFT('Base Encuesta'!AB395,1)))</f>
        <v/>
      </c>
      <c r="V421" t="str">
        <f>IF(OR('Base Encuesta'!AC395="",IFERROR(VALUE(LEFT('Base Encuesta'!K395,1)),"")&gt;=3),"",VALUE(LEFT('Base Encuesta'!AC395,1)))</f>
        <v/>
      </c>
      <c r="W421" t="str">
        <f>IF(OR('Base Encuesta'!AE395="",IFERROR(VALUE(LEFT('Base Encuesta'!K395,1)),"")&gt;=3),"",VALUE(LEFT('Base Encuesta'!AE395,1)))</f>
        <v/>
      </c>
      <c r="X421" t="str">
        <f>IF(OR('Base Encuesta'!AF395="",IFERROR(VALUE(LEFT('Base Encuesta'!K395,1)),"")&gt;=3),"",IF(W421=1,VALUE(LEFT('Base Encuesta'!AF395,1)),""))</f>
        <v/>
      </c>
      <c r="Y421" t="str">
        <f>IF(OR('Base Encuesta'!AG395="",IFERROR(VALUE(LEFT('Base Encuesta'!K395,1)),"")&gt;=3),"",IF(W421=1,VALUE(LEFT('Base Encuesta'!AG395,1)),""))</f>
        <v/>
      </c>
      <c r="Z421" t="str">
        <f>IF(OR('Base Encuesta'!AH395="",IFERROR(VALUE(LEFT('Base Encuesta'!K395,1)),"")&gt;=3),"",IF(W421=1,VALUE(LEFT('Base Encuesta'!AH395,1)),""))</f>
        <v/>
      </c>
      <c r="AA421" t="str">
        <f>IF(OR('Base Encuesta'!AI395="",IFERROR(VALUE(LEFT('Base Encuesta'!K395,1)),"")&gt;=3),"",IF(W421=1,VALUE(LEFT('Base Encuesta'!AI395,1)),""))</f>
        <v/>
      </c>
      <c r="AB421" t="str">
        <f>IF(OR('Base Encuesta'!AJ395="",IFERROR(VALUE(LEFT('Base Encuesta'!K395,1)),"")&gt;=3),"",IF(W421=1,VALUE(LEFT('Base Encuesta'!AJ395,1)),""))</f>
        <v/>
      </c>
      <c r="AC421" t="str">
        <f>IF(OR('Base Encuesta'!AL395="",IFERROR(VALUE(LEFT('Base Encuesta'!K395,1)),"")&gt;=3),"",VALUE(LEFT('Base Encuesta'!AL395,1)))</f>
        <v/>
      </c>
      <c r="AD421" t="str">
        <f>IF(OR('Base Encuesta'!AM395="",IFERROR(VALUE(LEFT('Base Encuesta'!K395,1)),"")&gt;=3),"",VALUE(LEFT('Base Encuesta'!AM395,1)))</f>
        <v/>
      </c>
      <c r="AE421" t="str">
        <f>IF(OR('Base Encuesta'!AN395="",IFERROR(VALUE(LEFT('Base Encuesta'!K395,1)),"")&gt;=3),"",VALUE(LEFT('Base Encuesta'!AN395,1)))</f>
        <v/>
      </c>
      <c r="AF421" t="str">
        <f>IF(OR('Base Encuesta'!AO395="",IFERROR(VALUE(LEFT('Base Encuesta'!K395,1)),"")&gt;=3),"",VALUE(LEFT('Base Encuesta'!AO395,1)))</f>
        <v/>
      </c>
      <c r="AG421" t="str">
        <f>IF(OR('Base Encuesta'!AQ395="",IFERROR(VALUE(LEFT('Base Encuesta'!K395,1)),"")&gt;=3),"",VALUE(LEFT('Base Encuesta'!AQ395,1)))</f>
        <v/>
      </c>
      <c r="AH421" t="str">
        <f>IF(OR('Base Encuesta'!AR395="",IFERROR(VALUE(LEFT('Base Encuesta'!K395,1)),"")&gt;=3),"",VALUE(LEFT('Base Encuesta'!AR395,1)))</f>
        <v/>
      </c>
    </row>
    <row r="422" spans="1:34">
      <c r="A422" t="str">
        <f>IF('Base Encuesta'!C396="","",'Base Encuesta'!C396)</f>
        <v/>
      </c>
      <c r="B422" t="str">
        <f>IF('Base Encuesta'!D396="","",'Base Encuesta'!D396)</f>
        <v/>
      </c>
      <c r="C422" t="str">
        <f>IF('Base Encuesta'!E396="","",'Base Encuesta'!E396)</f>
        <v/>
      </c>
      <c r="D422" t="str">
        <f>IF('Base Encuesta'!F396="","",'Base Encuesta'!F396)</f>
        <v/>
      </c>
      <c r="E422" t="str">
        <f>IF('Base Encuesta'!G396="","",'Base Encuesta'!G396)</f>
        <v/>
      </c>
      <c r="F422" t="str">
        <f>IF('Base Encuesta'!H396="","",'Base Encuesta'!H396)</f>
        <v/>
      </c>
      <c r="G422" t="str">
        <f>IF('Base Encuesta'!I396="","",'Base Encuesta'!I396)</f>
        <v/>
      </c>
      <c r="H422" t="str">
        <f>IF('Base Encuesta'!J396="","",'Base Encuesta'!J396)</f>
        <v/>
      </c>
      <c r="I422" t="str">
        <f>IF('Base Encuesta'!K396="","",'Base Encuesta'!K396)</f>
        <v/>
      </c>
      <c r="J422" t="str">
        <f>IF(OR('Base Encuesta'!P396="",IFERROR(VALUE(LEFT('Base Encuesta'!K396,1)),"")&gt;=3),"",PROPER(TRIM('Base Encuesta'!P396)))</f>
        <v/>
      </c>
      <c r="K422" t="str">
        <f>IF(OR('Base Encuesta'!Q396="",IFERROR(VALUE(LEFT('Base Encuesta'!K396,1)),"")&gt;=3),"",'Base Encuesta'!Q396)</f>
        <v/>
      </c>
      <c r="L422" t="str">
        <f>IF(OR('Base Encuesta'!R396="",IFERROR(VALUE(LEFT('Base Encuesta'!K396,1)),"")&gt;=3),"",VALUE(LEFT('Base Encuesta'!R396,1)))</f>
        <v/>
      </c>
      <c r="M422" t="str">
        <f>IF(OR('Base Encuesta'!S396="",IFERROR(VALUE(LEFT('Base Encuesta'!K396,1)),"")&gt;=3),"",VALUE(LEFT('Base Encuesta'!S396,1)))</f>
        <v/>
      </c>
      <c r="N422" t="str">
        <f>IF(OR('Base Encuesta'!T396="",IFERROR(VALUE(LEFT('Base Encuesta'!K396,1)),"")&gt;=3),"",VALUE(LEFT('Base Encuesta'!T396,1)))</f>
        <v/>
      </c>
      <c r="O422" t="str">
        <f>IF(OR('Base Encuesta'!V396="",IFERROR(VALUE(LEFT('Base Encuesta'!K396,1)),"")&gt;=3),"",VALUE(LEFT('Base Encuesta'!V396,1)))</f>
        <v/>
      </c>
      <c r="P422" t="str">
        <f>IF(OR('Base Encuesta'!W396="",IFERROR(VALUE(LEFT('Base Encuesta'!K396,1)),"")&gt;=3),"",VALUE(LEFT('Base Encuesta'!W396,1)))</f>
        <v/>
      </c>
      <c r="Q422" t="str">
        <f>IF(OR('Base Encuesta'!X396="",IFERROR(VALUE(LEFT('Base Encuesta'!K396,1)),"")&gt;=3),"",VALUE(LEFT('Base Encuesta'!X396,1)))</f>
        <v/>
      </c>
      <c r="R422" t="str">
        <f>IF(OR('Base Encuesta'!Y396="",IFERROR(VALUE(LEFT('Base Encuesta'!K396,1)),"")&gt;=3),"",VALUE(LEFT('Base Encuesta'!Y396,1)))</f>
        <v/>
      </c>
      <c r="S422" t="str">
        <f>IF(OR('Base Encuesta'!Z396="",IFERROR(VALUE(LEFT('Base Encuesta'!K396,1)),"")&gt;=3),"",VALUE(LEFT('Base Encuesta'!Z396,1)))</f>
        <v/>
      </c>
      <c r="T422" t="str">
        <f>IF(OR('Base Encuesta'!AA396="",IFERROR(VALUE(LEFT('Base Encuesta'!K396,1)),"")&gt;=3),"",VALUE(LEFT('Base Encuesta'!AA396,1)))</f>
        <v/>
      </c>
      <c r="U422" t="str">
        <f>IF(OR('Base Encuesta'!AB396="",IFERROR(VALUE(LEFT('Base Encuesta'!K396,1)),"")&gt;=3),"",VALUE(LEFT('Base Encuesta'!AB396,1)))</f>
        <v/>
      </c>
      <c r="V422" t="str">
        <f>IF(OR('Base Encuesta'!AC396="",IFERROR(VALUE(LEFT('Base Encuesta'!K396,1)),"")&gt;=3),"",VALUE(LEFT('Base Encuesta'!AC396,1)))</f>
        <v/>
      </c>
      <c r="W422" t="str">
        <f>IF(OR('Base Encuesta'!AE396="",IFERROR(VALUE(LEFT('Base Encuesta'!K396,1)),"")&gt;=3),"",VALUE(LEFT('Base Encuesta'!AE396,1)))</f>
        <v/>
      </c>
      <c r="X422" t="str">
        <f>IF(OR('Base Encuesta'!AF396="",IFERROR(VALUE(LEFT('Base Encuesta'!K396,1)),"")&gt;=3),"",IF(W422=1,VALUE(LEFT('Base Encuesta'!AF396,1)),""))</f>
        <v/>
      </c>
      <c r="Y422" t="str">
        <f>IF(OR('Base Encuesta'!AG396="",IFERROR(VALUE(LEFT('Base Encuesta'!K396,1)),"")&gt;=3),"",IF(W422=1,VALUE(LEFT('Base Encuesta'!AG396,1)),""))</f>
        <v/>
      </c>
      <c r="Z422" t="str">
        <f>IF(OR('Base Encuesta'!AH396="",IFERROR(VALUE(LEFT('Base Encuesta'!K396,1)),"")&gt;=3),"",IF(W422=1,VALUE(LEFT('Base Encuesta'!AH396,1)),""))</f>
        <v/>
      </c>
      <c r="AA422" t="str">
        <f>IF(OR('Base Encuesta'!AI396="",IFERROR(VALUE(LEFT('Base Encuesta'!K396,1)),"")&gt;=3),"",IF(W422=1,VALUE(LEFT('Base Encuesta'!AI396,1)),""))</f>
        <v/>
      </c>
      <c r="AB422" t="str">
        <f>IF(OR('Base Encuesta'!AJ396="",IFERROR(VALUE(LEFT('Base Encuesta'!K396,1)),"")&gt;=3),"",IF(W422=1,VALUE(LEFT('Base Encuesta'!AJ396,1)),""))</f>
        <v/>
      </c>
      <c r="AC422" t="str">
        <f>IF(OR('Base Encuesta'!AL396="",IFERROR(VALUE(LEFT('Base Encuesta'!K396,1)),"")&gt;=3),"",VALUE(LEFT('Base Encuesta'!AL396,1)))</f>
        <v/>
      </c>
      <c r="AD422" t="str">
        <f>IF(OR('Base Encuesta'!AM396="",IFERROR(VALUE(LEFT('Base Encuesta'!K396,1)),"")&gt;=3),"",VALUE(LEFT('Base Encuesta'!AM396,1)))</f>
        <v/>
      </c>
      <c r="AE422" t="str">
        <f>IF(OR('Base Encuesta'!AN396="",IFERROR(VALUE(LEFT('Base Encuesta'!K396,1)),"")&gt;=3),"",VALUE(LEFT('Base Encuesta'!AN396,1)))</f>
        <v/>
      </c>
      <c r="AF422" t="str">
        <f>IF(OR('Base Encuesta'!AO396="",IFERROR(VALUE(LEFT('Base Encuesta'!K396,1)),"")&gt;=3),"",VALUE(LEFT('Base Encuesta'!AO396,1)))</f>
        <v/>
      </c>
      <c r="AG422" t="str">
        <f>IF(OR('Base Encuesta'!AQ396="",IFERROR(VALUE(LEFT('Base Encuesta'!K396,1)),"")&gt;=3),"",VALUE(LEFT('Base Encuesta'!AQ396,1)))</f>
        <v/>
      </c>
      <c r="AH422" t="str">
        <f>IF(OR('Base Encuesta'!AR396="",IFERROR(VALUE(LEFT('Base Encuesta'!K396,1)),"")&gt;=3),"",VALUE(LEFT('Base Encuesta'!AR396,1)))</f>
        <v/>
      </c>
    </row>
    <row r="423" spans="1:34">
      <c r="A423" t="str">
        <f>IF('Base Encuesta'!C397="","",'Base Encuesta'!C397)</f>
        <v/>
      </c>
      <c r="B423" t="str">
        <f>IF('Base Encuesta'!D397="","",'Base Encuesta'!D397)</f>
        <v/>
      </c>
      <c r="C423" t="str">
        <f>IF('Base Encuesta'!E397="","",'Base Encuesta'!E397)</f>
        <v/>
      </c>
      <c r="D423" t="str">
        <f>IF('Base Encuesta'!F397="","",'Base Encuesta'!F397)</f>
        <v/>
      </c>
      <c r="E423" t="str">
        <f>IF('Base Encuesta'!G397="","",'Base Encuesta'!G397)</f>
        <v/>
      </c>
      <c r="F423" t="str">
        <f>IF('Base Encuesta'!H397="","",'Base Encuesta'!H397)</f>
        <v/>
      </c>
      <c r="G423" t="str">
        <f>IF('Base Encuesta'!I397="","",'Base Encuesta'!I397)</f>
        <v/>
      </c>
      <c r="H423" t="str">
        <f>IF('Base Encuesta'!J397="","",'Base Encuesta'!J397)</f>
        <v/>
      </c>
      <c r="I423" t="str">
        <f>IF('Base Encuesta'!K397="","",'Base Encuesta'!K397)</f>
        <v/>
      </c>
      <c r="J423" t="str">
        <f>IF(OR('Base Encuesta'!P397="",IFERROR(VALUE(LEFT('Base Encuesta'!K397,1)),"")&gt;=3),"",PROPER(TRIM('Base Encuesta'!P397)))</f>
        <v/>
      </c>
      <c r="K423" t="str">
        <f>IF(OR('Base Encuesta'!Q397="",IFERROR(VALUE(LEFT('Base Encuesta'!K397,1)),"")&gt;=3),"",'Base Encuesta'!Q397)</f>
        <v/>
      </c>
      <c r="L423" t="str">
        <f>IF(OR('Base Encuesta'!R397="",IFERROR(VALUE(LEFT('Base Encuesta'!K397,1)),"")&gt;=3),"",VALUE(LEFT('Base Encuesta'!R397,1)))</f>
        <v/>
      </c>
      <c r="M423" t="str">
        <f>IF(OR('Base Encuesta'!S397="",IFERROR(VALUE(LEFT('Base Encuesta'!K397,1)),"")&gt;=3),"",VALUE(LEFT('Base Encuesta'!S397,1)))</f>
        <v/>
      </c>
      <c r="N423" t="str">
        <f>IF(OR('Base Encuesta'!T397="",IFERROR(VALUE(LEFT('Base Encuesta'!K397,1)),"")&gt;=3),"",VALUE(LEFT('Base Encuesta'!T397,1)))</f>
        <v/>
      </c>
      <c r="O423" t="str">
        <f>IF(OR('Base Encuesta'!V397="",IFERROR(VALUE(LEFT('Base Encuesta'!K397,1)),"")&gt;=3),"",VALUE(LEFT('Base Encuesta'!V397,1)))</f>
        <v/>
      </c>
      <c r="P423" t="str">
        <f>IF(OR('Base Encuesta'!W397="",IFERROR(VALUE(LEFT('Base Encuesta'!K397,1)),"")&gt;=3),"",VALUE(LEFT('Base Encuesta'!W397,1)))</f>
        <v/>
      </c>
      <c r="Q423" t="str">
        <f>IF(OR('Base Encuesta'!X397="",IFERROR(VALUE(LEFT('Base Encuesta'!K397,1)),"")&gt;=3),"",VALUE(LEFT('Base Encuesta'!X397,1)))</f>
        <v/>
      </c>
      <c r="R423" t="str">
        <f>IF(OR('Base Encuesta'!Y397="",IFERROR(VALUE(LEFT('Base Encuesta'!K397,1)),"")&gt;=3),"",VALUE(LEFT('Base Encuesta'!Y397,1)))</f>
        <v/>
      </c>
      <c r="S423" t="str">
        <f>IF(OR('Base Encuesta'!Z397="",IFERROR(VALUE(LEFT('Base Encuesta'!K397,1)),"")&gt;=3),"",VALUE(LEFT('Base Encuesta'!Z397,1)))</f>
        <v/>
      </c>
      <c r="T423" t="str">
        <f>IF(OR('Base Encuesta'!AA397="",IFERROR(VALUE(LEFT('Base Encuesta'!K397,1)),"")&gt;=3),"",VALUE(LEFT('Base Encuesta'!AA397,1)))</f>
        <v/>
      </c>
      <c r="U423" t="str">
        <f>IF(OR('Base Encuesta'!AB397="",IFERROR(VALUE(LEFT('Base Encuesta'!K397,1)),"")&gt;=3),"",VALUE(LEFT('Base Encuesta'!AB397,1)))</f>
        <v/>
      </c>
      <c r="V423" t="str">
        <f>IF(OR('Base Encuesta'!AC397="",IFERROR(VALUE(LEFT('Base Encuesta'!K397,1)),"")&gt;=3),"",VALUE(LEFT('Base Encuesta'!AC397,1)))</f>
        <v/>
      </c>
      <c r="W423" t="str">
        <f>IF(OR('Base Encuesta'!AE397="",IFERROR(VALUE(LEFT('Base Encuesta'!K397,1)),"")&gt;=3),"",VALUE(LEFT('Base Encuesta'!AE397,1)))</f>
        <v/>
      </c>
      <c r="X423" t="str">
        <f>IF(OR('Base Encuesta'!AF397="",IFERROR(VALUE(LEFT('Base Encuesta'!K397,1)),"")&gt;=3),"",IF(W423=1,VALUE(LEFT('Base Encuesta'!AF397,1)),""))</f>
        <v/>
      </c>
      <c r="Y423" t="str">
        <f>IF(OR('Base Encuesta'!AG397="",IFERROR(VALUE(LEFT('Base Encuesta'!K397,1)),"")&gt;=3),"",IF(W423=1,VALUE(LEFT('Base Encuesta'!AG397,1)),""))</f>
        <v/>
      </c>
      <c r="Z423" t="str">
        <f>IF(OR('Base Encuesta'!AH397="",IFERROR(VALUE(LEFT('Base Encuesta'!K397,1)),"")&gt;=3),"",IF(W423=1,VALUE(LEFT('Base Encuesta'!AH397,1)),""))</f>
        <v/>
      </c>
      <c r="AA423" t="str">
        <f>IF(OR('Base Encuesta'!AI397="",IFERROR(VALUE(LEFT('Base Encuesta'!K397,1)),"")&gt;=3),"",IF(W423=1,VALUE(LEFT('Base Encuesta'!AI397,1)),""))</f>
        <v/>
      </c>
      <c r="AB423" t="str">
        <f>IF(OR('Base Encuesta'!AJ397="",IFERROR(VALUE(LEFT('Base Encuesta'!K397,1)),"")&gt;=3),"",IF(W423=1,VALUE(LEFT('Base Encuesta'!AJ397,1)),""))</f>
        <v/>
      </c>
      <c r="AC423" t="str">
        <f>IF(OR('Base Encuesta'!AL397="",IFERROR(VALUE(LEFT('Base Encuesta'!K397,1)),"")&gt;=3),"",VALUE(LEFT('Base Encuesta'!AL397,1)))</f>
        <v/>
      </c>
      <c r="AD423" t="str">
        <f>IF(OR('Base Encuesta'!AM397="",IFERROR(VALUE(LEFT('Base Encuesta'!K397,1)),"")&gt;=3),"",VALUE(LEFT('Base Encuesta'!AM397,1)))</f>
        <v/>
      </c>
      <c r="AE423" t="str">
        <f>IF(OR('Base Encuesta'!AN397="",IFERROR(VALUE(LEFT('Base Encuesta'!K397,1)),"")&gt;=3),"",VALUE(LEFT('Base Encuesta'!AN397,1)))</f>
        <v/>
      </c>
      <c r="AF423" t="str">
        <f>IF(OR('Base Encuesta'!AO397="",IFERROR(VALUE(LEFT('Base Encuesta'!K397,1)),"")&gt;=3),"",VALUE(LEFT('Base Encuesta'!AO397,1)))</f>
        <v/>
      </c>
      <c r="AG423" t="str">
        <f>IF(OR('Base Encuesta'!AQ397="",IFERROR(VALUE(LEFT('Base Encuesta'!K397,1)),"")&gt;=3),"",VALUE(LEFT('Base Encuesta'!AQ397,1)))</f>
        <v/>
      </c>
      <c r="AH423" t="str">
        <f>IF(OR('Base Encuesta'!AR397="",IFERROR(VALUE(LEFT('Base Encuesta'!K397,1)),"")&gt;=3),"",VALUE(LEFT('Base Encuesta'!AR397,1)))</f>
        <v/>
      </c>
    </row>
    <row r="424" spans="1:34">
      <c r="A424" t="str">
        <f>IF('Base Encuesta'!C398="","",'Base Encuesta'!C398)</f>
        <v/>
      </c>
      <c r="B424" t="str">
        <f>IF('Base Encuesta'!D398="","",'Base Encuesta'!D398)</f>
        <v/>
      </c>
      <c r="C424" t="str">
        <f>IF('Base Encuesta'!E398="","",'Base Encuesta'!E398)</f>
        <v/>
      </c>
      <c r="D424" t="str">
        <f>IF('Base Encuesta'!F398="","",'Base Encuesta'!F398)</f>
        <v/>
      </c>
      <c r="E424" t="str">
        <f>IF('Base Encuesta'!G398="","",'Base Encuesta'!G398)</f>
        <v/>
      </c>
      <c r="F424" t="str">
        <f>IF('Base Encuesta'!H398="","",'Base Encuesta'!H398)</f>
        <v/>
      </c>
      <c r="G424" t="str">
        <f>IF('Base Encuesta'!I398="","",'Base Encuesta'!I398)</f>
        <v/>
      </c>
      <c r="H424" t="str">
        <f>IF('Base Encuesta'!J398="","",'Base Encuesta'!J398)</f>
        <v/>
      </c>
      <c r="I424" t="str">
        <f>IF('Base Encuesta'!K398="","",'Base Encuesta'!K398)</f>
        <v/>
      </c>
      <c r="J424" t="str">
        <f>IF(OR('Base Encuesta'!P398="",IFERROR(VALUE(LEFT('Base Encuesta'!K398,1)),"")&gt;=3),"",PROPER(TRIM('Base Encuesta'!P398)))</f>
        <v/>
      </c>
      <c r="K424" t="str">
        <f>IF(OR('Base Encuesta'!Q398="",IFERROR(VALUE(LEFT('Base Encuesta'!K398,1)),"")&gt;=3),"",'Base Encuesta'!Q398)</f>
        <v/>
      </c>
      <c r="L424" t="str">
        <f>IF(OR('Base Encuesta'!R398="",IFERROR(VALUE(LEFT('Base Encuesta'!K398,1)),"")&gt;=3),"",VALUE(LEFT('Base Encuesta'!R398,1)))</f>
        <v/>
      </c>
      <c r="M424" t="str">
        <f>IF(OR('Base Encuesta'!S398="",IFERROR(VALUE(LEFT('Base Encuesta'!K398,1)),"")&gt;=3),"",VALUE(LEFT('Base Encuesta'!S398,1)))</f>
        <v/>
      </c>
      <c r="N424" t="str">
        <f>IF(OR('Base Encuesta'!T398="",IFERROR(VALUE(LEFT('Base Encuesta'!K398,1)),"")&gt;=3),"",VALUE(LEFT('Base Encuesta'!T398,1)))</f>
        <v/>
      </c>
      <c r="O424" t="str">
        <f>IF(OR('Base Encuesta'!V398="",IFERROR(VALUE(LEFT('Base Encuesta'!K398,1)),"")&gt;=3),"",VALUE(LEFT('Base Encuesta'!V398,1)))</f>
        <v/>
      </c>
      <c r="P424" t="str">
        <f>IF(OR('Base Encuesta'!W398="",IFERROR(VALUE(LEFT('Base Encuesta'!K398,1)),"")&gt;=3),"",VALUE(LEFT('Base Encuesta'!W398,1)))</f>
        <v/>
      </c>
      <c r="Q424" t="str">
        <f>IF(OR('Base Encuesta'!X398="",IFERROR(VALUE(LEFT('Base Encuesta'!K398,1)),"")&gt;=3),"",VALUE(LEFT('Base Encuesta'!X398,1)))</f>
        <v/>
      </c>
      <c r="R424" t="str">
        <f>IF(OR('Base Encuesta'!Y398="",IFERROR(VALUE(LEFT('Base Encuesta'!K398,1)),"")&gt;=3),"",VALUE(LEFT('Base Encuesta'!Y398,1)))</f>
        <v/>
      </c>
      <c r="S424" t="str">
        <f>IF(OR('Base Encuesta'!Z398="",IFERROR(VALUE(LEFT('Base Encuesta'!K398,1)),"")&gt;=3),"",VALUE(LEFT('Base Encuesta'!Z398,1)))</f>
        <v/>
      </c>
      <c r="T424" t="str">
        <f>IF(OR('Base Encuesta'!AA398="",IFERROR(VALUE(LEFT('Base Encuesta'!K398,1)),"")&gt;=3),"",VALUE(LEFT('Base Encuesta'!AA398,1)))</f>
        <v/>
      </c>
      <c r="U424" t="str">
        <f>IF(OR('Base Encuesta'!AB398="",IFERROR(VALUE(LEFT('Base Encuesta'!K398,1)),"")&gt;=3),"",VALUE(LEFT('Base Encuesta'!AB398,1)))</f>
        <v/>
      </c>
      <c r="V424" t="str">
        <f>IF(OR('Base Encuesta'!AC398="",IFERROR(VALUE(LEFT('Base Encuesta'!K398,1)),"")&gt;=3),"",VALUE(LEFT('Base Encuesta'!AC398,1)))</f>
        <v/>
      </c>
      <c r="W424" t="str">
        <f>IF(OR('Base Encuesta'!AE398="",IFERROR(VALUE(LEFT('Base Encuesta'!K398,1)),"")&gt;=3),"",VALUE(LEFT('Base Encuesta'!AE398,1)))</f>
        <v/>
      </c>
      <c r="X424" t="str">
        <f>IF(OR('Base Encuesta'!AF398="",IFERROR(VALUE(LEFT('Base Encuesta'!K398,1)),"")&gt;=3),"",IF(W424=1,VALUE(LEFT('Base Encuesta'!AF398,1)),""))</f>
        <v/>
      </c>
      <c r="Y424" t="str">
        <f>IF(OR('Base Encuesta'!AG398="",IFERROR(VALUE(LEFT('Base Encuesta'!K398,1)),"")&gt;=3),"",IF(W424=1,VALUE(LEFT('Base Encuesta'!AG398,1)),""))</f>
        <v/>
      </c>
      <c r="Z424" t="str">
        <f>IF(OR('Base Encuesta'!AH398="",IFERROR(VALUE(LEFT('Base Encuesta'!K398,1)),"")&gt;=3),"",IF(W424=1,VALUE(LEFT('Base Encuesta'!AH398,1)),""))</f>
        <v/>
      </c>
      <c r="AA424" t="str">
        <f>IF(OR('Base Encuesta'!AI398="",IFERROR(VALUE(LEFT('Base Encuesta'!K398,1)),"")&gt;=3),"",IF(W424=1,VALUE(LEFT('Base Encuesta'!AI398,1)),""))</f>
        <v/>
      </c>
      <c r="AB424" t="str">
        <f>IF(OR('Base Encuesta'!AJ398="",IFERROR(VALUE(LEFT('Base Encuesta'!K398,1)),"")&gt;=3),"",IF(W424=1,VALUE(LEFT('Base Encuesta'!AJ398,1)),""))</f>
        <v/>
      </c>
      <c r="AC424" t="str">
        <f>IF(OR('Base Encuesta'!AL398="",IFERROR(VALUE(LEFT('Base Encuesta'!K398,1)),"")&gt;=3),"",VALUE(LEFT('Base Encuesta'!AL398,1)))</f>
        <v/>
      </c>
      <c r="AD424" t="str">
        <f>IF(OR('Base Encuesta'!AM398="",IFERROR(VALUE(LEFT('Base Encuesta'!K398,1)),"")&gt;=3),"",VALUE(LEFT('Base Encuesta'!AM398,1)))</f>
        <v/>
      </c>
      <c r="AE424" t="str">
        <f>IF(OR('Base Encuesta'!AN398="",IFERROR(VALUE(LEFT('Base Encuesta'!K398,1)),"")&gt;=3),"",VALUE(LEFT('Base Encuesta'!AN398,1)))</f>
        <v/>
      </c>
      <c r="AF424" t="str">
        <f>IF(OR('Base Encuesta'!AO398="",IFERROR(VALUE(LEFT('Base Encuesta'!K398,1)),"")&gt;=3),"",VALUE(LEFT('Base Encuesta'!AO398,1)))</f>
        <v/>
      </c>
      <c r="AG424" t="str">
        <f>IF(OR('Base Encuesta'!AQ398="",IFERROR(VALUE(LEFT('Base Encuesta'!K398,1)),"")&gt;=3),"",VALUE(LEFT('Base Encuesta'!AQ398,1)))</f>
        <v/>
      </c>
      <c r="AH424" t="str">
        <f>IF(OR('Base Encuesta'!AR398="",IFERROR(VALUE(LEFT('Base Encuesta'!K398,1)),"")&gt;=3),"",VALUE(LEFT('Base Encuesta'!AR398,1)))</f>
        <v/>
      </c>
    </row>
    <row r="425" spans="1:34">
      <c r="A425" t="str">
        <f>IF('Base Encuesta'!C399="","",'Base Encuesta'!C399)</f>
        <v/>
      </c>
      <c r="B425" t="str">
        <f>IF('Base Encuesta'!D399="","",'Base Encuesta'!D399)</f>
        <v/>
      </c>
      <c r="C425" t="str">
        <f>IF('Base Encuesta'!E399="","",'Base Encuesta'!E399)</f>
        <v/>
      </c>
      <c r="D425" t="str">
        <f>IF('Base Encuesta'!F399="","",'Base Encuesta'!F399)</f>
        <v/>
      </c>
      <c r="E425" t="str">
        <f>IF('Base Encuesta'!G399="","",'Base Encuesta'!G399)</f>
        <v/>
      </c>
      <c r="F425" t="str">
        <f>IF('Base Encuesta'!H399="","",'Base Encuesta'!H399)</f>
        <v/>
      </c>
      <c r="G425" t="str">
        <f>IF('Base Encuesta'!I399="","",'Base Encuesta'!I399)</f>
        <v/>
      </c>
      <c r="H425" t="str">
        <f>IF('Base Encuesta'!J399="","",'Base Encuesta'!J399)</f>
        <v/>
      </c>
      <c r="I425" t="str">
        <f>IF('Base Encuesta'!K399="","",'Base Encuesta'!K399)</f>
        <v/>
      </c>
      <c r="J425" t="str">
        <f>IF(OR('Base Encuesta'!P399="",IFERROR(VALUE(LEFT('Base Encuesta'!K399,1)),"")&gt;=3),"",PROPER(TRIM('Base Encuesta'!P399)))</f>
        <v/>
      </c>
      <c r="K425" t="str">
        <f>IF(OR('Base Encuesta'!Q399="",IFERROR(VALUE(LEFT('Base Encuesta'!K399,1)),"")&gt;=3),"",'Base Encuesta'!Q399)</f>
        <v/>
      </c>
      <c r="L425" t="str">
        <f>IF(OR('Base Encuesta'!R399="",IFERROR(VALUE(LEFT('Base Encuesta'!K399,1)),"")&gt;=3),"",VALUE(LEFT('Base Encuesta'!R399,1)))</f>
        <v/>
      </c>
      <c r="M425" t="str">
        <f>IF(OR('Base Encuesta'!S399="",IFERROR(VALUE(LEFT('Base Encuesta'!K399,1)),"")&gt;=3),"",VALUE(LEFT('Base Encuesta'!S399,1)))</f>
        <v/>
      </c>
      <c r="N425" t="str">
        <f>IF(OR('Base Encuesta'!T399="",IFERROR(VALUE(LEFT('Base Encuesta'!K399,1)),"")&gt;=3),"",VALUE(LEFT('Base Encuesta'!T399,1)))</f>
        <v/>
      </c>
      <c r="O425" t="str">
        <f>IF(OR('Base Encuesta'!V399="",IFERROR(VALUE(LEFT('Base Encuesta'!K399,1)),"")&gt;=3),"",VALUE(LEFT('Base Encuesta'!V399,1)))</f>
        <v/>
      </c>
      <c r="P425" t="str">
        <f>IF(OR('Base Encuesta'!W399="",IFERROR(VALUE(LEFT('Base Encuesta'!K399,1)),"")&gt;=3),"",VALUE(LEFT('Base Encuesta'!W399,1)))</f>
        <v/>
      </c>
      <c r="Q425" t="str">
        <f>IF(OR('Base Encuesta'!X399="",IFERROR(VALUE(LEFT('Base Encuesta'!K399,1)),"")&gt;=3),"",VALUE(LEFT('Base Encuesta'!X399,1)))</f>
        <v/>
      </c>
      <c r="R425" t="str">
        <f>IF(OR('Base Encuesta'!Y399="",IFERROR(VALUE(LEFT('Base Encuesta'!K399,1)),"")&gt;=3),"",VALUE(LEFT('Base Encuesta'!Y399,1)))</f>
        <v/>
      </c>
      <c r="S425" t="str">
        <f>IF(OR('Base Encuesta'!Z399="",IFERROR(VALUE(LEFT('Base Encuesta'!K399,1)),"")&gt;=3),"",VALUE(LEFT('Base Encuesta'!Z399,1)))</f>
        <v/>
      </c>
      <c r="T425" t="str">
        <f>IF(OR('Base Encuesta'!AA399="",IFERROR(VALUE(LEFT('Base Encuesta'!K399,1)),"")&gt;=3),"",VALUE(LEFT('Base Encuesta'!AA399,1)))</f>
        <v/>
      </c>
      <c r="U425" t="str">
        <f>IF(OR('Base Encuesta'!AB399="",IFERROR(VALUE(LEFT('Base Encuesta'!K399,1)),"")&gt;=3),"",VALUE(LEFT('Base Encuesta'!AB399,1)))</f>
        <v/>
      </c>
      <c r="V425" t="str">
        <f>IF(OR('Base Encuesta'!AC399="",IFERROR(VALUE(LEFT('Base Encuesta'!K399,1)),"")&gt;=3),"",VALUE(LEFT('Base Encuesta'!AC399,1)))</f>
        <v/>
      </c>
      <c r="W425" t="str">
        <f>IF(OR('Base Encuesta'!AE399="",IFERROR(VALUE(LEFT('Base Encuesta'!K399,1)),"")&gt;=3),"",VALUE(LEFT('Base Encuesta'!AE399,1)))</f>
        <v/>
      </c>
      <c r="X425" t="str">
        <f>IF(OR('Base Encuesta'!AF399="",IFERROR(VALUE(LEFT('Base Encuesta'!K399,1)),"")&gt;=3),"",IF(W425=1,VALUE(LEFT('Base Encuesta'!AF399,1)),""))</f>
        <v/>
      </c>
      <c r="Y425" t="str">
        <f>IF(OR('Base Encuesta'!AG399="",IFERROR(VALUE(LEFT('Base Encuesta'!K399,1)),"")&gt;=3),"",IF(W425=1,VALUE(LEFT('Base Encuesta'!AG399,1)),""))</f>
        <v/>
      </c>
      <c r="Z425" t="str">
        <f>IF(OR('Base Encuesta'!AH399="",IFERROR(VALUE(LEFT('Base Encuesta'!K399,1)),"")&gt;=3),"",IF(W425=1,VALUE(LEFT('Base Encuesta'!AH399,1)),""))</f>
        <v/>
      </c>
      <c r="AA425" t="str">
        <f>IF(OR('Base Encuesta'!AI399="",IFERROR(VALUE(LEFT('Base Encuesta'!K399,1)),"")&gt;=3),"",IF(W425=1,VALUE(LEFT('Base Encuesta'!AI399,1)),""))</f>
        <v/>
      </c>
      <c r="AB425" t="str">
        <f>IF(OR('Base Encuesta'!AJ399="",IFERROR(VALUE(LEFT('Base Encuesta'!K399,1)),"")&gt;=3),"",IF(W425=1,VALUE(LEFT('Base Encuesta'!AJ399,1)),""))</f>
        <v/>
      </c>
      <c r="AC425" t="str">
        <f>IF(OR('Base Encuesta'!AL399="",IFERROR(VALUE(LEFT('Base Encuesta'!K399,1)),"")&gt;=3),"",VALUE(LEFT('Base Encuesta'!AL399,1)))</f>
        <v/>
      </c>
      <c r="AD425" t="str">
        <f>IF(OR('Base Encuesta'!AM399="",IFERROR(VALUE(LEFT('Base Encuesta'!K399,1)),"")&gt;=3),"",VALUE(LEFT('Base Encuesta'!AM399,1)))</f>
        <v/>
      </c>
      <c r="AE425" t="str">
        <f>IF(OR('Base Encuesta'!AN399="",IFERROR(VALUE(LEFT('Base Encuesta'!K399,1)),"")&gt;=3),"",VALUE(LEFT('Base Encuesta'!AN399,1)))</f>
        <v/>
      </c>
      <c r="AF425" t="str">
        <f>IF(OR('Base Encuesta'!AO399="",IFERROR(VALUE(LEFT('Base Encuesta'!K399,1)),"")&gt;=3),"",VALUE(LEFT('Base Encuesta'!AO399,1)))</f>
        <v/>
      </c>
      <c r="AG425" t="str">
        <f>IF(OR('Base Encuesta'!AQ399="",IFERROR(VALUE(LEFT('Base Encuesta'!K399,1)),"")&gt;=3),"",VALUE(LEFT('Base Encuesta'!AQ399,1)))</f>
        <v/>
      </c>
      <c r="AH425" t="str">
        <f>IF(OR('Base Encuesta'!AR399="",IFERROR(VALUE(LEFT('Base Encuesta'!K399,1)),"")&gt;=3),"",VALUE(LEFT('Base Encuesta'!AR399,1)))</f>
        <v/>
      </c>
    </row>
    <row r="426" spans="1:34">
      <c r="A426" t="str">
        <f>IF('Base Encuesta'!C400="","",'Base Encuesta'!C400)</f>
        <v/>
      </c>
      <c r="B426" t="str">
        <f>IF('Base Encuesta'!D400="","",'Base Encuesta'!D400)</f>
        <v/>
      </c>
      <c r="C426" t="str">
        <f>IF('Base Encuesta'!E400="","",'Base Encuesta'!E400)</f>
        <v/>
      </c>
      <c r="D426" t="str">
        <f>IF('Base Encuesta'!F400="","",'Base Encuesta'!F400)</f>
        <v/>
      </c>
      <c r="E426" t="str">
        <f>IF('Base Encuesta'!G400="","",'Base Encuesta'!G400)</f>
        <v/>
      </c>
      <c r="F426" t="str">
        <f>IF('Base Encuesta'!H400="","",'Base Encuesta'!H400)</f>
        <v/>
      </c>
      <c r="G426" t="str">
        <f>IF('Base Encuesta'!I400="","",'Base Encuesta'!I400)</f>
        <v/>
      </c>
      <c r="H426" t="str">
        <f>IF('Base Encuesta'!J400="","",'Base Encuesta'!J400)</f>
        <v/>
      </c>
      <c r="I426" t="str">
        <f>IF('Base Encuesta'!K400="","",'Base Encuesta'!K400)</f>
        <v/>
      </c>
      <c r="J426" t="str">
        <f>IF(OR('Base Encuesta'!P400="",IFERROR(VALUE(LEFT('Base Encuesta'!K400,1)),"")&gt;=3),"",PROPER(TRIM('Base Encuesta'!P400)))</f>
        <v/>
      </c>
      <c r="K426" t="str">
        <f>IF(OR('Base Encuesta'!Q400="",IFERROR(VALUE(LEFT('Base Encuesta'!K400,1)),"")&gt;=3),"",'Base Encuesta'!Q400)</f>
        <v/>
      </c>
      <c r="L426" t="str">
        <f>IF(OR('Base Encuesta'!R400="",IFERROR(VALUE(LEFT('Base Encuesta'!K400,1)),"")&gt;=3),"",VALUE(LEFT('Base Encuesta'!R400,1)))</f>
        <v/>
      </c>
      <c r="M426" t="str">
        <f>IF(OR('Base Encuesta'!S400="",IFERROR(VALUE(LEFT('Base Encuesta'!K400,1)),"")&gt;=3),"",VALUE(LEFT('Base Encuesta'!S400,1)))</f>
        <v/>
      </c>
      <c r="N426" t="str">
        <f>IF(OR('Base Encuesta'!T400="",IFERROR(VALUE(LEFT('Base Encuesta'!K400,1)),"")&gt;=3),"",VALUE(LEFT('Base Encuesta'!T400,1)))</f>
        <v/>
      </c>
      <c r="O426" t="str">
        <f>IF(OR('Base Encuesta'!V400="",IFERROR(VALUE(LEFT('Base Encuesta'!K400,1)),"")&gt;=3),"",VALUE(LEFT('Base Encuesta'!V400,1)))</f>
        <v/>
      </c>
      <c r="P426" t="str">
        <f>IF(OR('Base Encuesta'!W400="",IFERROR(VALUE(LEFT('Base Encuesta'!K400,1)),"")&gt;=3),"",VALUE(LEFT('Base Encuesta'!W400,1)))</f>
        <v/>
      </c>
      <c r="Q426" t="str">
        <f>IF(OR('Base Encuesta'!X400="",IFERROR(VALUE(LEFT('Base Encuesta'!K400,1)),"")&gt;=3),"",VALUE(LEFT('Base Encuesta'!X400,1)))</f>
        <v/>
      </c>
      <c r="R426" t="str">
        <f>IF(OR('Base Encuesta'!Y400="",IFERROR(VALUE(LEFT('Base Encuesta'!K400,1)),"")&gt;=3),"",VALUE(LEFT('Base Encuesta'!Y400,1)))</f>
        <v/>
      </c>
      <c r="S426" t="str">
        <f>IF(OR('Base Encuesta'!Z400="",IFERROR(VALUE(LEFT('Base Encuesta'!K400,1)),"")&gt;=3),"",VALUE(LEFT('Base Encuesta'!Z400,1)))</f>
        <v/>
      </c>
      <c r="T426" t="str">
        <f>IF(OR('Base Encuesta'!AA400="",IFERROR(VALUE(LEFT('Base Encuesta'!K400,1)),"")&gt;=3),"",VALUE(LEFT('Base Encuesta'!AA400,1)))</f>
        <v/>
      </c>
      <c r="U426" t="str">
        <f>IF(OR('Base Encuesta'!AB400="",IFERROR(VALUE(LEFT('Base Encuesta'!K400,1)),"")&gt;=3),"",VALUE(LEFT('Base Encuesta'!AB400,1)))</f>
        <v/>
      </c>
      <c r="V426" t="str">
        <f>IF(OR('Base Encuesta'!AC400="",IFERROR(VALUE(LEFT('Base Encuesta'!K400,1)),"")&gt;=3),"",VALUE(LEFT('Base Encuesta'!AC400,1)))</f>
        <v/>
      </c>
      <c r="W426" t="str">
        <f>IF(OR('Base Encuesta'!AE400="",IFERROR(VALUE(LEFT('Base Encuesta'!K400,1)),"")&gt;=3),"",VALUE(LEFT('Base Encuesta'!AE400,1)))</f>
        <v/>
      </c>
      <c r="X426" t="str">
        <f>IF(OR('Base Encuesta'!AF400="",IFERROR(VALUE(LEFT('Base Encuesta'!K400,1)),"")&gt;=3),"",IF(W426=1,VALUE(LEFT('Base Encuesta'!AF400,1)),""))</f>
        <v/>
      </c>
      <c r="Y426" t="str">
        <f>IF(OR('Base Encuesta'!AG400="",IFERROR(VALUE(LEFT('Base Encuesta'!K400,1)),"")&gt;=3),"",IF(W426=1,VALUE(LEFT('Base Encuesta'!AG400,1)),""))</f>
        <v/>
      </c>
      <c r="Z426" t="str">
        <f>IF(OR('Base Encuesta'!AH400="",IFERROR(VALUE(LEFT('Base Encuesta'!K400,1)),"")&gt;=3),"",IF(W426=1,VALUE(LEFT('Base Encuesta'!AH400,1)),""))</f>
        <v/>
      </c>
      <c r="AA426" t="str">
        <f>IF(OR('Base Encuesta'!AI400="",IFERROR(VALUE(LEFT('Base Encuesta'!K400,1)),"")&gt;=3),"",IF(W426=1,VALUE(LEFT('Base Encuesta'!AI400,1)),""))</f>
        <v/>
      </c>
      <c r="AB426" t="str">
        <f>IF(OR('Base Encuesta'!AJ400="",IFERROR(VALUE(LEFT('Base Encuesta'!K400,1)),"")&gt;=3),"",IF(W426=1,VALUE(LEFT('Base Encuesta'!AJ400,1)),""))</f>
        <v/>
      </c>
      <c r="AC426" t="str">
        <f>IF(OR('Base Encuesta'!AL400="",IFERROR(VALUE(LEFT('Base Encuesta'!K400,1)),"")&gt;=3),"",VALUE(LEFT('Base Encuesta'!AL400,1)))</f>
        <v/>
      </c>
      <c r="AD426" t="str">
        <f>IF(OR('Base Encuesta'!AM400="",IFERROR(VALUE(LEFT('Base Encuesta'!K400,1)),"")&gt;=3),"",VALUE(LEFT('Base Encuesta'!AM400,1)))</f>
        <v/>
      </c>
      <c r="AE426" t="str">
        <f>IF(OR('Base Encuesta'!AN400="",IFERROR(VALUE(LEFT('Base Encuesta'!K400,1)),"")&gt;=3),"",VALUE(LEFT('Base Encuesta'!AN400,1)))</f>
        <v/>
      </c>
      <c r="AF426" t="str">
        <f>IF(OR('Base Encuesta'!AO400="",IFERROR(VALUE(LEFT('Base Encuesta'!K400,1)),"")&gt;=3),"",VALUE(LEFT('Base Encuesta'!AO400,1)))</f>
        <v/>
      </c>
      <c r="AG426" t="str">
        <f>IF(OR('Base Encuesta'!AQ400="",IFERROR(VALUE(LEFT('Base Encuesta'!K400,1)),"")&gt;=3),"",VALUE(LEFT('Base Encuesta'!AQ400,1)))</f>
        <v/>
      </c>
      <c r="AH426" t="str">
        <f>IF(OR('Base Encuesta'!AR400="",IFERROR(VALUE(LEFT('Base Encuesta'!K400,1)),"")&gt;=3),"",VALUE(LEFT('Base Encuesta'!AR400,1)))</f>
        <v/>
      </c>
    </row>
    <row r="427" spans="1:34">
      <c r="A427" t="str">
        <f>IF('Base Encuesta'!C401="","",'Base Encuesta'!C401)</f>
        <v/>
      </c>
      <c r="B427" t="str">
        <f>IF('Base Encuesta'!D401="","",'Base Encuesta'!D401)</f>
        <v/>
      </c>
      <c r="C427" t="str">
        <f>IF('Base Encuesta'!E401="","",'Base Encuesta'!E401)</f>
        <v/>
      </c>
      <c r="D427" t="str">
        <f>IF('Base Encuesta'!F401="","",'Base Encuesta'!F401)</f>
        <v/>
      </c>
      <c r="E427" t="str">
        <f>IF('Base Encuesta'!G401="","",'Base Encuesta'!G401)</f>
        <v/>
      </c>
      <c r="F427" t="str">
        <f>IF('Base Encuesta'!H401="","",'Base Encuesta'!H401)</f>
        <v/>
      </c>
      <c r="G427" t="str">
        <f>IF('Base Encuesta'!I401="","",'Base Encuesta'!I401)</f>
        <v/>
      </c>
      <c r="H427" t="str">
        <f>IF('Base Encuesta'!J401="","",'Base Encuesta'!J401)</f>
        <v/>
      </c>
      <c r="I427" t="str">
        <f>IF('Base Encuesta'!K401="","",'Base Encuesta'!K401)</f>
        <v/>
      </c>
      <c r="J427" t="str">
        <f>IF(OR('Base Encuesta'!P401="",IFERROR(VALUE(LEFT('Base Encuesta'!K401,1)),"")&gt;=3),"",PROPER(TRIM('Base Encuesta'!P401)))</f>
        <v/>
      </c>
      <c r="K427" t="str">
        <f>IF(OR('Base Encuesta'!Q401="",IFERROR(VALUE(LEFT('Base Encuesta'!K401,1)),"")&gt;=3),"",'Base Encuesta'!Q401)</f>
        <v/>
      </c>
      <c r="L427" t="str">
        <f>IF(OR('Base Encuesta'!R401="",IFERROR(VALUE(LEFT('Base Encuesta'!K401,1)),"")&gt;=3),"",VALUE(LEFT('Base Encuesta'!R401,1)))</f>
        <v/>
      </c>
      <c r="M427" t="str">
        <f>IF(OR('Base Encuesta'!S401="",IFERROR(VALUE(LEFT('Base Encuesta'!K401,1)),"")&gt;=3),"",VALUE(LEFT('Base Encuesta'!S401,1)))</f>
        <v/>
      </c>
      <c r="N427" t="str">
        <f>IF(OR('Base Encuesta'!T401="",IFERROR(VALUE(LEFT('Base Encuesta'!K401,1)),"")&gt;=3),"",VALUE(LEFT('Base Encuesta'!T401,1)))</f>
        <v/>
      </c>
      <c r="O427" t="str">
        <f>IF(OR('Base Encuesta'!V401="",IFERROR(VALUE(LEFT('Base Encuesta'!K401,1)),"")&gt;=3),"",VALUE(LEFT('Base Encuesta'!V401,1)))</f>
        <v/>
      </c>
      <c r="P427" t="str">
        <f>IF(OR('Base Encuesta'!W401="",IFERROR(VALUE(LEFT('Base Encuesta'!K401,1)),"")&gt;=3),"",VALUE(LEFT('Base Encuesta'!W401,1)))</f>
        <v/>
      </c>
      <c r="Q427" t="str">
        <f>IF(OR('Base Encuesta'!X401="",IFERROR(VALUE(LEFT('Base Encuesta'!K401,1)),"")&gt;=3),"",VALUE(LEFT('Base Encuesta'!X401,1)))</f>
        <v/>
      </c>
      <c r="R427" t="str">
        <f>IF(OR('Base Encuesta'!Y401="",IFERROR(VALUE(LEFT('Base Encuesta'!K401,1)),"")&gt;=3),"",VALUE(LEFT('Base Encuesta'!Y401,1)))</f>
        <v/>
      </c>
      <c r="S427" t="str">
        <f>IF(OR('Base Encuesta'!Z401="",IFERROR(VALUE(LEFT('Base Encuesta'!K401,1)),"")&gt;=3),"",VALUE(LEFT('Base Encuesta'!Z401,1)))</f>
        <v/>
      </c>
      <c r="T427" t="str">
        <f>IF(OR('Base Encuesta'!AA401="",IFERROR(VALUE(LEFT('Base Encuesta'!K401,1)),"")&gt;=3),"",VALUE(LEFT('Base Encuesta'!AA401,1)))</f>
        <v/>
      </c>
      <c r="U427" t="str">
        <f>IF(OR('Base Encuesta'!AB401="",IFERROR(VALUE(LEFT('Base Encuesta'!K401,1)),"")&gt;=3),"",VALUE(LEFT('Base Encuesta'!AB401,1)))</f>
        <v/>
      </c>
      <c r="V427" t="str">
        <f>IF(OR('Base Encuesta'!AC401="",IFERROR(VALUE(LEFT('Base Encuesta'!K401,1)),"")&gt;=3),"",VALUE(LEFT('Base Encuesta'!AC401,1)))</f>
        <v/>
      </c>
      <c r="W427" t="str">
        <f>IF(OR('Base Encuesta'!AE401="",IFERROR(VALUE(LEFT('Base Encuesta'!K401,1)),"")&gt;=3),"",VALUE(LEFT('Base Encuesta'!AE401,1)))</f>
        <v/>
      </c>
      <c r="X427" t="str">
        <f>IF(OR('Base Encuesta'!AF401="",IFERROR(VALUE(LEFT('Base Encuesta'!K401,1)),"")&gt;=3),"",IF(W427=1,VALUE(LEFT('Base Encuesta'!AF401,1)),""))</f>
        <v/>
      </c>
      <c r="Y427" t="str">
        <f>IF(OR('Base Encuesta'!AG401="",IFERROR(VALUE(LEFT('Base Encuesta'!K401,1)),"")&gt;=3),"",IF(W427=1,VALUE(LEFT('Base Encuesta'!AG401,1)),""))</f>
        <v/>
      </c>
      <c r="Z427" t="str">
        <f>IF(OR('Base Encuesta'!AH401="",IFERROR(VALUE(LEFT('Base Encuesta'!K401,1)),"")&gt;=3),"",IF(W427=1,VALUE(LEFT('Base Encuesta'!AH401,1)),""))</f>
        <v/>
      </c>
      <c r="AA427" t="str">
        <f>IF(OR('Base Encuesta'!AI401="",IFERROR(VALUE(LEFT('Base Encuesta'!K401,1)),"")&gt;=3),"",IF(W427=1,VALUE(LEFT('Base Encuesta'!AI401,1)),""))</f>
        <v/>
      </c>
      <c r="AB427" t="str">
        <f>IF(OR('Base Encuesta'!AJ401="",IFERROR(VALUE(LEFT('Base Encuesta'!K401,1)),"")&gt;=3),"",IF(W427=1,VALUE(LEFT('Base Encuesta'!AJ401,1)),""))</f>
        <v/>
      </c>
      <c r="AC427" t="str">
        <f>IF(OR('Base Encuesta'!AL401="",IFERROR(VALUE(LEFT('Base Encuesta'!K401,1)),"")&gt;=3),"",VALUE(LEFT('Base Encuesta'!AL401,1)))</f>
        <v/>
      </c>
      <c r="AD427" t="str">
        <f>IF(OR('Base Encuesta'!AM401="",IFERROR(VALUE(LEFT('Base Encuesta'!K401,1)),"")&gt;=3),"",VALUE(LEFT('Base Encuesta'!AM401,1)))</f>
        <v/>
      </c>
      <c r="AE427" t="str">
        <f>IF(OR('Base Encuesta'!AN401="",IFERROR(VALUE(LEFT('Base Encuesta'!K401,1)),"")&gt;=3),"",VALUE(LEFT('Base Encuesta'!AN401,1)))</f>
        <v/>
      </c>
      <c r="AF427" t="str">
        <f>IF(OR('Base Encuesta'!AO401="",IFERROR(VALUE(LEFT('Base Encuesta'!K401,1)),"")&gt;=3),"",VALUE(LEFT('Base Encuesta'!AO401,1)))</f>
        <v/>
      </c>
      <c r="AG427" t="str">
        <f>IF(OR('Base Encuesta'!AQ401="",IFERROR(VALUE(LEFT('Base Encuesta'!K401,1)),"")&gt;=3),"",VALUE(LEFT('Base Encuesta'!AQ401,1)))</f>
        <v/>
      </c>
      <c r="AH427" t="str">
        <f>IF(OR('Base Encuesta'!AR401="",IFERROR(VALUE(LEFT('Base Encuesta'!K401,1)),"")&gt;=3),"",VALUE(LEFT('Base Encuesta'!AR401,1)))</f>
        <v/>
      </c>
    </row>
    <row r="428" spans="1:34">
      <c r="A428" t="str">
        <f>IF('Base Encuesta'!C402="","",'Base Encuesta'!C402)</f>
        <v/>
      </c>
      <c r="B428" t="str">
        <f>IF('Base Encuesta'!D402="","",'Base Encuesta'!D402)</f>
        <v/>
      </c>
      <c r="C428" t="str">
        <f>IF('Base Encuesta'!E402="","",'Base Encuesta'!E402)</f>
        <v/>
      </c>
      <c r="D428" t="str">
        <f>IF('Base Encuesta'!F402="","",'Base Encuesta'!F402)</f>
        <v/>
      </c>
      <c r="E428" t="str">
        <f>IF('Base Encuesta'!G402="","",'Base Encuesta'!G402)</f>
        <v/>
      </c>
      <c r="F428" t="str">
        <f>IF('Base Encuesta'!H402="","",'Base Encuesta'!H402)</f>
        <v/>
      </c>
      <c r="G428" t="str">
        <f>IF('Base Encuesta'!I402="","",'Base Encuesta'!I402)</f>
        <v/>
      </c>
      <c r="H428" t="str">
        <f>IF('Base Encuesta'!J402="","",'Base Encuesta'!J402)</f>
        <v/>
      </c>
      <c r="I428" t="str">
        <f>IF('Base Encuesta'!K402="","",'Base Encuesta'!K402)</f>
        <v/>
      </c>
      <c r="J428" t="str">
        <f>IF(OR('Base Encuesta'!P402="",IFERROR(VALUE(LEFT('Base Encuesta'!K402,1)),"")&gt;=3),"",PROPER(TRIM('Base Encuesta'!P402)))</f>
        <v/>
      </c>
      <c r="K428" t="str">
        <f>IF(OR('Base Encuesta'!Q402="",IFERROR(VALUE(LEFT('Base Encuesta'!K402,1)),"")&gt;=3),"",'Base Encuesta'!Q402)</f>
        <v/>
      </c>
      <c r="L428" t="str">
        <f>IF(OR('Base Encuesta'!R402="",IFERROR(VALUE(LEFT('Base Encuesta'!K402,1)),"")&gt;=3),"",VALUE(LEFT('Base Encuesta'!R402,1)))</f>
        <v/>
      </c>
      <c r="M428" t="str">
        <f>IF(OR('Base Encuesta'!S402="",IFERROR(VALUE(LEFT('Base Encuesta'!K402,1)),"")&gt;=3),"",VALUE(LEFT('Base Encuesta'!S402,1)))</f>
        <v/>
      </c>
      <c r="N428" t="str">
        <f>IF(OR('Base Encuesta'!T402="",IFERROR(VALUE(LEFT('Base Encuesta'!K402,1)),"")&gt;=3),"",VALUE(LEFT('Base Encuesta'!T402,1)))</f>
        <v/>
      </c>
      <c r="O428" t="str">
        <f>IF(OR('Base Encuesta'!V402="",IFERROR(VALUE(LEFT('Base Encuesta'!K402,1)),"")&gt;=3),"",VALUE(LEFT('Base Encuesta'!V402,1)))</f>
        <v/>
      </c>
      <c r="P428" t="str">
        <f>IF(OR('Base Encuesta'!W402="",IFERROR(VALUE(LEFT('Base Encuesta'!K402,1)),"")&gt;=3),"",VALUE(LEFT('Base Encuesta'!W402,1)))</f>
        <v/>
      </c>
      <c r="Q428" t="str">
        <f>IF(OR('Base Encuesta'!X402="",IFERROR(VALUE(LEFT('Base Encuesta'!K402,1)),"")&gt;=3),"",VALUE(LEFT('Base Encuesta'!X402,1)))</f>
        <v/>
      </c>
      <c r="R428" t="str">
        <f>IF(OR('Base Encuesta'!Y402="",IFERROR(VALUE(LEFT('Base Encuesta'!K402,1)),"")&gt;=3),"",VALUE(LEFT('Base Encuesta'!Y402,1)))</f>
        <v/>
      </c>
      <c r="S428" t="str">
        <f>IF(OR('Base Encuesta'!Z402="",IFERROR(VALUE(LEFT('Base Encuesta'!K402,1)),"")&gt;=3),"",VALUE(LEFT('Base Encuesta'!Z402,1)))</f>
        <v/>
      </c>
      <c r="T428" t="str">
        <f>IF(OR('Base Encuesta'!AA402="",IFERROR(VALUE(LEFT('Base Encuesta'!K402,1)),"")&gt;=3),"",VALUE(LEFT('Base Encuesta'!AA402,1)))</f>
        <v/>
      </c>
      <c r="U428" t="str">
        <f>IF(OR('Base Encuesta'!AB402="",IFERROR(VALUE(LEFT('Base Encuesta'!K402,1)),"")&gt;=3),"",VALUE(LEFT('Base Encuesta'!AB402,1)))</f>
        <v/>
      </c>
      <c r="V428" t="str">
        <f>IF(OR('Base Encuesta'!AC402="",IFERROR(VALUE(LEFT('Base Encuesta'!K402,1)),"")&gt;=3),"",VALUE(LEFT('Base Encuesta'!AC402,1)))</f>
        <v/>
      </c>
      <c r="W428" t="str">
        <f>IF(OR('Base Encuesta'!AE402="",IFERROR(VALUE(LEFT('Base Encuesta'!K402,1)),"")&gt;=3),"",VALUE(LEFT('Base Encuesta'!AE402,1)))</f>
        <v/>
      </c>
      <c r="X428" t="str">
        <f>IF(OR('Base Encuesta'!AF402="",IFERROR(VALUE(LEFT('Base Encuesta'!K402,1)),"")&gt;=3),"",IF(W428=1,VALUE(LEFT('Base Encuesta'!AF402,1)),""))</f>
        <v/>
      </c>
      <c r="Y428" t="str">
        <f>IF(OR('Base Encuesta'!AG402="",IFERROR(VALUE(LEFT('Base Encuesta'!K402,1)),"")&gt;=3),"",IF(W428=1,VALUE(LEFT('Base Encuesta'!AG402,1)),""))</f>
        <v/>
      </c>
      <c r="Z428" t="str">
        <f>IF(OR('Base Encuesta'!AH402="",IFERROR(VALUE(LEFT('Base Encuesta'!K402,1)),"")&gt;=3),"",IF(W428=1,VALUE(LEFT('Base Encuesta'!AH402,1)),""))</f>
        <v/>
      </c>
      <c r="AA428" t="str">
        <f>IF(OR('Base Encuesta'!AI402="",IFERROR(VALUE(LEFT('Base Encuesta'!K402,1)),"")&gt;=3),"",IF(W428=1,VALUE(LEFT('Base Encuesta'!AI402,1)),""))</f>
        <v/>
      </c>
      <c r="AB428" t="str">
        <f>IF(OR('Base Encuesta'!AJ402="",IFERROR(VALUE(LEFT('Base Encuesta'!K402,1)),"")&gt;=3),"",IF(W428=1,VALUE(LEFT('Base Encuesta'!AJ402,1)),""))</f>
        <v/>
      </c>
      <c r="AC428" t="str">
        <f>IF(OR('Base Encuesta'!AL402="",IFERROR(VALUE(LEFT('Base Encuesta'!K402,1)),"")&gt;=3),"",VALUE(LEFT('Base Encuesta'!AL402,1)))</f>
        <v/>
      </c>
      <c r="AD428" t="str">
        <f>IF(OR('Base Encuesta'!AM402="",IFERROR(VALUE(LEFT('Base Encuesta'!K402,1)),"")&gt;=3),"",VALUE(LEFT('Base Encuesta'!AM402,1)))</f>
        <v/>
      </c>
      <c r="AE428" t="str">
        <f>IF(OR('Base Encuesta'!AN402="",IFERROR(VALUE(LEFT('Base Encuesta'!K402,1)),"")&gt;=3),"",VALUE(LEFT('Base Encuesta'!AN402,1)))</f>
        <v/>
      </c>
      <c r="AF428" t="str">
        <f>IF(OR('Base Encuesta'!AO402="",IFERROR(VALUE(LEFT('Base Encuesta'!K402,1)),"")&gt;=3),"",VALUE(LEFT('Base Encuesta'!AO402,1)))</f>
        <v/>
      </c>
      <c r="AG428" t="str">
        <f>IF(OR('Base Encuesta'!AQ402="",IFERROR(VALUE(LEFT('Base Encuesta'!K402,1)),"")&gt;=3),"",VALUE(LEFT('Base Encuesta'!AQ402,1)))</f>
        <v/>
      </c>
      <c r="AH428" t="str">
        <f>IF(OR('Base Encuesta'!AR402="",IFERROR(VALUE(LEFT('Base Encuesta'!K402,1)),"")&gt;=3),"",VALUE(LEFT('Base Encuesta'!AR402,1)))</f>
        <v/>
      </c>
    </row>
    <row r="429" spans="1:34">
      <c r="A429" t="str">
        <f>IF('Base Encuesta'!C403="","",'Base Encuesta'!C403)</f>
        <v/>
      </c>
      <c r="B429" t="str">
        <f>IF('Base Encuesta'!D403="","",'Base Encuesta'!D403)</f>
        <v/>
      </c>
      <c r="C429" t="str">
        <f>IF('Base Encuesta'!E403="","",'Base Encuesta'!E403)</f>
        <v/>
      </c>
      <c r="D429" t="str">
        <f>IF('Base Encuesta'!F403="","",'Base Encuesta'!F403)</f>
        <v/>
      </c>
      <c r="E429" t="str">
        <f>IF('Base Encuesta'!G403="","",'Base Encuesta'!G403)</f>
        <v/>
      </c>
      <c r="F429" t="str">
        <f>IF('Base Encuesta'!H403="","",'Base Encuesta'!H403)</f>
        <v/>
      </c>
      <c r="G429" t="str">
        <f>IF('Base Encuesta'!I403="","",'Base Encuesta'!I403)</f>
        <v/>
      </c>
      <c r="H429" t="str">
        <f>IF('Base Encuesta'!J403="","",'Base Encuesta'!J403)</f>
        <v/>
      </c>
      <c r="I429" t="str">
        <f>IF('Base Encuesta'!K403="","",'Base Encuesta'!K403)</f>
        <v/>
      </c>
      <c r="J429" t="str">
        <f>IF(OR('Base Encuesta'!P403="",IFERROR(VALUE(LEFT('Base Encuesta'!K403,1)),"")&gt;=3),"",PROPER(TRIM('Base Encuesta'!P403)))</f>
        <v/>
      </c>
      <c r="K429" t="str">
        <f>IF(OR('Base Encuesta'!Q403="",IFERROR(VALUE(LEFT('Base Encuesta'!K403,1)),"")&gt;=3),"",'Base Encuesta'!Q403)</f>
        <v/>
      </c>
      <c r="L429" t="str">
        <f>IF(OR('Base Encuesta'!R403="",IFERROR(VALUE(LEFT('Base Encuesta'!K403,1)),"")&gt;=3),"",VALUE(LEFT('Base Encuesta'!R403,1)))</f>
        <v/>
      </c>
      <c r="M429" t="str">
        <f>IF(OR('Base Encuesta'!S403="",IFERROR(VALUE(LEFT('Base Encuesta'!K403,1)),"")&gt;=3),"",VALUE(LEFT('Base Encuesta'!S403,1)))</f>
        <v/>
      </c>
      <c r="N429" t="str">
        <f>IF(OR('Base Encuesta'!T403="",IFERROR(VALUE(LEFT('Base Encuesta'!K403,1)),"")&gt;=3),"",VALUE(LEFT('Base Encuesta'!T403,1)))</f>
        <v/>
      </c>
      <c r="O429" t="str">
        <f>IF(OR('Base Encuesta'!V403="",IFERROR(VALUE(LEFT('Base Encuesta'!K403,1)),"")&gt;=3),"",VALUE(LEFT('Base Encuesta'!V403,1)))</f>
        <v/>
      </c>
      <c r="P429" t="str">
        <f>IF(OR('Base Encuesta'!W403="",IFERROR(VALUE(LEFT('Base Encuesta'!K403,1)),"")&gt;=3),"",VALUE(LEFT('Base Encuesta'!W403,1)))</f>
        <v/>
      </c>
      <c r="Q429" t="str">
        <f>IF(OR('Base Encuesta'!X403="",IFERROR(VALUE(LEFT('Base Encuesta'!K403,1)),"")&gt;=3),"",VALUE(LEFT('Base Encuesta'!X403,1)))</f>
        <v/>
      </c>
      <c r="R429" t="str">
        <f>IF(OR('Base Encuesta'!Y403="",IFERROR(VALUE(LEFT('Base Encuesta'!K403,1)),"")&gt;=3),"",VALUE(LEFT('Base Encuesta'!Y403,1)))</f>
        <v/>
      </c>
      <c r="S429" t="str">
        <f>IF(OR('Base Encuesta'!Z403="",IFERROR(VALUE(LEFT('Base Encuesta'!K403,1)),"")&gt;=3),"",VALUE(LEFT('Base Encuesta'!Z403,1)))</f>
        <v/>
      </c>
      <c r="T429" t="str">
        <f>IF(OR('Base Encuesta'!AA403="",IFERROR(VALUE(LEFT('Base Encuesta'!K403,1)),"")&gt;=3),"",VALUE(LEFT('Base Encuesta'!AA403,1)))</f>
        <v/>
      </c>
      <c r="U429" t="str">
        <f>IF(OR('Base Encuesta'!AB403="",IFERROR(VALUE(LEFT('Base Encuesta'!K403,1)),"")&gt;=3),"",VALUE(LEFT('Base Encuesta'!AB403,1)))</f>
        <v/>
      </c>
      <c r="V429" t="str">
        <f>IF(OR('Base Encuesta'!AC403="",IFERROR(VALUE(LEFT('Base Encuesta'!K403,1)),"")&gt;=3),"",VALUE(LEFT('Base Encuesta'!AC403,1)))</f>
        <v/>
      </c>
      <c r="W429" t="str">
        <f>IF(OR('Base Encuesta'!AE403="",IFERROR(VALUE(LEFT('Base Encuesta'!K403,1)),"")&gt;=3),"",VALUE(LEFT('Base Encuesta'!AE403,1)))</f>
        <v/>
      </c>
      <c r="X429" t="str">
        <f>IF(OR('Base Encuesta'!AF403="",IFERROR(VALUE(LEFT('Base Encuesta'!K403,1)),"")&gt;=3),"",IF(W429=1,VALUE(LEFT('Base Encuesta'!AF403,1)),""))</f>
        <v/>
      </c>
      <c r="Y429" t="str">
        <f>IF(OR('Base Encuesta'!AG403="",IFERROR(VALUE(LEFT('Base Encuesta'!K403,1)),"")&gt;=3),"",IF(W429=1,VALUE(LEFT('Base Encuesta'!AG403,1)),""))</f>
        <v/>
      </c>
      <c r="Z429" t="str">
        <f>IF(OR('Base Encuesta'!AH403="",IFERROR(VALUE(LEFT('Base Encuesta'!K403,1)),"")&gt;=3),"",IF(W429=1,VALUE(LEFT('Base Encuesta'!AH403,1)),""))</f>
        <v/>
      </c>
      <c r="AA429" t="str">
        <f>IF(OR('Base Encuesta'!AI403="",IFERROR(VALUE(LEFT('Base Encuesta'!K403,1)),"")&gt;=3),"",IF(W429=1,VALUE(LEFT('Base Encuesta'!AI403,1)),""))</f>
        <v/>
      </c>
      <c r="AB429" t="str">
        <f>IF(OR('Base Encuesta'!AJ403="",IFERROR(VALUE(LEFT('Base Encuesta'!K403,1)),"")&gt;=3),"",IF(W429=1,VALUE(LEFT('Base Encuesta'!AJ403,1)),""))</f>
        <v/>
      </c>
      <c r="AC429" t="str">
        <f>IF(OR('Base Encuesta'!AL403="",IFERROR(VALUE(LEFT('Base Encuesta'!K403,1)),"")&gt;=3),"",VALUE(LEFT('Base Encuesta'!AL403,1)))</f>
        <v/>
      </c>
      <c r="AD429" t="str">
        <f>IF(OR('Base Encuesta'!AM403="",IFERROR(VALUE(LEFT('Base Encuesta'!K403,1)),"")&gt;=3),"",VALUE(LEFT('Base Encuesta'!AM403,1)))</f>
        <v/>
      </c>
      <c r="AE429" t="str">
        <f>IF(OR('Base Encuesta'!AN403="",IFERROR(VALUE(LEFT('Base Encuesta'!K403,1)),"")&gt;=3),"",VALUE(LEFT('Base Encuesta'!AN403,1)))</f>
        <v/>
      </c>
      <c r="AF429" t="str">
        <f>IF(OR('Base Encuesta'!AO403="",IFERROR(VALUE(LEFT('Base Encuesta'!K403,1)),"")&gt;=3),"",VALUE(LEFT('Base Encuesta'!AO403,1)))</f>
        <v/>
      </c>
      <c r="AG429" t="str">
        <f>IF(OR('Base Encuesta'!AQ403="",IFERROR(VALUE(LEFT('Base Encuesta'!K403,1)),"")&gt;=3),"",VALUE(LEFT('Base Encuesta'!AQ403,1)))</f>
        <v/>
      </c>
      <c r="AH429" t="str">
        <f>IF(OR('Base Encuesta'!AR403="",IFERROR(VALUE(LEFT('Base Encuesta'!K403,1)),"")&gt;=3),"",VALUE(LEFT('Base Encuesta'!AR403,1)))</f>
        <v/>
      </c>
    </row>
    <row r="430" spans="1:34">
      <c r="A430" t="str">
        <f>IF('Base Encuesta'!C404="","",'Base Encuesta'!C404)</f>
        <v/>
      </c>
      <c r="B430" t="str">
        <f>IF('Base Encuesta'!D404="","",'Base Encuesta'!D404)</f>
        <v/>
      </c>
      <c r="C430" t="str">
        <f>IF('Base Encuesta'!E404="","",'Base Encuesta'!E404)</f>
        <v/>
      </c>
      <c r="D430" t="str">
        <f>IF('Base Encuesta'!F404="","",'Base Encuesta'!F404)</f>
        <v/>
      </c>
      <c r="E430" t="str">
        <f>IF('Base Encuesta'!G404="","",'Base Encuesta'!G404)</f>
        <v/>
      </c>
      <c r="F430" t="str">
        <f>IF('Base Encuesta'!H404="","",'Base Encuesta'!H404)</f>
        <v/>
      </c>
      <c r="G430" t="str">
        <f>IF('Base Encuesta'!I404="","",'Base Encuesta'!I404)</f>
        <v/>
      </c>
      <c r="H430" t="str">
        <f>IF('Base Encuesta'!J404="","",'Base Encuesta'!J404)</f>
        <v/>
      </c>
      <c r="I430" t="str">
        <f>IF('Base Encuesta'!K404="","",'Base Encuesta'!K404)</f>
        <v/>
      </c>
      <c r="J430" t="str">
        <f>IF(OR('Base Encuesta'!P404="",IFERROR(VALUE(LEFT('Base Encuesta'!K404,1)),"")&gt;=3),"",PROPER(TRIM('Base Encuesta'!P404)))</f>
        <v/>
      </c>
      <c r="K430" t="str">
        <f>IF(OR('Base Encuesta'!Q404="",IFERROR(VALUE(LEFT('Base Encuesta'!K404,1)),"")&gt;=3),"",'Base Encuesta'!Q404)</f>
        <v/>
      </c>
      <c r="L430" t="str">
        <f>IF(OR('Base Encuesta'!R404="",IFERROR(VALUE(LEFT('Base Encuesta'!K404,1)),"")&gt;=3),"",VALUE(LEFT('Base Encuesta'!R404,1)))</f>
        <v/>
      </c>
      <c r="M430" t="str">
        <f>IF(OR('Base Encuesta'!S404="",IFERROR(VALUE(LEFT('Base Encuesta'!K404,1)),"")&gt;=3),"",VALUE(LEFT('Base Encuesta'!S404,1)))</f>
        <v/>
      </c>
      <c r="N430" t="str">
        <f>IF(OR('Base Encuesta'!T404="",IFERROR(VALUE(LEFT('Base Encuesta'!K404,1)),"")&gt;=3),"",VALUE(LEFT('Base Encuesta'!T404,1)))</f>
        <v/>
      </c>
      <c r="O430" t="str">
        <f>IF(OR('Base Encuesta'!V404="",IFERROR(VALUE(LEFT('Base Encuesta'!K404,1)),"")&gt;=3),"",VALUE(LEFT('Base Encuesta'!V404,1)))</f>
        <v/>
      </c>
      <c r="P430" t="str">
        <f>IF(OR('Base Encuesta'!W404="",IFERROR(VALUE(LEFT('Base Encuesta'!K404,1)),"")&gt;=3),"",VALUE(LEFT('Base Encuesta'!W404,1)))</f>
        <v/>
      </c>
      <c r="Q430" t="str">
        <f>IF(OR('Base Encuesta'!X404="",IFERROR(VALUE(LEFT('Base Encuesta'!K404,1)),"")&gt;=3),"",VALUE(LEFT('Base Encuesta'!X404,1)))</f>
        <v/>
      </c>
      <c r="R430" t="str">
        <f>IF(OR('Base Encuesta'!Y404="",IFERROR(VALUE(LEFT('Base Encuesta'!K404,1)),"")&gt;=3),"",VALUE(LEFT('Base Encuesta'!Y404,1)))</f>
        <v/>
      </c>
      <c r="S430" t="str">
        <f>IF(OR('Base Encuesta'!Z404="",IFERROR(VALUE(LEFT('Base Encuesta'!K404,1)),"")&gt;=3),"",VALUE(LEFT('Base Encuesta'!Z404,1)))</f>
        <v/>
      </c>
      <c r="T430" t="str">
        <f>IF(OR('Base Encuesta'!AA404="",IFERROR(VALUE(LEFT('Base Encuesta'!K404,1)),"")&gt;=3),"",VALUE(LEFT('Base Encuesta'!AA404,1)))</f>
        <v/>
      </c>
      <c r="U430" t="str">
        <f>IF(OR('Base Encuesta'!AB404="",IFERROR(VALUE(LEFT('Base Encuesta'!K404,1)),"")&gt;=3),"",VALUE(LEFT('Base Encuesta'!AB404,1)))</f>
        <v/>
      </c>
      <c r="V430" t="str">
        <f>IF(OR('Base Encuesta'!AC404="",IFERROR(VALUE(LEFT('Base Encuesta'!K404,1)),"")&gt;=3),"",VALUE(LEFT('Base Encuesta'!AC404,1)))</f>
        <v/>
      </c>
      <c r="W430" t="str">
        <f>IF(OR('Base Encuesta'!AE404="",IFERROR(VALUE(LEFT('Base Encuesta'!K404,1)),"")&gt;=3),"",VALUE(LEFT('Base Encuesta'!AE404,1)))</f>
        <v/>
      </c>
      <c r="X430" t="str">
        <f>IF(OR('Base Encuesta'!AF404="",IFERROR(VALUE(LEFT('Base Encuesta'!K404,1)),"")&gt;=3),"",IF(W430=1,VALUE(LEFT('Base Encuesta'!AF404,1)),""))</f>
        <v/>
      </c>
      <c r="Y430" t="str">
        <f>IF(OR('Base Encuesta'!AG404="",IFERROR(VALUE(LEFT('Base Encuesta'!K404,1)),"")&gt;=3),"",IF(W430=1,VALUE(LEFT('Base Encuesta'!AG404,1)),""))</f>
        <v/>
      </c>
      <c r="Z430" t="str">
        <f>IF(OR('Base Encuesta'!AH404="",IFERROR(VALUE(LEFT('Base Encuesta'!K404,1)),"")&gt;=3),"",IF(W430=1,VALUE(LEFT('Base Encuesta'!AH404,1)),""))</f>
        <v/>
      </c>
      <c r="AA430" t="str">
        <f>IF(OR('Base Encuesta'!AI404="",IFERROR(VALUE(LEFT('Base Encuesta'!K404,1)),"")&gt;=3),"",IF(W430=1,VALUE(LEFT('Base Encuesta'!AI404,1)),""))</f>
        <v/>
      </c>
      <c r="AB430" t="str">
        <f>IF(OR('Base Encuesta'!AJ404="",IFERROR(VALUE(LEFT('Base Encuesta'!K404,1)),"")&gt;=3),"",IF(W430=1,VALUE(LEFT('Base Encuesta'!AJ404,1)),""))</f>
        <v/>
      </c>
      <c r="AC430" t="str">
        <f>IF(OR('Base Encuesta'!AL404="",IFERROR(VALUE(LEFT('Base Encuesta'!K404,1)),"")&gt;=3),"",VALUE(LEFT('Base Encuesta'!AL404,1)))</f>
        <v/>
      </c>
      <c r="AD430" t="str">
        <f>IF(OR('Base Encuesta'!AM404="",IFERROR(VALUE(LEFT('Base Encuesta'!K404,1)),"")&gt;=3),"",VALUE(LEFT('Base Encuesta'!AM404,1)))</f>
        <v/>
      </c>
      <c r="AE430" t="str">
        <f>IF(OR('Base Encuesta'!AN404="",IFERROR(VALUE(LEFT('Base Encuesta'!K404,1)),"")&gt;=3),"",VALUE(LEFT('Base Encuesta'!AN404,1)))</f>
        <v/>
      </c>
      <c r="AF430" t="str">
        <f>IF(OR('Base Encuesta'!AO404="",IFERROR(VALUE(LEFT('Base Encuesta'!K404,1)),"")&gt;=3),"",VALUE(LEFT('Base Encuesta'!AO404,1)))</f>
        <v/>
      </c>
      <c r="AG430" t="str">
        <f>IF(OR('Base Encuesta'!AQ404="",IFERROR(VALUE(LEFT('Base Encuesta'!K404,1)),"")&gt;=3),"",VALUE(LEFT('Base Encuesta'!AQ404,1)))</f>
        <v/>
      </c>
      <c r="AH430" t="str">
        <f>IF(OR('Base Encuesta'!AR404="",IFERROR(VALUE(LEFT('Base Encuesta'!K404,1)),"")&gt;=3),"",VALUE(LEFT('Base Encuesta'!AR404,1)))</f>
        <v/>
      </c>
    </row>
    <row r="431" spans="1:34">
      <c r="A431" t="str">
        <f>IF('Base Encuesta'!C405="","",'Base Encuesta'!C405)</f>
        <v/>
      </c>
      <c r="B431" t="str">
        <f>IF('Base Encuesta'!D405="","",'Base Encuesta'!D405)</f>
        <v/>
      </c>
      <c r="C431" t="str">
        <f>IF('Base Encuesta'!E405="","",'Base Encuesta'!E405)</f>
        <v/>
      </c>
      <c r="D431" t="str">
        <f>IF('Base Encuesta'!F405="","",'Base Encuesta'!F405)</f>
        <v/>
      </c>
      <c r="E431" t="str">
        <f>IF('Base Encuesta'!G405="","",'Base Encuesta'!G405)</f>
        <v/>
      </c>
      <c r="F431" t="str">
        <f>IF('Base Encuesta'!H405="","",'Base Encuesta'!H405)</f>
        <v/>
      </c>
      <c r="G431" t="str">
        <f>IF('Base Encuesta'!I405="","",'Base Encuesta'!I405)</f>
        <v/>
      </c>
      <c r="H431" t="str">
        <f>IF('Base Encuesta'!J405="","",'Base Encuesta'!J405)</f>
        <v/>
      </c>
      <c r="I431" t="str">
        <f>IF('Base Encuesta'!K405="","",'Base Encuesta'!K405)</f>
        <v/>
      </c>
      <c r="J431" t="str">
        <f>IF(OR('Base Encuesta'!P405="",IFERROR(VALUE(LEFT('Base Encuesta'!K405,1)),"")&gt;=3),"",PROPER(TRIM('Base Encuesta'!P405)))</f>
        <v/>
      </c>
      <c r="K431" t="str">
        <f>IF(OR('Base Encuesta'!Q405="",IFERROR(VALUE(LEFT('Base Encuesta'!K405,1)),"")&gt;=3),"",'Base Encuesta'!Q405)</f>
        <v/>
      </c>
      <c r="L431" t="str">
        <f>IF(OR('Base Encuesta'!R405="",IFERROR(VALUE(LEFT('Base Encuesta'!K405,1)),"")&gt;=3),"",VALUE(LEFT('Base Encuesta'!R405,1)))</f>
        <v/>
      </c>
      <c r="M431" t="str">
        <f>IF(OR('Base Encuesta'!S405="",IFERROR(VALUE(LEFT('Base Encuesta'!K405,1)),"")&gt;=3),"",VALUE(LEFT('Base Encuesta'!S405,1)))</f>
        <v/>
      </c>
      <c r="N431" t="str">
        <f>IF(OR('Base Encuesta'!T405="",IFERROR(VALUE(LEFT('Base Encuesta'!K405,1)),"")&gt;=3),"",VALUE(LEFT('Base Encuesta'!T405,1)))</f>
        <v/>
      </c>
      <c r="O431" t="str">
        <f>IF(OR('Base Encuesta'!V405="",IFERROR(VALUE(LEFT('Base Encuesta'!K405,1)),"")&gt;=3),"",VALUE(LEFT('Base Encuesta'!V405,1)))</f>
        <v/>
      </c>
      <c r="P431" t="str">
        <f>IF(OR('Base Encuesta'!W405="",IFERROR(VALUE(LEFT('Base Encuesta'!K405,1)),"")&gt;=3),"",VALUE(LEFT('Base Encuesta'!W405,1)))</f>
        <v/>
      </c>
      <c r="Q431" t="str">
        <f>IF(OR('Base Encuesta'!X405="",IFERROR(VALUE(LEFT('Base Encuesta'!K405,1)),"")&gt;=3),"",VALUE(LEFT('Base Encuesta'!X405,1)))</f>
        <v/>
      </c>
      <c r="R431" t="str">
        <f>IF(OR('Base Encuesta'!Y405="",IFERROR(VALUE(LEFT('Base Encuesta'!K405,1)),"")&gt;=3),"",VALUE(LEFT('Base Encuesta'!Y405,1)))</f>
        <v/>
      </c>
      <c r="S431" t="str">
        <f>IF(OR('Base Encuesta'!Z405="",IFERROR(VALUE(LEFT('Base Encuesta'!K405,1)),"")&gt;=3),"",VALUE(LEFT('Base Encuesta'!Z405,1)))</f>
        <v/>
      </c>
      <c r="T431" t="str">
        <f>IF(OR('Base Encuesta'!AA405="",IFERROR(VALUE(LEFT('Base Encuesta'!K405,1)),"")&gt;=3),"",VALUE(LEFT('Base Encuesta'!AA405,1)))</f>
        <v/>
      </c>
      <c r="U431" t="str">
        <f>IF(OR('Base Encuesta'!AB405="",IFERROR(VALUE(LEFT('Base Encuesta'!K405,1)),"")&gt;=3),"",VALUE(LEFT('Base Encuesta'!AB405,1)))</f>
        <v/>
      </c>
      <c r="V431" t="str">
        <f>IF(OR('Base Encuesta'!AC405="",IFERROR(VALUE(LEFT('Base Encuesta'!K405,1)),"")&gt;=3),"",VALUE(LEFT('Base Encuesta'!AC405,1)))</f>
        <v/>
      </c>
      <c r="W431" t="str">
        <f>IF(OR('Base Encuesta'!AE405="",IFERROR(VALUE(LEFT('Base Encuesta'!K405,1)),"")&gt;=3),"",VALUE(LEFT('Base Encuesta'!AE405,1)))</f>
        <v/>
      </c>
      <c r="X431" t="str">
        <f>IF(OR('Base Encuesta'!AF405="",IFERROR(VALUE(LEFT('Base Encuesta'!K405,1)),"")&gt;=3),"",IF(W431=1,VALUE(LEFT('Base Encuesta'!AF405,1)),""))</f>
        <v/>
      </c>
      <c r="Y431" t="str">
        <f>IF(OR('Base Encuesta'!AG405="",IFERROR(VALUE(LEFT('Base Encuesta'!K405,1)),"")&gt;=3),"",IF(W431=1,VALUE(LEFT('Base Encuesta'!AG405,1)),""))</f>
        <v/>
      </c>
      <c r="Z431" t="str">
        <f>IF(OR('Base Encuesta'!AH405="",IFERROR(VALUE(LEFT('Base Encuesta'!K405,1)),"")&gt;=3),"",IF(W431=1,VALUE(LEFT('Base Encuesta'!AH405,1)),""))</f>
        <v/>
      </c>
      <c r="AA431" t="str">
        <f>IF(OR('Base Encuesta'!AI405="",IFERROR(VALUE(LEFT('Base Encuesta'!K405,1)),"")&gt;=3),"",IF(W431=1,VALUE(LEFT('Base Encuesta'!AI405,1)),""))</f>
        <v/>
      </c>
      <c r="AB431" t="str">
        <f>IF(OR('Base Encuesta'!AJ405="",IFERROR(VALUE(LEFT('Base Encuesta'!K405,1)),"")&gt;=3),"",IF(W431=1,VALUE(LEFT('Base Encuesta'!AJ405,1)),""))</f>
        <v/>
      </c>
      <c r="AC431" t="str">
        <f>IF(OR('Base Encuesta'!AL405="",IFERROR(VALUE(LEFT('Base Encuesta'!K405,1)),"")&gt;=3),"",VALUE(LEFT('Base Encuesta'!AL405,1)))</f>
        <v/>
      </c>
      <c r="AD431" t="str">
        <f>IF(OR('Base Encuesta'!AM405="",IFERROR(VALUE(LEFT('Base Encuesta'!K405,1)),"")&gt;=3),"",VALUE(LEFT('Base Encuesta'!AM405,1)))</f>
        <v/>
      </c>
      <c r="AE431" t="str">
        <f>IF(OR('Base Encuesta'!AN405="",IFERROR(VALUE(LEFT('Base Encuesta'!K405,1)),"")&gt;=3),"",VALUE(LEFT('Base Encuesta'!AN405,1)))</f>
        <v/>
      </c>
      <c r="AF431" t="str">
        <f>IF(OR('Base Encuesta'!AO405="",IFERROR(VALUE(LEFT('Base Encuesta'!K405,1)),"")&gt;=3),"",VALUE(LEFT('Base Encuesta'!AO405,1)))</f>
        <v/>
      </c>
      <c r="AG431" t="str">
        <f>IF(OR('Base Encuesta'!AQ405="",IFERROR(VALUE(LEFT('Base Encuesta'!K405,1)),"")&gt;=3),"",VALUE(LEFT('Base Encuesta'!AQ405,1)))</f>
        <v/>
      </c>
      <c r="AH431" t="str">
        <f>IF(OR('Base Encuesta'!AR405="",IFERROR(VALUE(LEFT('Base Encuesta'!K405,1)),"")&gt;=3),"",VALUE(LEFT('Base Encuesta'!AR405,1)))</f>
        <v/>
      </c>
    </row>
    <row r="432" spans="1:34">
      <c r="A432" t="str">
        <f>IF('Base Encuesta'!C406="","",'Base Encuesta'!C406)</f>
        <v/>
      </c>
      <c r="B432" t="str">
        <f>IF('Base Encuesta'!D406="","",'Base Encuesta'!D406)</f>
        <v/>
      </c>
      <c r="C432" t="str">
        <f>IF('Base Encuesta'!E406="","",'Base Encuesta'!E406)</f>
        <v/>
      </c>
      <c r="D432" t="str">
        <f>IF('Base Encuesta'!F406="","",'Base Encuesta'!F406)</f>
        <v/>
      </c>
      <c r="E432" t="str">
        <f>IF('Base Encuesta'!G406="","",'Base Encuesta'!G406)</f>
        <v/>
      </c>
      <c r="F432" t="str">
        <f>IF('Base Encuesta'!H406="","",'Base Encuesta'!H406)</f>
        <v/>
      </c>
      <c r="G432" t="str">
        <f>IF('Base Encuesta'!I406="","",'Base Encuesta'!I406)</f>
        <v/>
      </c>
      <c r="H432" t="str">
        <f>IF('Base Encuesta'!J406="","",'Base Encuesta'!J406)</f>
        <v/>
      </c>
      <c r="I432" t="str">
        <f>IF('Base Encuesta'!K406="","",'Base Encuesta'!K406)</f>
        <v/>
      </c>
      <c r="J432" t="str">
        <f>IF(OR('Base Encuesta'!P406="",IFERROR(VALUE(LEFT('Base Encuesta'!K406,1)),"")&gt;=3),"",PROPER(TRIM('Base Encuesta'!P406)))</f>
        <v/>
      </c>
      <c r="K432" t="str">
        <f>IF(OR('Base Encuesta'!Q406="",IFERROR(VALUE(LEFT('Base Encuesta'!K406,1)),"")&gt;=3),"",'Base Encuesta'!Q406)</f>
        <v/>
      </c>
      <c r="L432" t="str">
        <f>IF(OR('Base Encuesta'!R406="",IFERROR(VALUE(LEFT('Base Encuesta'!K406,1)),"")&gt;=3),"",VALUE(LEFT('Base Encuesta'!R406,1)))</f>
        <v/>
      </c>
      <c r="M432" t="str">
        <f>IF(OR('Base Encuesta'!S406="",IFERROR(VALUE(LEFT('Base Encuesta'!K406,1)),"")&gt;=3),"",VALUE(LEFT('Base Encuesta'!S406,1)))</f>
        <v/>
      </c>
      <c r="N432" t="str">
        <f>IF(OR('Base Encuesta'!T406="",IFERROR(VALUE(LEFT('Base Encuesta'!K406,1)),"")&gt;=3),"",VALUE(LEFT('Base Encuesta'!T406,1)))</f>
        <v/>
      </c>
      <c r="O432" t="str">
        <f>IF(OR('Base Encuesta'!V406="",IFERROR(VALUE(LEFT('Base Encuesta'!K406,1)),"")&gt;=3),"",VALUE(LEFT('Base Encuesta'!V406,1)))</f>
        <v/>
      </c>
      <c r="P432" t="str">
        <f>IF(OR('Base Encuesta'!W406="",IFERROR(VALUE(LEFT('Base Encuesta'!K406,1)),"")&gt;=3),"",VALUE(LEFT('Base Encuesta'!W406,1)))</f>
        <v/>
      </c>
      <c r="Q432" t="str">
        <f>IF(OR('Base Encuesta'!X406="",IFERROR(VALUE(LEFT('Base Encuesta'!K406,1)),"")&gt;=3),"",VALUE(LEFT('Base Encuesta'!X406,1)))</f>
        <v/>
      </c>
      <c r="R432" t="str">
        <f>IF(OR('Base Encuesta'!Y406="",IFERROR(VALUE(LEFT('Base Encuesta'!K406,1)),"")&gt;=3),"",VALUE(LEFT('Base Encuesta'!Y406,1)))</f>
        <v/>
      </c>
      <c r="S432" t="str">
        <f>IF(OR('Base Encuesta'!Z406="",IFERROR(VALUE(LEFT('Base Encuesta'!K406,1)),"")&gt;=3),"",VALUE(LEFT('Base Encuesta'!Z406,1)))</f>
        <v/>
      </c>
      <c r="T432" t="str">
        <f>IF(OR('Base Encuesta'!AA406="",IFERROR(VALUE(LEFT('Base Encuesta'!K406,1)),"")&gt;=3),"",VALUE(LEFT('Base Encuesta'!AA406,1)))</f>
        <v/>
      </c>
      <c r="U432" t="str">
        <f>IF(OR('Base Encuesta'!AB406="",IFERROR(VALUE(LEFT('Base Encuesta'!K406,1)),"")&gt;=3),"",VALUE(LEFT('Base Encuesta'!AB406,1)))</f>
        <v/>
      </c>
      <c r="V432" t="str">
        <f>IF(OR('Base Encuesta'!AC406="",IFERROR(VALUE(LEFT('Base Encuesta'!K406,1)),"")&gt;=3),"",VALUE(LEFT('Base Encuesta'!AC406,1)))</f>
        <v/>
      </c>
      <c r="W432" t="str">
        <f>IF(OR('Base Encuesta'!AE406="",IFERROR(VALUE(LEFT('Base Encuesta'!K406,1)),"")&gt;=3),"",VALUE(LEFT('Base Encuesta'!AE406,1)))</f>
        <v/>
      </c>
      <c r="X432" t="str">
        <f>IF(OR('Base Encuesta'!AF406="",IFERROR(VALUE(LEFT('Base Encuesta'!K406,1)),"")&gt;=3),"",IF(W432=1,VALUE(LEFT('Base Encuesta'!AF406,1)),""))</f>
        <v/>
      </c>
      <c r="Y432" t="str">
        <f>IF(OR('Base Encuesta'!AG406="",IFERROR(VALUE(LEFT('Base Encuesta'!K406,1)),"")&gt;=3),"",IF(W432=1,VALUE(LEFT('Base Encuesta'!AG406,1)),""))</f>
        <v/>
      </c>
      <c r="Z432" t="str">
        <f>IF(OR('Base Encuesta'!AH406="",IFERROR(VALUE(LEFT('Base Encuesta'!K406,1)),"")&gt;=3),"",IF(W432=1,VALUE(LEFT('Base Encuesta'!AH406,1)),""))</f>
        <v/>
      </c>
      <c r="AA432" t="str">
        <f>IF(OR('Base Encuesta'!AI406="",IFERROR(VALUE(LEFT('Base Encuesta'!K406,1)),"")&gt;=3),"",IF(W432=1,VALUE(LEFT('Base Encuesta'!AI406,1)),""))</f>
        <v/>
      </c>
      <c r="AB432" t="str">
        <f>IF(OR('Base Encuesta'!AJ406="",IFERROR(VALUE(LEFT('Base Encuesta'!K406,1)),"")&gt;=3),"",IF(W432=1,VALUE(LEFT('Base Encuesta'!AJ406,1)),""))</f>
        <v/>
      </c>
      <c r="AC432" t="str">
        <f>IF(OR('Base Encuesta'!AL406="",IFERROR(VALUE(LEFT('Base Encuesta'!K406,1)),"")&gt;=3),"",VALUE(LEFT('Base Encuesta'!AL406,1)))</f>
        <v/>
      </c>
      <c r="AD432" t="str">
        <f>IF(OR('Base Encuesta'!AM406="",IFERROR(VALUE(LEFT('Base Encuesta'!K406,1)),"")&gt;=3),"",VALUE(LEFT('Base Encuesta'!AM406,1)))</f>
        <v/>
      </c>
      <c r="AE432" t="str">
        <f>IF(OR('Base Encuesta'!AN406="",IFERROR(VALUE(LEFT('Base Encuesta'!K406,1)),"")&gt;=3),"",VALUE(LEFT('Base Encuesta'!AN406,1)))</f>
        <v/>
      </c>
      <c r="AF432" t="str">
        <f>IF(OR('Base Encuesta'!AO406="",IFERROR(VALUE(LEFT('Base Encuesta'!K406,1)),"")&gt;=3),"",VALUE(LEFT('Base Encuesta'!AO406,1)))</f>
        <v/>
      </c>
      <c r="AG432" t="str">
        <f>IF(OR('Base Encuesta'!AQ406="",IFERROR(VALUE(LEFT('Base Encuesta'!K406,1)),"")&gt;=3),"",VALUE(LEFT('Base Encuesta'!AQ406,1)))</f>
        <v/>
      </c>
      <c r="AH432" t="str">
        <f>IF(OR('Base Encuesta'!AR406="",IFERROR(VALUE(LEFT('Base Encuesta'!K406,1)),"")&gt;=3),"",VALUE(LEFT('Base Encuesta'!AR406,1)))</f>
        <v/>
      </c>
    </row>
    <row r="433" spans="1:34">
      <c r="A433" t="str">
        <f>IF('Base Encuesta'!C407="","",'Base Encuesta'!C407)</f>
        <v/>
      </c>
      <c r="B433" t="str">
        <f>IF('Base Encuesta'!D407="","",'Base Encuesta'!D407)</f>
        <v/>
      </c>
      <c r="C433" t="str">
        <f>IF('Base Encuesta'!E407="","",'Base Encuesta'!E407)</f>
        <v/>
      </c>
      <c r="D433" t="str">
        <f>IF('Base Encuesta'!F407="","",'Base Encuesta'!F407)</f>
        <v/>
      </c>
      <c r="E433" t="str">
        <f>IF('Base Encuesta'!G407="","",'Base Encuesta'!G407)</f>
        <v/>
      </c>
      <c r="F433" t="str">
        <f>IF('Base Encuesta'!H407="","",'Base Encuesta'!H407)</f>
        <v/>
      </c>
      <c r="G433" t="str">
        <f>IF('Base Encuesta'!I407="","",'Base Encuesta'!I407)</f>
        <v/>
      </c>
      <c r="H433" t="str">
        <f>IF('Base Encuesta'!J407="","",'Base Encuesta'!J407)</f>
        <v/>
      </c>
      <c r="I433" t="str">
        <f>IF('Base Encuesta'!K407="","",'Base Encuesta'!K407)</f>
        <v/>
      </c>
      <c r="J433" t="str">
        <f>IF(OR('Base Encuesta'!P407="",IFERROR(VALUE(LEFT('Base Encuesta'!K407,1)),"")&gt;=3),"",PROPER(TRIM('Base Encuesta'!P407)))</f>
        <v/>
      </c>
      <c r="K433" t="str">
        <f>IF(OR('Base Encuesta'!Q407="",IFERROR(VALUE(LEFT('Base Encuesta'!K407,1)),"")&gt;=3),"",'Base Encuesta'!Q407)</f>
        <v/>
      </c>
      <c r="L433" t="str">
        <f>IF(OR('Base Encuesta'!R407="",IFERROR(VALUE(LEFT('Base Encuesta'!K407,1)),"")&gt;=3),"",VALUE(LEFT('Base Encuesta'!R407,1)))</f>
        <v/>
      </c>
      <c r="M433" t="str">
        <f>IF(OR('Base Encuesta'!S407="",IFERROR(VALUE(LEFT('Base Encuesta'!K407,1)),"")&gt;=3),"",VALUE(LEFT('Base Encuesta'!S407,1)))</f>
        <v/>
      </c>
      <c r="N433" t="str">
        <f>IF(OR('Base Encuesta'!T407="",IFERROR(VALUE(LEFT('Base Encuesta'!K407,1)),"")&gt;=3),"",VALUE(LEFT('Base Encuesta'!T407,1)))</f>
        <v/>
      </c>
      <c r="O433" t="str">
        <f>IF(OR('Base Encuesta'!V407="",IFERROR(VALUE(LEFT('Base Encuesta'!K407,1)),"")&gt;=3),"",VALUE(LEFT('Base Encuesta'!V407,1)))</f>
        <v/>
      </c>
      <c r="P433" t="str">
        <f>IF(OR('Base Encuesta'!W407="",IFERROR(VALUE(LEFT('Base Encuesta'!K407,1)),"")&gt;=3),"",VALUE(LEFT('Base Encuesta'!W407,1)))</f>
        <v/>
      </c>
      <c r="Q433" t="str">
        <f>IF(OR('Base Encuesta'!X407="",IFERROR(VALUE(LEFT('Base Encuesta'!K407,1)),"")&gt;=3),"",VALUE(LEFT('Base Encuesta'!X407,1)))</f>
        <v/>
      </c>
      <c r="R433" t="str">
        <f>IF(OR('Base Encuesta'!Y407="",IFERROR(VALUE(LEFT('Base Encuesta'!K407,1)),"")&gt;=3),"",VALUE(LEFT('Base Encuesta'!Y407,1)))</f>
        <v/>
      </c>
      <c r="S433" t="str">
        <f>IF(OR('Base Encuesta'!Z407="",IFERROR(VALUE(LEFT('Base Encuesta'!K407,1)),"")&gt;=3),"",VALUE(LEFT('Base Encuesta'!Z407,1)))</f>
        <v/>
      </c>
      <c r="T433" t="str">
        <f>IF(OR('Base Encuesta'!AA407="",IFERROR(VALUE(LEFT('Base Encuesta'!K407,1)),"")&gt;=3),"",VALUE(LEFT('Base Encuesta'!AA407,1)))</f>
        <v/>
      </c>
      <c r="U433" t="str">
        <f>IF(OR('Base Encuesta'!AB407="",IFERROR(VALUE(LEFT('Base Encuesta'!K407,1)),"")&gt;=3),"",VALUE(LEFT('Base Encuesta'!AB407,1)))</f>
        <v/>
      </c>
      <c r="V433" t="str">
        <f>IF(OR('Base Encuesta'!AC407="",IFERROR(VALUE(LEFT('Base Encuesta'!K407,1)),"")&gt;=3),"",VALUE(LEFT('Base Encuesta'!AC407,1)))</f>
        <v/>
      </c>
      <c r="W433" t="str">
        <f>IF(OR('Base Encuesta'!AE407="",IFERROR(VALUE(LEFT('Base Encuesta'!K407,1)),"")&gt;=3),"",VALUE(LEFT('Base Encuesta'!AE407,1)))</f>
        <v/>
      </c>
      <c r="X433" t="str">
        <f>IF(OR('Base Encuesta'!AF407="",IFERROR(VALUE(LEFT('Base Encuesta'!K407,1)),"")&gt;=3),"",IF(W433=1,VALUE(LEFT('Base Encuesta'!AF407,1)),""))</f>
        <v/>
      </c>
      <c r="Y433" t="str">
        <f>IF(OR('Base Encuesta'!AG407="",IFERROR(VALUE(LEFT('Base Encuesta'!K407,1)),"")&gt;=3),"",IF(W433=1,VALUE(LEFT('Base Encuesta'!AG407,1)),""))</f>
        <v/>
      </c>
      <c r="Z433" t="str">
        <f>IF(OR('Base Encuesta'!AH407="",IFERROR(VALUE(LEFT('Base Encuesta'!K407,1)),"")&gt;=3),"",IF(W433=1,VALUE(LEFT('Base Encuesta'!AH407,1)),""))</f>
        <v/>
      </c>
      <c r="AA433" t="str">
        <f>IF(OR('Base Encuesta'!AI407="",IFERROR(VALUE(LEFT('Base Encuesta'!K407,1)),"")&gt;=3),"",IF(W433=1,VALUE(LEFT('Base Encuesta'!AI407,1)),""))</f>
        <v/>
      </c>
      <c r="AB433" t="str">
        <f>IF(OR('Base Encuesta'!AJ407="",IFERROR(VALUE(LEFT('Base Encuesta'!K407,1)),"")&gt;=3),"",IF(W433=1,VALUE(LEFT('Base Encuesta'!AJ407,1)),""))</f>
        <v/>
      </c>
      <c r="AC433" t="str">
        <f>IF(OR('Base Encuesta'!AL407="",IFERROR(VALUE(LEFT('Base Encuesta'!K407,1)),"")&gt;=3),"",VALUE(LEFT('Base Encuesta'!AL407,1)))</f>
        <v/>
      </c>
      <c r="AD433" t="str">
        <f>IF(OR('Base Encuesta'!AM407="",IFERROR(VALUE(LEFT('Base Encuesta'!K407,1)),"")&gt;=3),"",VALUE(LEFT('Base Encuesta'!AM407,1)))</f>
        <v/>
      </c>
      <c r="AE433" t="str">
        <f>IF(OR('Base Encuesta'!AN407="",IFERROR(VALUE(LEFT('Base Encuesta'!K407,1)),"")&gt;=3),"",VALUE(LEFT('Base Encuesta'!AN407,1)))</f>
        <v/>
      </c>
      <c r="AF433" t="str">
        <f>IF(OR('Base Encuesta'!AO407="",IFERROR(VALUE(LEFT('Base Encuesta'!K407,1)),"")&gt;=3),"",VALUE(LEFT('Base Encuesta'!AO407,1)))</f>
        <v/>
      </c>
      <c r="AG433" t="str">
        <f>IF(OR('Base Encuesta'!AQ407="",IFERROR(VALUE(LEFT('Base Encuesta'!K407,1)),"")&gt;=3),"",VALUE(LEFT('Base Encuesta'!AQ407,1)))</f>
        <v/>
      </c>
      <c r="AH433" t="str">
        <f>IF(OR('Base Encuesta'!AR407="",IFERROR(VALUE(LEFT('Base Encuesta'!K407,1)),"")&gt;=3),"",VALUE(LEFT('Base Encuesta'!AR407,1)))</f>
        <v/>
      </c>
    </row>
    <row r="434" spans="1:34">
      <c r="A434" t="str">
        <f>IF('Base Encuesta'!C408="","",'Base Encuesta'!C408)</f>
        <v/>
      </c>
      <c r="B434" t="str">
        <f>IF('Base Encuesta'!D408="","",'Base Encuesta'!D408)</f>
        <v/>
      </c>
      <c r="C434" t="str">
        <f>IF('Base Encuesta'!E408="","",'Base Encuesta'!E408)</f>
        <v/>
      </c>
      <c r="D434" t="str">
        <f>IF('Base Encuesta'!F408="","",'Base Encuesta'!F408)</f>
        <v/>
      </c>
      <c r="E434" t="str">
        <f>IF('Base Encuesta'!G408="","",'Base Encuesta'!G408)</f>
        <v/>
      </c>
      <c r="F434" t="str">
        <f>IF('Base Encuesta'!H408="","",'Base Encuesta'!H408)</f>
        <v/>
      </c>
      <c r="G434" t="str">
        <f>IF('Base Encuesta'!I408="","",'Base Encuesta'!I408)</f>
        <v/>
      </c>
      <c r="H434" t="str">
        <f>IF('Base Encuesta'!J408="","",'Base Encuesta'!J408)</f>
        <v/>
      </c>
      <c r="I434" t="str">
        <f>IF('Base Encuesta'!K408="","",'Base Encuesta'!K408)</f>
        <v/>
      </c>
      <c r="J434" t="str">
        <f>IF(OR('Base Encuesta'!P408="",IFERROR(VALUE(LEFT('Base Encuesta'!K408,1)),"")&gt;=3),"",PROPER(TRIM('Base Encuesta'!P408)))</f>
        <v/>
      </c>
      <c r="K434" t="str">
        <f>IF(OR('Base Encuesta'!Q408="",IFERROR(VALUE(LEFT('Base Encuesta'!K408,1)),"")&gt;=3),"",'Base Encuesta'!Q408)</f>
        <v/>
      </c>
      <c r="L434" t="str">
        <f>IF(OR('Base Encuesta'!R408="",IFERROR(VALUE(LEFT('Base Encuesta'!K408,1)),"")&gt;=3),"",VALUE(LEFT('Base Encuesta'!R408,1)))</f>
        <v/>
      </c>
      <c r="M434" t="str">
        <f>IF(OR('Base Encuesta'!S408="",IFERROR(VALUE(LEFT('Base Encuesta'!K408,1)),"")&gt;=3),"",VALUE(LEFT('Base Encuesta'!S408,1)))</f>
        <v/>
      </c>
      <c r="N434" t="str">
        <f>IF(OR('Base Encuesta'!T408="",IFERROR(VALUE(LEFT('Base Encuesta'!K408,1)),"")&gt;=3),"",VALUE(LEFT('Base Encuesta'!T408,1)))</f>
        <v/>
      </c>
      <c r="O434" t="str">
        <f>IF(OR('Base Encuesta'!V408="",IFERROR(VALUE(LEFT('Base Encuesta'!K408,1)),"")&gt;=3),"",VALUE(LEFT('Base Encuesta'!V408,1)))</f>
        <v/>
      </c>
      <c r="P434" t="str">
        <f>IF(OR('Base Encuesta'!W408="",IFERROR(VALUE(LEFT('Base Encuesta'!K408,1)),"")&gt;=3),"",VALUE(LEFT('Base Encuesta'!W408,1)))</f>
        <v/>
      </c>
      <c r="Q434" t="str">
        <f>IF(OR('Base Encuesta'!X408="",IFERROR(VALUE(LEFT('Base Encuesta'!K408,1)),"")&gt;=3),"",VALUE(LEFT('Base Encuesta'!X408,1)))</f>
        <v/>
      </c>
      <c r="R434" t="str">
        <f>IF(OR('Base Encuesta'!Y408="",IFERROR(VALUE(LEFT('Base Encuesta'!K408,1)),"")&gt;=3),"",VALUE(LEFT('Base Encuesta'!Y408,1)))</f>
        <v/>
      </c>
      <c r="S434" t="str">
        <f>IF(OR('Base Encuesta'!Z408="",IFERROR(VALUE(LEFT('Base Encuesta'!K408,1)),"")&gt;=3),"",VALUE(LEFT('Base Encuesta'!Z408,1)))</f>
        <v/>
      </c>
      <c r="T434" t="str">
        <f>IF(OR('Base Encuesta'!AA408="",IFERROR(VALUE(LEFT('Base Encuesta'!K408,1)),"")&gt;=3),"",VALUE(LEFT('Base Encuesta'!AA408,1)))</f>
        <v/>
      </c>
      <c r="U434" t="str">
        <f>IF(OR('Base Encuesta'!AB408="",IFERROR(VALUE(LEFT('Base Encuesta'!K408,1)),"")&gt;=3),"",VALUE(LEFT('Base Encuesta'!AB408,1)))</f>
        <v/>
      </c>
      <c r="V434" t="str">
        <f>IF(OR('Base Encuesta'!AC408="",IFERROR(VALUE(LEFT('Base Encuesta'!K408,1)),"")&gt;=3),"",VALUE(LEFT('Base Encuesta'!AC408,1)))</f>
        <v/>
      </c>
      <c r="W434" t="str">
        <f>IF(OR('Base Encuesta'!AE408="",IFERROR(VALUE(LEFT('Base Encuesta'!K408,1)),"")&gt;=3),"",VALUE(LEFT('Base Encuesta'!AE408,1)))</f>
        <v/>
      </c>
      <c r="X434" t="str">
        <f>IF(OR('Base Encuesta'!AF408="",IFERROR(VALUE(LEFT('Base Encuesta'!K408,1)),"")&gt;=3),"",IF(W434=1,VALUE(LEFT('Base Encuesta'!AF408,1)),""))</f>
        <v/>
      </c>
      <c r="Y434" t="str">
        <f>IF(OR('Base Encuesta'!AG408="",IFERROR(VALUE(LEFT('Base Encuesta'!K408,1)),"")&gt;=3),"",IF(W434=1,VALUE(LEFT('Base Encuesta'!AG408,1)),""))</f>
        <v/>
      </c>
      <c r="Z434" t="str">
        <f>IF(OR('Base Encuesta'!AH408="",IFERROR(VALUE(LEFT('Base Encuesta'!K408,1)),"")&gt;=3),"",IF(W434=1,VALUE(LEFT('Base Encuesta'!AH408,1)),""))</f>
        <v/>
      </c>
      <c r="AA434" t="str">
        <f>IF(OR('Base Encuesta'!AI408="",IFERROR(VALUE(LEFT('Base Encuesta'!K408,1)),"")&gt;=3),"",IF(W434=1,VALUE(LEFT('Base Encuesta'!AI408,1)),""))</f>
        <v/>
      </c>
      <c r="AB434" t="str">
        <f>IF(OR('Base Encuesta'!AJ408="",IFERROR(VALUE(LEFT('Base Encuesta'!K408,1)),"")&gt;=3),"",IF(W434=1,VALUE(LEFT('Base Encuesta'!AJ408,1)),""))</f>
        <v/>
      </c>
      <c r="AC434" t="str">
        <f>IF(OR('Base Encuesta'!AL408="",IFERROR(VALUE(LEFT('Base Encuesta'!K408,1)),"")&gt;=3),"",VALUE(LEFT('Base Encuesta'!AL408,1)))</f>
        <v/>
      </c>
      <c r="AD434" t="str">
        <f>IF(OR('Base Encuesta'!AM408="",IFERROR(VALUE(LEFT('Base Encuesta'!K408,1)),"")&gt;=3),"",VALUE(LEFT('Base Encuesta'!AM408,1)))</f>
        <v/>
      </c>
      <c r="AE434" t="str">
        <f>IF(OR('Base Encuesta'!AN408="",IFERROR(VALUE(LEFT('Base Encuesta'!K408,1)),"")&gt;=3),"",VALUE(LEFT('Base Encuesta'!AN408,1)))</f>
        <v/>
      </c>
      <c r="AF434" t="str">
        <f>IF(OR('Base Encuesta'!AO408="",IFERROR(VALUE(LEFT('Base Encuesta'!K408,1)),"")&gt;=3),"",VALUE(LEFT('Base Encuesta'!AO408,1)))</f>
        <v/>
      </c>
      <c r="AG434" t="str">
        <f>IF(OR('Base Encuesta'!AQ408="",IFERROR(VALUE(LEFT('Base Encuesta'!K408,1)),"")&gt;=3),"",VALUE(LEFT('Base Encuesta'!AQ408,1)))</f>
        <v/>
      </c>
      <c r="AH434" t="str">
        <f>IF(OR('Base Encuesta'!AR408="",IFERROR(VALUE(LEFT('Base Encuesta'!K408,1)),"")&gt;=3),"",VALUE(LEFT('Base Encuesta'!AR408,1)))</f>
        <v/>
      </c>
    </row>
    <row r="435" spans="1:34">
      <c r="A435" t="str">
        <f>IF('Base Encuesta'!C409="","",'Base Encuesta'!C409)</f>
        <v/>
      </c>
      <c r="B435" t="str">
        <f>IF('Base Encuesta'!D409="","",'Base Encuesta'!D409)</f>
        <v/>
      </c>
      <c r="C435" t="str">
        <f>IF('Base Encuesta'!E409="","",'Base Encuesta'!E409)</f>
        <v/>
      </c>
      <c r="D435" t="str">
        <f>IF('Base Encuesta'!F409="","",'Base Encuesta'!F409)</f>
        <v/>
      </c>
      <c r="E435" t="str">
        <f>IF('Base Encuesta'!G409="","",'Base Encuesta'!G409)</f>
        <v/>
      </c>
      <c r="F435" t="str">
        <f>IF('Base Encuesta'!H409="","",'Base Encuesta'!H409)</f>
        <v/>
      </c>
      <c r="G435" t="str">
        <f>IF('Base Encuesta'!I409="","",'Base Encuesta'!I409)</f>
        <v/>
      </c>
      <c r="H435" t="str">
        <f>IF('Base Encuesta'!J409="","",'Base Encuesta'!J409)</f>
        <v/>
      </c>
      <c r="I435" t="str">
        <f>IF('Base Encuesta'!K409="","",'Base Encuesta'!K409)</f>
        <v/>
      </c>
      <c r="J435" t="str">
        <f>IF(OR('Base Encuesta'!P409="",IFERROR(VALUE(LEFT('Base Encuesta'!K409,1)),"")&gt;=3),"",PROPER(TRIM('Base Encuesta'!P409)))</f>
        <v/>
      </c>
      <c r="K435" t="str">
        <f>IF(OR('Base Encuesta'!Q409="",IFERROR(VALUE(LEFT('Base Encuesta'!K409,1)),"")&gt;=3),"",'Base Encuesta'!Q409)</f>
        <v/>
      </c>
      <c r="L435" t="str">
        <f>IF(OR('Base Encuesta'!R409="",IFERROR(VALUE(LEFT('Base Encuesta'!K409,1)),"")&gt;=3),"",VALUE(LEFT('Base Encuesta'!R409,1)))</f>
        <v/>
      </c>
      <c r="M435" t="str">
        <f>IF(OR('Base Encuesta'!S409="",IFERROR(VALUE(LEFT('Base Encuesta'!K409,1)),"")&gt;=3),"",VALUE(LEFT('Base Encuesta'!S409,1)))</f>
        <v/>
      </c>
      <c r="N435" t="str">
        <f>IF(OR('Base Encuesta'!T409="",IFERROR(VALUE(LEFT('Base Encuesta'!K409,1)),"")&gt;=3),"",VALUE(LEFT('Base Encuesta'!T409,1)))</f>
        <v/>
      </c>
      <c r="O435" t="str">
        <f>IF(OR('Base Encuesta'!V409="",IFERROR(VALUE(LEFT('Base Encuesta'!K409,1)),"")&gt;=3),"",VALUE(LEFT('Base Encuesta'!V409,1)))</f>
        <v/>
      </c>
      <c r="P435" t="str">
        <f>IF(OR('Base Encuesta'!W409="",IFERROR(VALUE(LEFT('Base Encuesta'!K409,1)),"")&gt;=3),"",VALUE(LEFT('Base Encuesta'!W409,1)))</f>
        <v/>
      </c>
      <c r="Q435" t="str">
        <f>IF(OR('Base Encuesta'!X409="",IFERROR(VALUE(LEFT('Base Encuesta'!K409,1)),"")&gt;=3),"",VALUE(LEFT('Base Encuesta'!X409,1)))</f>
        <v/>
      </c>
      <c r="R435" t="str">
        <f>IF(OR('Base Encuesta'!Y409="",IFERROR(VALUE(LEFT('Base Encuesta'!K409,1)),"")&gt;=3),"",VALUE(LEFT('Base Encuesta'!Y409,1)))</f>
        <v/>
      </c>
      <c r="S435" t="str">
        <f>IF(OR('Base Encuesta'!Z409="",IFERROR(VALUE(LEFT('Base Encuesta'!K409,1)),"")&gt;=3),"",VALUE(LEFT('Base Encuesta'!Z409,1)))</f>
        <v/>
      </c>
      <c r="T435" t="str">
        <f>IF(OR('Base Encuesta'!AA409="",IFERROR(VALUE(LEFT('Base Encuesta'!K409,1)),"")&gt;=3),"",VALUE(LEFT('Base Encuesta'!AA409,1)))</f>
        <v/>
      </c>
      <c r="U435" t="str">
        <f>IF(OR('Base Encuesta'!AB409="",IFERROR(VALUE(LEFT('Base Encuesta'!K409,1)),"")&gt;=3),"",VALUE(LEFT('Base Encuesta'!AB409,1)))</f>
        <v/>
      </c>
      <c r="V435" t="str">
        <f>IF(OR('Base Encuesta'!AC409="",IFERROR(VALUE(LEFT('Base Encuesta'!K409,1)),"")&gt;=3),"",VALUE(LEFT('Base Encuesta'!AC409,1)))</f>
        <v/>
      </c>
      <c r="W435" t="str">
        <f>IF(OR('Base Encuesta'!AE409="",IFERROR(VALUE(LEFT('Base Encuesta'!K409,1)),"")&gt;=3),"",VALUE(LEFT('Base Encuesta'!AE409,1)))</f>
        <v/>
      </c>
      <c r="X435" t="str">
        <f>IF(OR('Base Encuesta'!AF409="",IFERROR(VALUE(LEFT('Base Encuesta'!K409,1)),"")&gt;=3),"",IF(W435=1,VALUE(LEFT('Base Encuesta'!AF409,1)),""))</f>
        <v/>
      </c>
      <c r="Y435" t="str">
        <f>IF(OR('Base Encuesta'!AG409="",IFERROR(VALUE(LEFT('Base Encuesta'!K409,1)),"")&gt;=3),"",IF(W435=1,VALUE(LEFT('Base Encuesta'!AG409,1)),""))</f>
        <v/>
      </c>
      <c r="Z435" t="str">
        <f>IF(OR('Base Encuesta'!AH409="",IFERROR(VALUE(LEFT('Base Encuesta'!K409,1)),"")&gt;=3),"",IF(W435=1,VALUE(LEFT('Base Encuesta'!AH409,1)),""))</f>
        <v/>
      </c>
      <c r="AA435" t="str">
        <f>IF(OR('Base Encuesta'!AI409="",IFERROR(VALUE(LEFT('Base Encuesta'!K409,1)),"")&gt;=3),"",IF(W435=1,VALUE(LEFT('Base Encuesta'!AI409,1)),""))</f>
        <v/>
      </c>
      <c r="AB435" t="str">
        <f>IF(OR('Base Encuesta'!AJ409="",IFERROR(VALUE(LEFT('Base Encuesta'!K409,1)),"")&gt;=3),"",IF(W435=1,VALUE(LEFT('Base Encuesta'!AJ409,1)),""))</f>
        <v/>
      </c>
      <c r="AC435" t="str">
        <f>IF(OR('Base Encuesta'!AL409="",IFERROR(VALUE(LEFT('Base Encuesta'!K409,1)),"")&gt;=3),"",VALUE(LEFT('Base Encuesta'!AL409,1)))</f>
        <v/>
      </c>
      <c r="AD435" t="str">
        <f>IF(OR('Base Encuesta'!AM409="",IFERROR(VALUE(LEFT('Base Encuesta'!K409,1)),"")&gt;=3),"",VALUE(LEFT('Base Encuesta'!AM409,1)))</f>
        <v/>
      </c>
      <c r="AE435" t="str">
        <f>IF(OR('Base Encuesta'!AN409="",IFERROR(VALUE(LEFT('Base Encuesta'!K409,1)),"")&gt;=3),"",VALUE(LEFT('Base Encuesta'!AN409,1)))</f>
        <v/>
      </c>
      <c r="AF435" t="str">
        <f>IF(OR('Base Encuesta'!AO409="",IFERROR(VALUE(LEFT('Base Encuesta'!K409,1)),"")&gt;=3),"",VALUE(LEFT('Base Encuesta'!AO409,1)))</f>
        <v/>
      </c>
      <c r="AG435" t="str">
        <f>IF(OR('Base Encuesta'!AQ409="",IFERROR(VALUE(LEFT('Base Encuesta'!K409,1)),"")&gt;=3),"",VALUE(LEFT('Base Encuesta'!AQ409,1)))</f>
        <v/>
      </c>
      <c r="AH435" t="str">
        <f>IF(OR('Base Encuesta'!AR409="",IFERROR(VALUE(LEFT('Base Encuesta'!K409,1)),"")&gt;=3),"",VALUE(LEFT('Base Encuesta'!AR409,1)))</f>
        <v/>
      </c>
    </row>
    <row r="436" spans="1:34">
      <c r="A436" t="str">
        <f>IF('Base Encuesta'!C410="","",'Base Encuesta'!C410)</f>
        <v/>
      </c>
      <c r="B436" t="str">
        <f>IF('Base Encuesta'!D410="","",'Base Encuesta'!D410)</f>
        <v/>
      </c>
      <c r="C436" t="str">
        <f>IF('Base Encuesta'!E410="","",'Base Encuesta'!E410)</f>
        <v/>
      </c>
      <c r="D436" t="str">
        <f>IF('Base Encuesta'!F410="","",'Base Encuesta'!F410)</f>
        <v/>
      </c>
      <c r="E436" t="str">
        <f>IF('Base Encuesta'!G410="","",'Base Encuesta'!G410)</f>
        <v/>
      </c>
      <c r="F436" t="str">
        <f>IF('Base Encuesta'!H410="","",'Base Encuesta'!H410)</f>
        <v/>
      </c>
      <c r="G436" t="str">
        <f>IF('Base Encuesta'!I410="","",'Base Encuesta'!I410)</f>
        <v/>
      </c>
      <c r="H436" t="str">
        <f>IF('Base Encuesta'!J410="","",'Base Encuesta'!J410)</f>
        <v/>
      </c>
      <c r="I436" t="str">
        <f>IF('Base Encuesta'!K410="","",'Base Encuesta'!K410)</f>
        <v/>
      </c>
      <c r="J436" t="str">
        <f>IF(OR('Base Encuesta'!P410="",IFERROR(VALUE(LEFT('Base Encuesta'!K410,1)),"")&gt;=3),"",PROPER(TRIM('Base Encuesta'!P410)))</f>
        <v/>
      </c>
      <c r="K436" t="str">
        <f>IF(OR('Base Encuesta'!Q410="",IFERROR(VALUE(LEFT('Base Encuesta'!K410,1)),"")&gt;=3),"",'Base Encuesta'!Q410)</f>
        <v/>
      </c>
      <c r="L436" t="str">
        <f>IF(OR('Base Encuesta'!R410="",IFERROR(VALUE(LEFT('Base Encuesta'!K410,1)),"")&gt;=3),"",VALUE(LEFT('Base Encuesta'!R410,1)))</f>
        <v/>
      </c>
      <c r="M436" t="str">
        <f>IF(OR('Base Encuesta'!S410="",IFERROR(VALUE(LEFT('Base Encuesta'!K410,1)),"")&gt;=3),"",VALUE(LEFT('Base Encuesta'!S410,1)))</f>
        <v/>
      </c>
      <c r="N436" t="str">
        <f>IF(OR('Base Encuesta'!T410="",IFERROR(VALUE(LEFT('Base Encuesta'!K410,1)),"")&gt;=3),"",VALUE(LEFT('Base Encuesta'!T410,1)))</f>
        <v/>
      </c>
      <c r="O436" t="str">
        <f>IF(OR('Base Encuesta'!V410="",IFERROR(VALUE(LEFT('Base Encuesta'!K410,1)),"")&gt;=3),"",VALUE(LEFT('Base Encuesta'!V410,1)))</f>
        <v/>
      </c>
      <c r="P436" t="str">
        <f>IF(OR('Base Encuesta'!W410="",IFERROR(VALUE(LEFT('Base Encuesta'!K410,1)),"")&gt;=3),"",VALUE(LEFT('Base Encuesta'!W410,1)))</f>
        <v/>
      </c>
      <c r="Q436" t="str">
        <f>IF(OR('Base Encuesta'!X410="",IFERROR(VALUE(LEFT('Base Encuesta'!K410,1)),"")&gt;=3),"",VALUE(LEFT('Base Encuesta'!X410,1)))</f>
        <v/>
      </c>
      <c r="R436" t="str">
        <f>IF(OR('Base Encuesta'!Y410="",IFERROR(VALUE(LEFT('Base Encuesta'!K410,1)),"")&gt;=3),"",VALUE(LEFT('Base Encuesta'!Y410,1)))</f>
        <v/>
      </c>
      <c r="S436" t="str">
        <f>IF(OR('Base Encuesta'!Z410="",IFERROR(VALUE(LEFT('Base Encuesta'!K410,1)),"")&gt;=3),"",VALUE(LEFT('Base Encuesta'!Z410,1)))</f>
        <v/>
      </c>
      <c r="T436" t="str">
        <f>IF(OR('Base Encuesta'!AA410="",IFERROR(VALUE(LEFT('Base Encuesta'!K410,1)),"")&gt;=3),"",VALUE(LEFT('Base Encuesta'!AA410,1)))</f>
        <v/>
      </c>
      <c r="U436" t="str">
        <f>IF(OR('Base Encuesta'!AB410="",IFERROR(VALUE(LEFT('Base Encuesta'!K410,1)),"")&gt;=3),"",VALUE(LEFT('Base Encuesta'!AB410,1)))</f>
        <v/>
      </c>
      <c r="V436" t="str">
        <f>IF(OR('Base Encuesta'!AC410="",IFERROR(VALUE(LEFT('Base Encuesta'!K410,1)),"")&gt;=3),"",VALUE(LEFT('Base Encuesta'!AC410,1)))</f>
        <v/>
      </c>
      <c r="W436" t="str">
        <f>IF(OR('Base Encuesta'!AE410="",IFERROR(VALUE(LEFT('Base Encuesta'!K410,1)),"")&gt;=3),"",VALUE(LEFT('Base Encuesta'!AE410,1)))</f>
        <v/>
      </c>
      <c r="X436" t="str">
        <f>IF(OR('Base Encuesta'!AF410="",IFERROR(VALUE(LEFT('Base Encuesta'!K410,1)),"")&gt;=3),"",IF(W436=1,VALUE(LEFT('Base Encuesta'!AF410,1)),""))</f>
        <v/>
      </c>
      <c r="Y436" t="str">
        <f>IF(OR('Base Encuesta'!AG410="",IFERROR(VALUE(LEFT('Base Encuesta'!K410,1)),"")&gt;=3),"",IF(W436=1,VALUE(LEFT('Base Encuesta'!AG410,1)),""))</f>
        <v/>
      </c>
      <c r="Z436" t="str">
        <f>IF(OR('Base Encuesta'!AH410="",IFERROR(VALUE(LEFT('Base Encuesta'!K410,1)),"")&gt;=3),"",IF(W436=1,VALUE(LEFT('Base Encuesta'!AH410,1)),""))</f>
        <v/>
      </c>
      <c r="AA436" t="str">
        <f>IF(OR('Base Encuesta'!AI410="",IFERROR(VALUE(LEFT('Base Encuesta'!K410,1)),"")&gt;=3),"",IF(W436=1,VALUE(LEFT('Base Encuesta'!AI410,1)),""))</f>
        <v/>
      </c>
      <c r="AB436" t="str">
        <f>IF(OR('Base Encuesta'!AJ410="",IFERROR(VALUE(LEFT('Base Encuesta'!K410,1)),"")&gt;=3),"",IF(W436=1,VALUE(LEFT('Base Encuesta'!AJ410,1)),""))</f>
        <v/>
      </c>
      <c r="AC436" t="str">
        <f>IF(OR('Base Encuesta'!AL410="",IFERROR(VALUE(LEFT('Base Encuesta'!K410,1)),"")&gt;=3),"",VALUE(LEFT('Base Encuesta'!AL410,1)))</f>
        <v/>
      </c>
      <c r="AD436" t="str">
        <f>IF(OR('Base Encuesta'!AM410="",IFERROR(VALUE(LEFT('Base Encuesta'!K410,1)),"")&gt;=3),"",VALUE(LEFT('Base Encuesta'!AM410,1)))</f>
        <v/>
      </c>
      <c r="AE436" t="str">
        <f>IF(OR('Base Encuesta'!AN410="",IFERROR(VALUE(LEFT('Base Encuesta'!K410,1)),"")&gt;=3),"",VALUE(LEFT('Base Encuesta'!AN410,1)))</f>
        <v/>
      </c>
      <c r="AF436" t="str">
        <f>IF(OR('Base Encuesta'!AO410="",IFERROR(VALUE(LEFT('Base Encuesta'!K410,1)),"")&gt;=3),"",VALUE(LEFT('Base Encuesta'!AO410,1)))</f>
        <v/>
      </c>
      <c r="AG436" t="str">
        <f>IF(OR('Base Encuesta'!AQ410="",IFERROR(VALUE(LEFT('Base Encuesta'!K410,1)),"")&gt;=3),"",VALUE(LEFT('Base Encuesta'!AQ410,1)))</f>
        <v/>
      </c>
      <c r="AH436" t="str">
        <f>IF(OR('Base Encuesta'!AR410="",IFERROR(VALUE(LEFT('Base Encuesta'!K410,1)),"")&gt;=3),"",VALUE(LEFT('Base Encuesta'!AR410,1)))</f>
        <v/>
      </c>
    </row>
    <row r="437" spans="1:34">
      <c r="A437" t="str">
        <f>IF('Base Encuesta'!C411="","",'Base Encuesta'!C411)</f>
        <v/>
      </c>
      <c r="B437" t="str">
        <f>IF('Base Encuesta'!D411="","",'Base Encuesta'!D411)</f>
        <v/>
      </c>
      <c r="C437" t="str">
        <f>IF('Base Encuesta'!E411="","",'Base Encuesta'!E411)</f>
        <v/>
      </c>
      <c r="D437" t="str">
        <f>IF('Base Encuesta'!F411="","",'Base Encuesta'!F411)</f>
        <v/>
      </c>
      <c r="E437" t="str">
        <f>IF('Base Encuesta'!G411="","",'Base Encuesta'!G411)</f>
        <v/>
      </c>
      <c r="F437" t="str">
        <f>IF('Base Encuesta'!H411="","",'Base Encuesta'!H411)</f>
        <v/>
      </c>
      <c r="G437" t="str">
        <f>IF('Base Encuesta'!I411="","",'Base Encuesta'!I411)</f>
        <v/>
      </c>
      <c r="H437" t="str">
        <f>IF('Base Encuesta'!J411="","",'Base Encuesta'!J411)</f>
        <v/>
      </c>
      <c r="I437" t="str">
        <f>IF('Base Encuesta'!K411="","",'Base Encuesta'!K411)</f>
        <v/>
      </c>
      <c r="J437" t="str">
        <f>IF(OR('Base Encuesta'!P411="",IFERROR(VALUE(LEFT('Base Encuesta'!K411,1)),"")&gt;=3),"",PROPER(TRIM('Base Encuesta'!P411)))</f>
        <v/>
      </c>
      <c r="K437" t="str">
        <f>IF(OR('Base Encuesta'!Q411="",IFERROR(VALUE(LEFT('Base Encuesta'!K411,1)),"")&gt;=3),"",'Base Encuesta'!Q411)</f>
        <v/>
      </c>
      <c r="L437" t="str">
        <f>IF(OR('Base Encuesta'!R411="",IFERROR(VALUE(LEFT('Base Encuesta'!K411,1)),"")&gt;=3),"",VALUE(LEFT('Base Encuesta'!R411,1)))</f>
        <v/>
      </c>
      <c r="M437" t="str">
        <f>IF(OR('Base Encuesta'!S411="",IFERROR(VALUE(LEFT('Base Encuesta'!K411,1)),"")&gt;=3),"",VALUE(LEFT('Base Encuesta'!S411,1)))</f>
        <v/>
      </c>
      <c r="N437" t="str">
        <f>IF(OR('Base Encuesta'!T411="",IFERROR(VALUE(LEFT('Base Encuesta'!K411,1)),"")&gt;=3),"",VALUE(LEFT('Base Encuesta'!T411,1)))</f>
        <v/>
      </c>
      <c r="O437" t="str">
        <f>IF(OR('Base Encuesta'!V411="",IFERROR(VALUE(LEFT('Base Encuesta'!K411,1)),"")&gt;=3),"",VALUE(LEFT('Base Encuesta'!V411,1)))</f>
        <v/>
      </c>
      <c r="P437" t="str">
        <f>IF(OR('Base Encuesta'!W411="",IFERROR(VALUE(LEFT('Base Encuesta'!K411,1)),"")&gt;=3),"",VALUE(LEFT('Base Encuesta'!W411,1)))</f>
        <v/>
      </c>
      <c r="Q437" t="str">
        <f>IF(OR('Base Encuesta'!X411="",IFERROR(VALUE(LEFT('Base Encuesta'!K411,1)),"")&gt;=3),"",VALUE(LEFT('Base Encuesta'!X411,1)))</f>
        <v/>
      </c>
      <c r="R437" t="str">
        <f>IF(OR('Base Encuesta'!Y411="",IFERROR(VALUE(LEFT('Base Encuesta'!K411,1)),"")&gt;=3),"",VALUE(LEFT('Base Encuesta'!Y411,1)))</f>
        <v/>
      </c>
      <c r="S437" t="str">
        <f>IF(OR('Base Encuesta'!Z411="",IFERROR(VALUE(LEFT('Base Encuesta'!K411,1)),"")&gt;=3),"",VALUE(LEFT('Base Encuesta'!Z411,1)))</f>
        <v/>
      </c>
      <c r="T437" t="str">
        <f>IF(OR('Base Encuesta'!AA411="",IFERROR(VALUE(LEFT('Base Encuesta'!K411,1)),"")&gt;=3),"",VALUE(LEFT('Base Encuesta'!AA411,1)))</f>
        <v/>
      </c>
      <c r="U437" t="str">
        <f>IF(OR('Base Encuesta'!AB411="",IFERROR(VALUE(LEFT('Base Encuesta'!K411,1)),"")&gt;=3),"",VALUE(LEFT('Base Encuesta'!AB411,1)))</f>
        <v/>
      </c>
      <c r="V437" t="str">
        <f>IF(OR('Base Encuesta'!AC411="",IFERROR(VALUE(LEFT('Base Encuesta'!K411,1)),"")&gt;=3),"",VALUE(LEFT('Base Encuesta'!AC411,1)))</f>
        <v/>
      </c>
      <c r="W437" t="str">
        <f>IF(OR('Base Encuesta'!AE411="",IFERROR(VALUE(LEFT('Base Encuesta'!K411,1)),"")&gt;=3),"",VALUE(LEFT('Base Encuesta'!AE411,1)))</f>
        <v/>
      </c>
      <c r="X437" t="str">
        <f>IF(OR('Base Encuesta'!AF411="",IFERROR(VALUE(LEFT('Base Encuesta'!K411,1)),"")&gt;=3),"",IF(W437=1,VALUE(LEFT('Base Encuesta'!AF411,1)),""))</f>
        <v/>
      </c>
      <c r="Y437" t="str">
        <f>IF(OR('Base Encuesta'!AG411="",IFERROR(VALUE(LEFT('Base Encuesta'!K411,1)),"")&gt;=3),"",IF(W437=1,VALUE(LEFT('Base Encuesta'!AG411,1)),""))</f>
        <v/>
      </c>
      <c r="Z437" t="str">
        <f>IF(OR('Base Encuesta'!AH411="",IFERROR(VALUE(LEFT('Base Encuesta'!K411,1)),"")&gt;=3),"",IF(W437=1,VALUE(LEFT('Base Encuesta'!AH411,1)),""))</f>
        <v/>
      </c>
      <c r="AA437" t="str">
        <f>IF(OR('Base Encuesta'!AI411="",IFERROR(VALUE(LEFT('Base Encuesta'!K411,1)),"")&gt;=3),"",IF(W437=1,VALUE(LEFT('Base Encuesta'!AI411,1)),""))</f>
        <v/>
      </c>
      <c r="AB437" t="str">
        <f>IF(OR('Base Encuesta'!AJ411="",IFERROR(VALUE(LEFT('Base Encuesta'!K411,1)),"")&gt;=3),"",IF(W437=1,VALUE(LEFT('Base Encuesta'!AJ411,1)),""))</f>
        <v/>
      </c>
      <c r="AC437" t="str">
        <f>IF(OR('Base Encuesta'!AL411="",IFERROR(VALUE(LEFT('Base Encuesta'!K411,1)),"")&gt;=3),"",VALUE(LEFT('Base Encuesta'!AL411,1)))</f>
        <v/>
      </c>
      <c r="AD437" t="str">
        <f>IF(OR('Base Encuesta'!AM411="",IFERROR(VALUE(LEFT('Base Encuesta'!K411,1)),"")&gt;=3),"",VALUE(LEFT('Base Encuesta'!AM411,1)))</f>
        <v/>
      </c>
      <c r="AE437" t="str">
        <f>IF(OR('Base Encuesta'!AN411="",IFERROR(VALUE(LEFT('Base Encuesta'!K411,1)),"")&gt;=3),"",VALUE(LEFT('Base Encuesta'!AN411,1)))</f>
        <v/>
      </c>
      <c r="AF437" t="str">
        <f>IF(OR('Base Encuesta'!AO411="",IFERROR(VALUE(LEFT('Base Encuesta'!K411,1)),"")&gt;=3),"",VALUE(LEFT('Base Encuesta'!AO411,1)))</f>
        <v/>
      </c>
      <c r="AG437" t="str">
        <f>IF(OR('Base Encuesta'!AQ411="",IFERROR(VALUE(LEFT('Base Encuesta'!K411,1)),"")&gt;=3),"",VALUE(LEFT('Base Encuesta'!AQ411,1)))</f>
        <v/>
      </c>
      <c r="AH437" t="str">
        <f>IF(OR('Base Encuesta'!AR411="",IFERROR(VALUE(LEFT('Base Encuesta'!K411,1)),"")&gt;=3),"",VALUE(LEFT('Base Encuesta'!AR411,1)))</f>
        <v/>
      </c>
    </row>
    <row r="438" spans="1:34">
      <c r="A438" t="str">
        <f>IF('Base Encuesta'!C412="","",'Base Encuesta'!C412)</f>
        <v/>
      </c>
      <c r="B438" t="str">
        <f>IF('Base Encuesta'!D412="","",'Base Encuesta'!D412)</f>
        <v/>
      </c>
      <c r="C438" t="str">
        <f>IF('Base Encuesta'!E412="","",'Base Encuesta'!E412)</f>
        <v/>
      </c>
      <c r="D438" t="str">
        <f>IF('Base Encuesta'!F412="","",'Base Encuesta'!F412)</f>
        <v/>
      </c>
      <c r="E438" t="str">
        <f>IF('Base Encuesta'!G412="","",'Base Encuesta'!G412)</f>
        <v/>
      </c>
      <c r="F438" t="str">
        <f>IF('Base Encuesta'!H412="","",'Base Encuesta'!H412)</f>
        <v/>
      </c>
      <c r="G438" t="str">
        <f>IF('Base Encuesta'!I412="","",'Base Encuesta'!I412)</f>
        <v/>
      </c>
      <c r="H438" t="str">
        <f>IF('Base Encuesta'!J412="","",'Base Encuesta'!J412)</f>
        <v/>
      </c>
      <c r="I438" t="str">
        <f>IF('Base Encuesta'!K412="","",'Base Encuesta'!K412)</f>
        <v/>
      </c>
      <c r="J438" t="str">
        <f>IF(OR('Base Encuesta'!P412="",IFERROR(VALUE(LEFT('Base Encuesta'!K412,1)),"")&gt;=3),"",PROPER(TRIM('Base Encuesta'!P412)))</f>
        <v/>
      </c>
      <c r="K438" t="str">
        <f>IF(OR('Base Encuesta'!Q412="",IFERROR(VALUE(LEFT('Base Encuesta'!K412,1)),"")&gt;=3),"",'Base Encuesta'!Q412)</f>
        <v/>
      </c>
      <c r="L438" t="str">
        <f>IF(OR('Base Encuesta'!R412="",IFERROR(VALUE(LEFT('Base Encuesta'!K412,1)),"")&gt;=3),"",VALUE(LEFT('Base Encuesta'!R412,1)))</f>
        <v/>
      </c>
      <c r="M438" t="str">
        <f>IF(OR('Base Encuesta'!S412="",IFERROR(VALUE(LEFT('Base Encuesta'!K412,1)),"")&gt;=3),"",VALUE(LEFT('Base Encuesta'!S412,1)))</f>
        <v/>
      </c>
      <c r="N438" t="str">
        <f>IF(OR('Base Encuesta'!T412="",IFERROR(VALUE(LEFT('Base Encuesta'!K412,1)),"")&gt;=3),"",VALUE(LEFT('Base Encuesta'!T412,1)))</f>
        <v/>
      </c>
      <c r="O438" t="str">
        <f>IF(OR('Base Encuesta'!V412="",IFERROR(VALUE(LEFT('Base Encuesta'!K412,1)),"")&gt;=3),"",VALUE(LEFT('Base Encuesta'!V412,1)))</f>
        <v/>
      </c>
      <c r="P438" t="str">
        <f>IF(OR('Base Encuesta'!W412="",IFERROR(VALUE(LEFT('Base Encuesta'!K412,1)),"")&gt;=3),"",VALUE(LEFT('Base Encuesta'!W412,1)))</f>
        <v/>
      </c>
      <c r="Q438" t="str">
        <f>IF(OR('Base Encuesta'!X412="",IFERROR(VALUE(LEFT('Base Encuesta'!K412,1)),"")&gt;=3),"",VALUE(LEFT('Base Encuesta'!X412,1)))</f>
        <v/>
      </c>
      <c r="R438" t="str">
        <f>IF(OR('Base Encuesta'!Y412="",IFERROR(VALUE(LEFT('Base Encuesta'!K412,1)),"")&gt;=3),"",VALUE(LEFT('Base Encuesta'!Y412,1)))</f>
        <v/>
      </c>
      <c r="S438" t="str">
        <f>IF(OR('Base Encuesta'!Z412="",IFERROR(VALUE(LEFT('Base Encuesta'!K412,1)),"")&gt;=3),"",VALUE(LEFT('Base Encuesta'!Z412,1)))</f>
        <v/>
      </c>
      <c r="T438" t="str">
        <f>IF(OR('Base Encuesta'!AA412="",IFERROR(VALUE(LEFT('Base Encuesta'!K412,1)),"")&gt;=3),"",VALUE(LEFT('Base Encuesta'!AA412,1)))</f>
        <v/>
      </c>
      <c r="U438" t="str">
        <f>IF(OR('Base Encuesta'!AB412="",IFERROR(VALUE(LEFT('Base Encuesta'!K412,1)),"")&gt;=3),"",VALUE(LEFT('Base Encuesta'!AB412,1)))</f>
        <v/>
      </c>
      <c r="V438" t="str">
        <f>IF(OR('Base Encuesta'!AC412="",IFERROR(VALUE(LEFT('Base Encuesta'!K412,1)),"")&gt;=3),"",VALUE(LEFT('Base Encuesta'!AC412,1)))</f>
        <v/>
      </c>
      <c r="W438" t="str">
        <f>IF(OR('Base Encuesta'!AE412="",IFERROR(VALUE(LEFT('Base Encuesta'!K412,1)),"")&gt;=3),"",VALUE(LEFT('Base Encuesta'!AE412,1)))</f>
        <v/>
      </c>
      <c r="X438" t="str">
        <f>IF(OR('Base Encuesta'!AF412="",IFERROR(VALUE(LEFT('Base Encuesta'!K412,1)),"")&gt;=3),"",IF(W438=1,VALUE(LEFT('Base Encuesta'!AF412,1)),""))</f>
        <v/>
      </c>
      <c r="Y438" t="str">
        <f>IF(OR('Base Encuesta'!AG412="",IFERROR(VALUE(LEFT('Base Encuesta'!K412,1)),"")&gt;=3),"",IF(W438=1,VALUE(LEFT('Base Encuesta'!AG412,1)),""))</f>
        <v/>
      </c>
      <c r="Z438" t="str">
        <f>IF(OR('Base Encuesta'!AH412="",IFERROR(VALUE(LEFT('Base Encuesta'!K412,1)),"")&gt;=3),"",IF(W438=1,VALUE(LEFT('Base Encuesta'!AH412,1)),""))</f>
        <v/>
      </c>
      <c r="AA438" t="str">
        <f>IF(OR('Base Encuesta'!AI412="",IFERROR(VALUE(LEFT('Base Encuesta'!K412,1)),"")&gt;=3),"",IF(W438=1,VALUE(LEFT('Base Encuesta'!AI412,1)),""))</f>
        <v/>
      </c>
      <c r="AB438" t="str">
        <f>IF(OR('Base Encuesta'!AJ412="",IFERROR(VALUE(LEFT('Base Encuesta'!K412,1)),"")&gt;=3),"",IF(W438=1,VALUE(LEFT('Base Encuesta'!AJ412,1)),""))</f>
        <v/>
      </c>
      <c r="AC438" t="str">
        <f>IF(OR('Base Encuesta'!AL412="",IFERROR(VALUE(LEFT('Base Encuesta'!K412,1)),"")&gt;=3),"",VALUE(LEFT('Base Encuesta'!AL412,1)))</f>
        <v/>
      </c>
      <c r="AD438" t="str">
        <f>IF(OR('Base Encuesta'!AM412="",IFERROR(VALUE(LEFT('Base Encuesta'!K412,1)),"")&gt;=3),"",VALUE(LEFT('Base Encuesta'!AM412,1)))</f>
        <v/>
      </c>
      <c r="AE438" t="str">
        <f>IF(OR('Base Encuesta'!AN412="",IFERROR(VALUE(LEFT('Base Encuesta'!K412,1)),"")&gt;=3),"",VALUE(LEFT('Base Encuesta'!AN412,1)))</f>
        <v/>
      </c>
      <c r="AF438" t="str">
        <f>IF(OR('Base Encuesta'!AO412="",IFERROR(VALUE(LEFT('Base Encuesta'!K412,1)),"")&gt;=3),"",VALUE(LEFT('Base Encuesta'!AO412,1)))</f>
        <v/>
      </c>
      <c r="AG438" t="str">
        <f>IF(OR('Base Encuesta'!AQ412="",IFERROR(VALUE(LEFT('Base Encuesta'!K412,1)),"")&gt;=3),"",VALUE(LEFT('Base Encuesta'!AQ412,1)))</f>
        <v/>
      </c>
      <c r="AH438" t="str">
        <f>IF(OR('Base Encuesta'!AR412="",IFERROR(VALUE(LEFT('Base Encuesta'!K412,1)),"")&gt;=3),"",VALUE(LEFT('Base Encuesta'!AR412,1)))</f>
        <v/>
      </c>
    </row>
    <row r="439" spans="1:34">
      <c r="A439" t="str">
        <f>IF('Base Encuesta'!C413="","",'Base Encuesta'!C413)</f>
        <v/>
      </c>
      <c r="B439" t="str">
        <f>IF('Base Encuesta'!D413="","",'Base Encuesta'!D413)</f>
        <v/>
      </c>
      <c r="C439" t="str">
        <f>IF('Base Encuesta'!E413="","",'Base Encuesta'!E413)</f>
        <v/>
      </c>
      <c r="D439" t="str">
        <f>IF('Base Encuesta'!F413="","",'Base Encuesta'!F413)</f>
        <v/>
      </c>
      <c r="E439" t="str">
        <f>IF('Base Encuesta'!G413="","",'Base Encuesta'!G413)</f>
        <v/>
      </c>
      <c r="F439" t="str">
        <f>IF('Base Encuesta'!H413="","",'Base Encuesta'!H413)</f>
        <v/>
      </c>
      <c r="G439" t="str">
        <f>IF('Base Encuesta'!I413="","",'Base Encuesta'!I413)</f>
        <v/>
      </c>
      <c r="H439" t="str">
        <f>IF('Base Encuesta'!J413="","",'Base Encuesta'!J413)</f>
        <v/>
      </c>
      <c r="I439" t="str">
        <f>IF('Base Encuesta'!K413="","",'Base Encuesta'!K413)</f>
        <v/>
      </c>
      <c r="J439" t="str">
        <f>IF(OR('Base Encuesta'!P413="",IFERROR(VALUE(LEFT('Base Encuesta'!K413,1)),"")&gt;=3),"",PROPER(TRIM('Base Encuesta'!P413)))</f>
        <v/>
      </c>
      <c r="K439" t="str">
        <f>IF(OR('Base Encuesta'!Q413="",IFERROR(VALUE(LEFT('Base Encuesta'!K413,1)),"")&gt;=3),"",'Base Encuesta'!Q413)</f>
        <v/>
      </c>
      <c r="L439" t="str">
        <f>IF(OR('Base Encuesta'!R413="",IFERROR(VALUE(LEFT('Base Encuesta'!K413,1)),"")&gt;=3),"",VALUE(LEFT('Base Encuesta'!R413,1)))</f>
        <v/>
      </c>
      <c r="M439" t="str">
        <f>IF(OR('Base Encuesta'!S413="",IFERROR(VALUE(LEFT('Base Encuesta'!K413,1)),"")&gt;=3),"",VALUE(LEFT('Base Encuesta'!S413,1)))</f>
        <v/>
      </c>
      <c r="N439" t="str">
        <f>IF(OR('Base Encuesta'!T413="",IFERROR(VALUE(LEFT('Base Encuesta'!K413,1)),"")&gt;=3),"",VALUE(LEFT('Base Encuesta'!T413,1)))</f>
        <v/>
      </c>
      <c r="O439" t="str">
        <f>IF(OR('Base Encuesta'!V413="",IFERROR(VALUE(LEFT('Base Encuesta'!K413,1)),"")&gt;=3),"",VALUE(LEFT('Base Encuesta'!V413,1)))</f>
        <v/>
      </c>
      <c r="P439" t="str">
        <f>IF(OR('Base Encuesta'!W413="",IFERROR(VALUE(LEFT('Base Encuesta'!K413,1)),"")&gt;=3),"",VALUE(LEFT('Base Encuesta'!W413,1)))</f>
        <v/>
      </c>
      <c r="Q439" t="str">
        <f>IF(OR('Base Encuesta'!X413="",IFERROR(VALUE(LEFT('Base Encuesta'!K413,1)),"")&gt;=3),"",VALUE(LEFT('Base Encuesta'!X413,1)))</f>
        <v/>
      </c>
      <c r="R439" t="str">
        <f>IF(OR('Base Encuesta'!Y413="",IFERROR(VALUE(LEFT('Base Encuesta'!K413,1)),"")&gt;=3),"",VALUE(LEFT('Base Encuesta'!Y413,1)))</f>
        <v/>
      </c>
      <c r="S439" t="str">
        <f>IF(OR('Base Encuesta'!Z413="",IFERROR(VALUE(LEFT('Base Encuesta'!K413,1)),"")&gt;=3),"",VALUE(LEFT('Base Encuesta'!Z413,1)))</f>
        <v/>
      </c>
      <c r="T439" t="str">
        <f>IF(OR('Base Encuesta'!AA413="",IFERROR(VALUE(LEFT('Base Encuesta'!K413,1)),"")&gt;=3),"",VALUE(LEFT('Base Encuesta'!AA413,1)))</f>
        <v/>
      </c>
      <c r="U439" t="str">
        <f>IF(OR('Base Encuesta'!AB413="",IFERROR(VALUE(LEFT('Base Encuesta'!K413,1)),"")&gt;=3),"",VALUE(LEFT('Base Encuesta'!AB413,1)))</f>
        <v/>
      </c>
      <c r="V439" t="str">
        <f>IF(OR('Base Encuesta'!AC413="",IFERROR(VALUE(LEFT('Base Encuesta'!K413,1)),"")&gt;=3),"",VALUE(LEFT('Base Encuesta'!AC413,1)))</f>
        <v/>
      </c>
      <c r="W439" t="str">
        <f>IF(OR('Base Encuesta'!AE413="",IFERROR(VALUE(LEFT('Base Encuesta'!K413,1)),"")&gt;=3),"",VALUE(LEFT('Base Encuesta'!AE413,1)))</f>
        <v/>
      </c>
      <c r="X439" t="str">
        <f>IF(OR('Base Encuesta'!AF413="",IFERROR(VALUE(LEFT('Base Encuesta'!K413,1)),"")&gt;=3),"",IF(W439=1,VALUE(LEFT('Base Encuesta'!AF413,1)),""))</f>
        <v/>
      </c>
      <c r="Y439" t="str">
        <f>IF(OR('Base Encuesta'!AG413="",IFERROR(VALUE(LEFT('Base Encuesta'!K413,1)),"")&gt;=3),"",IF(W439=1,VALUE(LEFT('Base Encuesta'!AG413,1)),""))</f>
        <v/>
      </c>
      <c r="Z439" t="str">
        <f>IF(OR('Base Encuesta'!AH413="",IFERROR(VALUE(LEFT('Base Encuesta'!K413,1)),"")&gt;=3),"",IF(W439=1,VALUE(LEFT('Base Encuesta'!AH413,1)),""))</f>
        <v/>
      </c>
      <c r="AA439" t="str">
        <f>IF(OR('Base Encuesta'!AI413="",IFERROR(VALUE(LEFT('Base Encuesta'!K413,1)),"")&gt;=3),"",IF(W439=1,VALUE(LEFT('Base Encuesta'!AI413,1)),""))</f>
        <v/>
      </c>
      <c r="AB439" t="str">
        <f>IF(OR('Base Encuesta'!AJ413="",IFERROR(VALUE(LEFT('Base Encuesta'!K413,1)),"")&gt;=3),"",IF(W439=1,VALUE(LEFT('Base Encuesta'!AJ413,1)),""))</f>
        <v/>
      </c>
      <c r="AC439" t="str">
        <f>IF(OR('Base Encuesta'!AL413="",IFERROR(VALUE(LEFT('Base Encuesta'!K413,1)),"")&gt;=3),"",VALUE(LEFT('Base Encuesta'!AL413,1)))</f>
        <v/>
      </c>
      <c r="AD439" t="str">
        <f>IF(OR('Base Encuesta'!AM413="",IFERROR(VALUE(LEFT('Base Encuesta'!K413,1)),"")&gt;=3),"",VALUE(LEFT('Base Encuesta'!AM413,1)))</f>
        <v/>
      </c>
      <c r="AE439" t="str">
        <f>IF(OR('Base Encuesta'!AN413="",IFERROR(VALUE(LEFT('Base Encuesta'!K413,1)),"")&gt;=3),"",VALUE(LEFT('Base Encuesta'!AN413,1)))</f>
        <v/>
      </c>
      <c r="AF439" t="str">
        <f>IF(OR('Base Encuesta'!AO413="",IFERROR(VALUE(LEFT('Base Encuesta'!K413,1)),"")&gt;=3),"",VALUE(LEFT('Base Encuesta'!AO413,1)))</f>
        <v/>
      </c>
      <c r="AG439" t="str">
        <f>IF(OR('Base Encuesta'!AQ413="",IFERROR(VALUE(LEFT('Base Encuesta'!K413,1)),"")&gt;=3),"",VALUE(LEFT('Base Encuesta'!AQ413,1)))</f>
        <v/>
      </c>
      <c r="AH439" t="str">
        <f>IF(OR('Base Encuesta'!AR413="",IFERROR(VALUE(LEFT('Base Encuesta'!K413,1)),"")&gt;=3),"",VALUE(LEFT('Base Encuesta'!AR413,1)))</f>
        <v/>
      </c>
    </row>
    <row r="440" spans="1:34">
      <c r="A440" t="str">
        <f>IF('Base Encuesta'!C414="","",'Base Encuesta'!C414)</f>
        <v/>
      </c>
      <c r="B440" t="str">
        <f>IF('Base Encuesta'!D414="","",'Base Encuesta'!D414)</f>
        <v/>
      </c>
      <c r="C440" t="str">
        <f>IF('Base Encuesta'!E414="","",'Base Encuesta'!E414)</f>
        <v/>
      </c>
      <c r="D440" t="str">
        <f>IF('Base Encuesta'!F414="","",'Base Encuesta'!F414)</f>
        <v/>
      </c>
      <c r="E440" t="str">
        <f>IF('Base Encuesta'!G414="","",'Base Encuesta'!G414)</f>
        <v/>
      </c>
      <c r="F440" t="str">
        <f>IF('Base Encuesta'!H414="","",'Base Encuesta'!H414)</f>
        <v/>
      </c>
      <c r="G440" t="str">
        <f>IF('Base Encuesta'!I414="","",'Base Encuesta'!I414)</f>
        <v/>
      </c>
      <c r="H440" t="str">
        <f>IF('Base Encuesta'!J414="","",'Base Encuesta'!J414)</f>
        <v/>
      </c>
      <c r="I440" t="str">
        <f>IF('Base Encuesta'!K414="","",'Base Encuesta'!K414)</f>
        <v/>
      </c>
      <c r="J440" t="str">
        <f>IF(OR('Base Encuesta'!P414="",IFERROR(VALUE(LEFT('Base Encuesta'!K414,1)),"")&gt;=3),"",PROPER(TRIM('Base Encuesta'!P414)))</f>
        <v/>
      </c>
      <c r="K440" t="str">
        <f>IF(OR('Base Encuesta'!Q414="",IFERROR(VALUE(LEFT('Base Encuesta'!K414,1)),"")&gt;=3),"",'Base Encuesta'!Q414)</f>
        <v/>
      </c>
      <c r="L440" t="str">
        <f>IF(OR('Base Encuesta'!R414="",IFERROR(VALUE(LEFT('Base Encuesta'!K414,1)),"")&gt;=3),"",VALUE(LEFT('Base Encuesta'!R414,1)))</f>
        <v/>
      </c>
      <c r="M440" t="str">
        <f>IF(OR('Base Encuesta'!S414="",IFERROR(VALUE(LEFT('Base Encuesta'!K414,1)),"")&gt;=3),"",VALUE(LEFT('Base Encuesta'!S414,1)))</f>
        <v/>
      </c>
      <c r="N440" t="str">
        <f>IF(OR('Base Encuesta'!T414="",IFERROR(VALUE(LEFT('Base Encuesta'!K414,1)),"")&gt;=3),"",VALUE(LEFT('Base Encuesta'!T414,1)))</f>
        <v/>
      </c>
      <c r="O440" t="str">
        <f>IF(OR('Base Encuesta'!V414="",IFERROR(VALUE(LEFT('Base Encuesta'!K414,1)),"")&gt;=3),"",VALUE(LEFT('Base Encuesta'!V414,1)))</f>
        <v/>
      </c>
      <c r="P440" t="str">
        <f>IF(OR('Base Encuesta'!W414="",IFERROR(VALUE(LEFT('Base Encuesta'!K414,1)),"")&gt;=3),"",VALUE(LEFT('Base Encuesta'!W414,1)))</f>
        <v/>
      </c>
      <c r="Q440" t="str">
        <f>IF(OR('Base Encuesta'!X414="",IFERROR(VALUE(LEFT('Base Encuesta'!K414,1)),"")&gt;=3),"",VALUE(LEFT('Base Encuesta'!X414,1)))</f>
        <v/>
      </c>
      <c r="R440" t="str">
        <f>IF(OR('Base Encuesta'!Y414="",IFERROR(VALUE(LEFT('Base Encuesta'!K414,1)),"")&gt;=3),"",VALUE(LEFT('Base Encuesta'!Y414,1)))</f>
        <v/>
      </c>
      <c r="S440" t="str">
        <f>IF(OR('Base Encuesta'!Z414="",IFERROR(VALUE(LEFT('Base Encuesta'!K414,1)),"")&gt;=3),"",VALUE(LEFT('Base Encuesta'!Z414,1)))</f>
        <v/>
      </c>
      <c r="T440" t="str">
        <f>IF(OR('Base Encuesta'!AA414="",IFERROR(VALUE(LEFT('Base Encuesta'!K414,1)),"")&gt;=3),"",VALUE(LEFT('Base Encuesta'!AA414,1)))</f>
        <v/>
      </c>
      <c r="U440" t="str">
        <f>IF(OR('Base Encuesta'!AB414="",IFERROR(VALUE(LEFT('Base Encuesta'!K414,1)),"")&gt;=3),"",VALUE(LEFT('Base Encuesta'!AB414,1)))</f>
        <v/>
      </c>
      <c r="V440" t="str">
        <f>IF(OR('Base Encuesta'!AC414="",IFERROR(VALUE(LEFT('Base Encuesta'!K414,1)),"")&gt;=3),"",VALUE(LEFT('Base Encuesta'!AC414,1)))</f>
        <v/>
      </c>
      <c r="W440" t="str">
        <f>IF(OR('Base Encuesta'!AE414="",IFERROR(VALUE(LEFT('Base Encuesta'!K414,1)),"")&gt;=3),"",VALUE(LEFT('Base Encuesta'!AE414,1)))</f>
        <v/>
      </c>
      <c r="X440" t="str">
        <f>IF(OR('Base Encuesta'!AF414="",IFERROR(VALUE(LEFT('Base Encuesta'!K414,1)),"")&gt;=3),"",IF(W440=1,VALUE(LEFT('Base Encuesta'!AF414,1)),""))</f>
        <v/>
      </c>
      <c r="Y440" t="str">
        <f>IF(OR('Base Encuesta'!AG414="",IFERROR(VALUE(LEFT('Base Encuesta'!K414,1)),"")&gt;=3),"",IF(W440=1,VALUE(LEFT('Base Encuesta'!AG414,1)),""))</f>
        <v/>
      </c>
      <c r="Z440" t="str">
        <f>IF(OR('Base Encuesta'!AH414="",IFERROR(VALUE(LEFT('Base Encuesta'!K414,1)),"")&gt;=3),"",IF(W440=1,VALUE(LEFT('Base Encuesta'!AH414,1)),""))</f>
        <v/>
      </c>
      <c r="AA440" t="str">
        <f>IF(OR('Base Encuesta'!AI414="",IFERROR(VALUE(LEFT('Base Encuesta'!K414,1)),"")&gt;=3),"",IF(W440=1,VALUE(LEFT('Base Encuesta'!AI414,1)),""))</f>
        <v/>
      </c>
      <c r="AB440" t="str">
        <f>IF(OR('Base Encuesta'!AJ414="",IFERROR(VALUE(LEFT('Base Encuesta'!K414,1)),"")&gt;=3),"",IF(W440=1,VALUE(LEFT('Base Encuesta'!AJ414,1)),""))</f>
        <v/>
      </c>
      <c r="AC440" t="str">
        <f>IF(OR('Base Encuesta'!AL414="",IFERROR(VALUE(LEFT('Base Encuesta'!K414,1)),"")&gt;=3),"",VALUE(LEFT('Base Encuesta'!AL414,1)))</f>
        <v/>
      </c>
      <c r="AD440" t="str">
        <f>IF(OR('Base Encuesta'!AM414="",IFERROR(VALUE(LEFT('Base Encuesta'!K414,1)),"")&gt;=3),"",VALUE(LEFT('Base Encuesta'!AM414,1)))</f>
        <v/>
      </c>
      <c r="AE440" t="str">
        <f>IF(OR('Base Encuesta'!AN414="",IFERROR(VALUE(LEFT('Base Encuesta'!K414,1)),"")&gt;=3),"",VALUE(LEFT('Base Encuesta'!AN414,1)))</f>
        <v/>
      </c>
      <c r="AF440" t="str">
        <f>IF(OR('Base Encuesta'!AO414="",IFERROR(VALUE(LEFT('Base Encuesta'!K414,1)),"")&gt;=3),"",VALUE(LEFT('Base Encuesta'!AO414,1)))</f>
        <v/>
      </c>
      <c r="AG440" t="str">
        <f>IF(OR('Base Encuesta'!AQ414="",IFERROR(VALUE(LEFT('Base Encuesta'!K414,1)),"")&gt;=3),"",VALUE(LEFT('Base Encuesta'!AQ414,1)))</f>
        <v/>
      </c>
      <c r="AH440" t="str">
        <f>IF(OR('Base Encuesta'!AR414="",IFERROR(VALUE(LEFT('Base Encuesta'!K414,1)),"")&gt;=3),"",VALUE(LEFT('Base Encuesta'!AR414,1)))</f>
        <v/>
      </c>
    </row>
    <row r="441" spans="1:34">
      <c r="A441" t="str">
        <f>IF('Base Encuesta'!C415="","",'Base Encuesta'!C415)</f>
        <v/>
      </c>
      <c r="B441" t="str">
        <f>IF('Base Encuesta'!D415="","",'Base Encuesta'!D415)</f>
        <v/>
      </c>
      <c r="C441" t="str">
        <f>IF('Base Encuesta'!E415="","",'Base Encuesta'!E415)</f>
        <v/>
      </c>
      <c r="D441" t="str">
        <f>IF('Base Encuesta'!F415="","",'Base Encuesta'!F415)</f>
        <v/>
      </c>
      <c r="E441" t="str">
        <f>IF('Base Encuesta'!G415="","",'Base Encuesta'!G415)</f>
        <v/>
      </c>
      <c r="F441" t="str">
        <f>IF('Base Encuesta'!H415="","",'Base Encuesta'!H415)</f>
        <v/>
      </c>
      <c r="G441" t="str">
        <f>IF('Base Encuesta'!I415="","",'Base Encuesta'!I415)</f>
        <v/>
      </c>
      <c r="H441" t="str">
        <f>IF('Base Encuesta'!J415="","",'Base Encuesta'!J415)</f>
        <v/>
      </c>
      <c r="I441" t="str">
        <f>IF('Base Encuesta'!K415="","",'Base Encuesta'!K415)</f>
        <v/>
      </c>
      <c r="J441" t="str">
        <f>IF(OR('Base Encuesta'!P415="",IFERROR(VALUE(LEFT('Base Encuesta'!K415,1)),"")&gt;=3),"",PROPER(TRIM('Base Encuesta'!P415)))</f>
        <v/>
      </c>
      <c r="K441" t="str">
        <f>IF(OR('Base Encuesta'!Q415="",IFERROR(VALUE(LEFT('Base Encuesta'!K415,1)),"")&gt;=3),"",'Base Encuesta'!Q415)</f>
        <v/>
      </c>
      <c r="L441" t="str">
        <f>IF(OR('Base Encuesta'!R415="",IFERROR(VALUE(LEFT('Base Encuesta'!K415,1)),"")&gt;=3),"",VALUE(LEFT('Base Encuesta'!R415,1)))</f>
        <v/>
      </c>
      <c r="M441" t="str">
        <f>IF(OR('Base Encuesta'!S415="",IFERROR(VALUE(LEFT('Base Encuesta'!K415,1)),"")&gt;=3),"",VALUE(LEFT('Base Encuesta'!S415,1)))</f>
        <v/>
      </c>
      <c r="N441" t="str">
        <f>IF(OR('Base Encuesta'!T415="",IFERROR(VALUE(LEFT('Base Encuesta'!K415,1)),"")&gt;=3),"",VALUE(LEFT('Base Encuesta'!T415,1)))</f>
        <v/>
      </c>
      <c r="O441" t="str">
        <f>IF(OR('Base Encuesta'!V415="",IFERROR(VALUE(LEFT('Base Encuesta'!K415,1)),"")&gt;=3),"",VALUE(LEFT('Base Encuesta'!V415,1)))</f>
        <v/>
      </c>
      <c r="P441" t="str">
        <f>IF(OR('Base Encuesta'!W415="",IFERROR(VALUE(LEFT('Base Encuesta'!K415,1)),"")&gt;=3),"",VALUE(LEFT('Base Encuesta'!W415,1)))</f>
        <v/>
      </c>
      <c r="Q441" t="str">
        <f>IF(OR('Base Encuesta'!X415="",IFERROR(VALUE(LEFT('Base Encuesta'!K415,1)),"")&gt;=3),"",VALUE(LEFT('Base Encuesta'!X415,1)))</f>
        <v/>
      </c>
      <c r="R441" t="str">
        <f>IF(OR('Base Encuesta'!Y415="",IFERROR(VALUE(LEFT('Base Encuesta'!K415,1)),"")&gt;=3),"",VALUE(LEFT('Base Encuesta'!Y415,1)))</f>
        <v/>
      </c>
      <c r="S441" t="str">
        <f>IF(OR('Base Encuesta'!Z415="",IFERROR(VALUE(LEFT('Base Encuesta'!K415,1)),"")&gt;=3),"",VALUE(LEFT('Base Encuesta'!Z415,1)))</f>
        <v/>
      </c>
      <c r="T441" t="str">
        <f>IF(OR('Base Encuesta'!AA415="",IFERROR(VALUE(LEFT('Base Encuesta'!K415,1)),"")&gt;=3),"",VALUE(LEFT('Base Encuesta'!AA415,1)))</f>
        <v/>
      </c>
      <c r="U441" t="str">
        <f>IF(OR('Base Encuesta'!AB415="",IFERROR(VALUE(LEFT('Base Encuesta'!K415,1)),"")&gt;=3),"",VALUE(LEFT('Base Encuesta'!AB415,1)))</f>
        <v/>
      </c>
      <c r="V441" t="str">
        <f>IF(OR('Base Encuesta'!AC415="",IFERROR(VALUE(LEFT('Base Encuesta'!K415,1)),"")&gt;=3),"",VALUE(LEFT('Base Encuesta'!AC415,1)))</f>
        <v/>
      </c>
      <c r="W441" t="str">
        <f>IF(OR('Base Encuesta'!AE415="",IFERROR(VALUE(LEFT('Base Encuesta'!K415,1)),"")&gt;=3),"",VALUE(LEFT('Base Encuesta'!AE415,1)))</f>
        <v/>
      </c>
      <c r="X441" t="str">
        <f>IF(OR('Base Encuesta'!AF415="",IFERROR(VALUE(LEFT('Base Encuesta'!K415,1)),"")&gt;=3),"",IF(W441=1,VALUE(LEFT('Base Encuesta'!AF415,1)),""))</f>
        <v/>
      </c>
      <c r="Y441" t="str">
        <f>IF(OR('Base Encuesta'!AG415="",IFERROR(VALUE(LEFT('Base Encuesta'!K415,1)),"")&gt;=3),"",IF(W441=1,VALUE(LEFT('Base Encuesta'!AG415,1)),""))</f>
        <v/>
      </c>
      <c r="Z441" t="str">
        <f>IF(OR('Base Encuesta'!AH415="",IFERROR(VALUE(LEFT('Base Encuesta'!K415,1)),"")&gt;=3),"",IF(W441=1,VALUE(LEFT('Base Encuesta'!AH415,1)),""))</f>
        <v/>
      </c>
      <c r="AA441" t="str">
        <f>IF(OR('Base Encuesta'!AI415="",IFERROR(VALUE(LEFT('Base Encuesta'!K415,1)),"")&gt;=3),"",IF(W441=1,VALUE(LEFT('Base Encuesta'!AI415,1)),""))</f>
        <v/>
      </c>
      <c r="AB441" t="str">
        <f>IF(OR('Base Encuesta'!AJ415="",IFERROR(VALUE(LEFT('Base Encuesta'!K415,1)),"")&gt;=3),"",IF(W441=1,VALUE(LEFT('Base Encuesta'!AJ415,1)),""))</f>
        <v/>
      </c>
      <c r="AC441" t="str">
        <f>IF(OR('Base Encuesta'!AL415="",IFERROR(VALUE(LEFT('Base Encuesta'!K415,1)),"")&gt;=3),"",VALUE(LEFT('Base Encuesta'!AL415,1)))</f>
        <v/>
      </c>
      <c r="AD441" t="str">
        <f>IF(OR('Base Encuesta'!AM415="",IFERROR(VALUE(LEFT('Base Encuesta'!K415,1)),"")&gt;=3),"",VALUE(LEFT('Base Encuesta'!AM415,1)))</f>
        <v/>
      </c>
      <c r="AE441" t="str">
        <f>IF(OR('Base Encuesta'!AN415="",IFERROR(VALUE(LEFT('Base Encuesta'!K415,1)),"")&gt;=3),"",VALUE(LEFT('Base Encuesta'!AN415,1)))</f>
        <v/>
      </c>
      <c r="AF441" t="str">
        <f>IF(OR('Base Encuesta'!AO415="",IFERROR(VALUE(LEFT('Base Encuesta'!K415,1)),"")&gt;=3),"",VALUE(LEFT('Base Encuesta'!AO415,1)))</f>
        <v/>
      </c>
      <c r="AG441" t="str">
        <f>IF(OR('Base Encuesta'!AQ415="",IFERROR(VALUE(LEFT('Base Encuesta'!K415,1)),"")&gt;=3),"",VALUE(LEFT('Base Encuesta'!AQ415,1)))</f>
        <v/>
      </c>
      <c r="AH441" t="str">
        <f>IF(OR('Base Encuesta'!AR415="",IFERROR(VALUE(LEFT('Base Encuesta'!K415,1)),"")&gt;=3),"",VALUE(LEFT('Base Encuesta'!AR415,1)))</f>
        <v/>
      </c>
    </row>
    <row r="442" spans="1:34">
      <c r="A442" t="str">
        <f>IF('Base Encuesta'!C416="","",'Base Encuesta'!C416)</f>
        <v/>
      </c>
      <c r="B442" t="str">
        <f>IF('Base Encuesta'!D416="","",'Base Encuesta'!D416)</f>
        <v/>
      </c>
      <c r="C442" t="str">
        <f>IF('Base Encuesta'!E416="","",'Base Encuesta'!E416)</f>
        <v/>
      </c>
      <c r="D442" t="str">
        <f>IF('Base Encuesta'!F416="","",'Base Encuesta'!F416)</f>
        <v/>
      </c>
      <c r="E442" t="str">
        <f>IF('Base Encuesta'!G416="","",'Base Encuesta'!G416)</f>
        <v/>
      </c>
      <c r="F442" t="str">
        <f>IF('Base Encuesta'!H416="","",'Base Encuesta'!H416)</f>
        <v/>
      </c>
      <c r="G442" t="str">
        <f>IF('Base Encuesta'!I416="","",'Base Encuesta'!I416)</f>
        <v/>
      </c>
      <c r="H442" t="str">
        <f>IF('Base Encuesta'!J416="","",'Base Encuesta'!J416)</f>
        <v/>
      </c>
      <c r="I442" t="str">
        <f>IF('Base Encuesta'!K416="","",'Base Encuesta'!K416)</f>
        <v/>
      </c>
      <c r="J442" t="str">
        <f>IF(OR('Base Encuesta'!P416="",IFERROR(VALUE(LEFT('Base Encuesta'!K416,1)),"")&gt;=3),"",PROPER(TRIM('Base Encuesta'!P416)))</f>
        <v/>
      </c>
      <c r="K442" t="str">
        <f>IF(OR('Base Encuesta'!Q416="",IFERROR(VALUE(LEFT('Base Encuesta'!K416,1)),"")&gt;=3),"",'Base Encuesta'!Q416)</f>
        <v/>
      </c>
      <c r="L442" t="str">
        <f>IF(OR('Base Encuesta'!R416="",IFERROR(VALUE(LEFT('Base Encuesta'!K416,1)),"")&gt;=3),"",VALUE(LEFT('Base Encuesta'!R416,1)))</f>
        <v/>
      </c>
      <c r="M442" t="str">
        <f>IF(OR('Base Encuesta'!S416="",IFERROR(VALUE(LEFT('Base Encuesta'!K416,1)),"")&gt;=3),"",VALUE(LEFT('Base Encuesta'!S416,1)))</f>
        <v/>
      </c>
      <c r="N442" t="str">
        <f>IF(OR('Base Encuesta'!T416="",IFERROR(VALUE(LEFT('Base Encuesta'!K416,1)),"")&gt;=3),"",VALUE(LEFT('Base Encuesta'!T416,1)))</f>
        <v/>
      </c>
      <c r="O442" t="str">
        <f>IF(OR('Base Encuesta'!V416="",IFERROR(VALUE(LEFT('Base Encuesta'!K416,1)),"")&gt;=3),"",VALUE(LEFT('Base Encuesta'!V416,1)))</f>
        <v/>
      </c>
      <c r="P442" t="str">
        <f>IF(OR('Base Encuesta'!W416="",IFERROR(VALUE(LEFT('Base Encuesta'!K416,1)),"")&gt;=3),"",VALUE(LEFT('Base Encuesta'!W416,1)))</f>
        <v/>
      </c>
      <c r="Q442" t="str">
        <f>IF(OR('Base Encuesta'!X416="",IFERROR(VALUE(LEFT('Base Encuesta'!K416,1)),"")&gt;=3),"",VALUE(LEFT('Base Encuesta'!X416,1)))</f>
        <v/>
      </c>
      <c r="R442" t="str">
        <f>IF(OR('Base Encuesta'!Y416="",IFERROR(VALUE(LEFT('Base Encuesta'!K416,1)),"")&gt;=3),"",VALUE(LEFT('Base Encuesta'!Y416,1)))</f>
        <v/>
      </c>
      <c r="S442" t="str">
        <f>IF(OR('Base Encuesta'!Z416="",IFERROR(VALUE(LEFT('Base Encuesta'!K416,1)),"")&gt;=3),"",VALUE(LEFT('Base Encuesta'!Z416,1)))</f>
        <v/>
      </c>
      <c r="T442" t="str">
        <f>IF(OR('Base Encuesta'!AA416="",IFERROR(VALUE(LEFT('Base Encuesta'!K416,1)),"")&gt;=3),"",VALUE(LEFT('Base Encuesta'!AA416,1)))</f>
        <v/>
      </c>
      <c r="U442" t="str">
        <f>IF(OR('Base Encuesta'!AB416="",IFERROR(VALUE(LEFT('Base Encuesta'!K416,1)),"")&gt;=3),"",VALUE(LEFT('Base Encuesta'!AB416,1)))</f>
        <v/>
      </c>
      <c r="V442" t="str">
        <f>IF(OR('Base Encuesta'!AC416="",IFERROR(VALUE(LEFT('Base Encuesta'!K416,1)),"")&gt;=3),"",VALUE(LEFT('Base Encuesta'!AC416,1)))</f>
        <v/>
      </c>
      <c r="W442" t="str">
        <f>IF(OR('Base Encuesta'!AE416="",IFERROR(VALUE(LEFT('Base Encuesta'!K416,1)),"")&gt;=3),"",VALUE(LEFT('Base Encuesta'!AE416,1)))</f>
        <v/>
      </c>
      <c r="X442" t="str">
        <f>IF(OR('Base Encuesta'!AF416="",IFERROR(VALUE(LEFT('Base Encuesta'!K416,1)),"")&gt;=3),"",IF(W442=1,VALUE(LEFT('Base Encuesta'!AF416,1)),""))</f>
        <v/>
      </c>
      <c r="Y442" t="str">
        <f>IF(OR('Base Encuesta'!AG416="",IFERROR(VALUE(LEFT('Base Encuesta'!K416,1)),"")&gt;=3),"",IF(W442=1,VALUE(LEFT('Base Encuesta'!AG416,1)),""))</f>
        <v/>
      </c>
      <c r="Z442" t="str">
        <f>IF(OR('Base Encuesta'!AH416="",IFERROR(VALUE(LEFT('Base Encuesta'!K416,1)),"")&gt;=3),"",IF(W442=1,VALUE(LEFT('Base Encuesta'!AH416,1)),""))</f>
        <v/>
      </c>
      <c r="AA442" t="str">
        <f>IF(OR('Base Encuesta'!AI416="",IFERROR(VALUE(LEFT('Base Encuesta'!K416,1)),"")&gt;=3),"",IF(W442=1,VALUE(LEFT('Base Encuesta'!AI416,1)),""))</f>
        <v/>
      </c>
      <c r="AB442" t="str">
        <f>IF(OR('Base Encuesta'!AJ416="",IFERROR(VALUE(LEFT('Base Encuesta'!K416,1)),"")&gt;=3),"",IF(W442=1,VALUE(LEFT('Base Encuesta'!AJ416,1)),""))</f>
        <v/>
      </c>
      <c r="AC442" t="str">
        <f>IF(OR('Base Encuesta'!AL416="",IFERROR(VALUE(LEFT('Base Encuesta'!K416,1)),"")&gt;=3),"",VALUE(LEFT('Base Encuesta'!AL416,1)))</f>
        <v/>
      </c>
      <c r="AD442" t="str">
        <f>IF(OR('Base Encuesta'!AM416="",IFERROR(VALUE(LEFT('Base Encuesta'!K416,1)),"")&gt;=3),"",VALUE(LEFT('Base Encuesta'!AM416,1)))</f>
        <v/>
      </c>
      <c r="AE442" t="str">
        <f>IF(OR('Base Encuesta'!AN416="",IFERROR(VALUE(LEFT('Base Encuesta'!K416,1)),"")&gt;=3),"",VALUE(LEFT('Base Encuesta'!AN416,1)))</f>
        <v/>
      </c>
      <c r="AF442" t="str">
        <f>IF(OR('Base Encuesta'!AO416="",IFERROR(VALUE(LEFT('Base Encuesta'!K416,1)),"")&gt;=3),"",VALUE(LEFT('Base Encuesta'!AO416,1)))</f>
        <v/>
      </c>
      <c r="AG442" t="str">
        <f>IF(OR('Base Encuesta'!AQ416="",IFERROR(VALUE(LEFT('Base Encuesta'!K416,1)),"")&gt;=3),"",VALUE(LEFT('Base Encuesta'!AQ416,1)))</f>
        <v/>
      </c>
      <c r="AH442" t="str">
        <f>IF(OR('Base Encuesta'!AR416="",IFERROR(VALUE(LEFT('Base Encuesta'!K416,1)),"")&gt;=3),"",VALUE(LEFT('Base Encuesta'!AR416,1)))</f>
        <v/>
      </c>
    </row>
    <row r="443" spans="1:34">
      <c r="A443" t="str">
        <f>IF('Base Encuesta'!C417="","",'Base Encuesta'!C417)</f>
        <v/>
      </c>
      <c r="B443" t="str">
        <f>IF('Base Encuesta'!D417="","",'Base Encuesta'!D417)</f>
        <v/>
      </c>
      <c r="C443" t="str">
        <f>IF('Base Encuesta'!E417="","",'Base Encuesta'!E417)</f>
        <v/>
      </c>
      <c r="D443" t="str">
        <f>IF('Base Encuesta'!F417="","",'Base Encuesta'!F417)</f>
        <v/>
      </c>
      <c r="E443" t="str">
        <f>IF('Base Encuesta'!G417="","",'Base Encuesta'!G417)</f>
        <v/>
      </c>
      <c r="F443" t="str">
        <f>IF('Base Encuesta'!H417="","",'Base Encuesta'!H417)</f>
        <v/>
      </c>
      <c r="G443" t="str">
        <f>IF('Base Encuesta'!I417="","",'Base Encuesta'!I417)</f>
        <v/>
      </c>
      <c r="H443" t="str">
        <f>IF('Base Encuesta'!J417="","",'Base Encuesta'!J417)</f>
        <v/>
      </c>
      <c r="I443" t="str">
        <f>IF('Base Encuesta'!K417="","",'Base Encuesta'!K417)</f>
        <v/>
      </c>
      <c r="J443" t="str">
        <f>IF(OR('Base Encuesta'!P417="",IFERROR(VALUE(LEFT('Base Encuesta'!K417,1)),"")&gt;=3),"",PROPER(TRIM('Base Encuesta'!P417)))</f>
        <v/>
      </c>
      <c r="K443" t="str">
        <f>IF(OR('Base Encuesta'!Q417="",IFERROR(VALUE(LEFT('Base Encuesta'!K417,1)),"")&gt;=3),"",'Base Encuesta'!Q417)</f>
        <v/>
      </c>
      <c r="L443" t="str">
        <f>IF(OR('Base Encuesta'!R417="",IFERROR(VALUE(LEFT('Base Encuesta'!K417,1)),"")&gt;=3),"",VALUE(LEFT('Base Encuesta'!R417,1)))</f>
        <v/>
      </c>
      <c r="M443" t="str">
        <f>IF(OR('Base Encuesta'!S417="",IFERROR(VALUE(LEFT('Base Encuesta'!K417,1)),"")&gt;=3),"",VALUE(LEFT('Base Encuesta'!S417,1)))</f>
        <v/>
      </c>
      <c r="N443" t="str">
        <f>IF(OR('Base Encuesta'!T417="",IFERROR(VALUE(LEFT('Base Encuesta'!K417,1)),"")&gt;=3),"",VALUE(LEFT('Base Encuesta'!T417,1)))</f>
        <v/>
      </c>
      <c r="O443" t="str">
        <f>IF(OR('Base Encuesta'!V417="",IFERROR(VALUE(LEFT('Base Encuesta'!K417,1)),"")&gt;=3),"",VALUE(LEFT('Base Encuesta'!V417,1)))</f>
        <v/>
      </c>
      <c r="P443" t="str">
        <f>IF(OR('Base Encuesta'!W417="",IFERROR(VALUE(LEFT('Base Encuesta'!K417,1)),"")&gt;=3),"",VALUE(LEFT('Base Encuesta'!W417,1)))</f>
        <v/>
      </c>
      <c r="Q443" t="str">
        <f>IF(OR('Base Encuesta'!X417="",IFERROR(VALUE(LEFT('Base Encuesta'!K417,1)),"")&gt;=3),"",VALUE(LEFT('Base Encuesta'!X417,1)))</f>
        <v/>
      </c>
      <c r="R443" t="str">
        <f>IF(OR('Base Encuesta'!Y417="",IFERROR(VALUE(LEFT('Base Encuesta'!K417,1)),"")&gt;=3),"",VALUE(LEFT('Base Encuesta'!Y417,1)))</f>
        <v/>
      </c>
      <c r="S443" t="str">
        <f>IF(OR('Base Encuesta'!Z417="",IFERROR(VALUE(LEFT('Base Encuesta'!K417,1)),"")&gt;=3),"",VALUE(LEFT('Base Encuesta'!Z417,1)))</f>
        <v/>
      </c>
      <c r="T443" t="str">
        <f>IF(OR('Base Encuesta'!AA417="",IFERROR(VALUE(LEFT('Base Encuesta'!K417,1)),"")&gt;=3),"",VALUE(LEFT('Base Encuesta'!AA417,1)))</f>
        <v/>
      </c>
      <c r="U443" t="str">
        <f>IF(OR('Base Encuesta'!AB417="",IFERROR(VALUE(LEFT('Base Encuesta'!K417,1)),"")&gt;=3),"",VALUE(LEFT('Base Encuesta'!AB417,1)))</f>
        <v/>
      </c>
      <c r="V443" t="str">
        <f>IF(OR('Base Encuesta'!AC417="",IFERROR(VALUE(LEFT('Base Encuesta'!K417,1)),"")&gt;=3),"",VALUE(LEFT('Base Encuesta'!AC417,1)))</f>
        <v/>
      </c>
      <c r="W443" t="str">
        <f>IF(OR('Base Encuesta'!AE417="",IFERROR(VALUE(LEFT('Base Encuesta'!K417,1)),"")&gt;=3),"",VALUE(LEFT('Base Encuesta'!AE417,1)))</f>
        <v/>
      </c>
      <c r="X443" t="str">
        <f>IF(OR('Base Encuesta'!AF417="",IFERROR(VALUE(LEFT('Base Encuesta'!K417,1)),"")&gt;=3),"",IF(W443=1,VALUE(LEFT('Base Encuesta'!AF417,1)),""))</f>
        <v/>
      </c>
      <c r="Y443" t="str">
        <f>IF(OR('Base Encuesta'!AG417="",IFERROR(VALUE(LEFT('Base Encuesta'!K417,1)),"")&gt;=3),"",IF(W443=1,VALUE(LEFT('Base Encuesta'!AG417,1)),""))</f>
        <v/>
      </c>
      <c r="Z443" t="str">
        <f>IF(OR('Base Encuesta'!AH417="",IFERROR(VALUE(LEFT('Base Encuesta'!K417,1)),"")&gt;=3),"",IF(W443=1,VALUE(LEFT('Base Encuesta'!AH417,1)),""))</f>
        <v/>
      </c>
      <c r="AA443" t="str">
        <f>IF(OR('Base Encuesta'!AI417="",IFERROR(VALUE(LEFT('Base Encuesta'!K417,1)),"")&gt;=3),"",IF(W443=1,VALUE(LEFT('Base Encuesta'!AI417,1)),""))</f>
        <v/>
      </c>
      <c r="AB443" t="str">
        <f>IF(OR('Base Encuesta'!AJ417="",IFERROR(VALUE(LEFT('Base Encuesta'!K417,1)),"")&gt;=3),"",IF(W443=1,VALUE(LEFT('Base Encuesta'!AJ417,1)),""))</f>
        <v/>
      </c>
      <c r="AC443" t="str">
        <f>IF(OR('Base Encuesta'!AL417="",IFERROR(VALUE(LEFT('Base Encuesta'!K417,1)),"")&gt;=3),"",VALUE(LEFT('Base Encuesta'!AL417,1)))</f>
        <v/>
      </c>
      <c r="AD443" t="str">
        <f>IF(OR('Base Encuesta'!AM417="",IFERROR(VALUE(LEFT('Base Encuesta'!K417,1)),"")&gt;=3),"",VALUE(LEFT('Base Encuesta'!AM417,1)))</f>
        <v/>
      </c>
      <c r="AE443" t="str">
        <f>IF(OR('Base Encuesta'!AN417="",IFERROR(VALUE(LEFT('Base Encuesta'!K417,1)),"")&gt;=3),"",VALUE(LEFT('Base Encuesta'!AN417,1)))</f>
        <v/>
      </c>
      <c r="AF443" t="str">
        <f>IF(OR('Base Encuesta'!AO417="",IFERROR(VALUE(LEFT('Base Encuesta'!K417,1)),"")&gt;=3),"",VALUE(LEFT('Base Encuesta'!AO417,1)))</f>
        <v/>
      </c>
      <c r="AG443" t="str">
        <f>IF(OR('Base Encuesta'!AQ417="",IFERROR(VALUE(LEFT('Base Encuesta'!K417,1)),"")&gt;=3),"",VALUE(LEFT('Base Encuesta'!AQ417,1)))</f>
        <v/>
      </c>
      <c r="AH443" t="str">
        <f>IF(OR('Base Encuesta'!AR417="",IFERROR(VALUE(LEFT('Base Encuesta'!K417,1)),"")&gt;=3),"",VALUE(LEFT('Base Encuesta'!AR417,1)))</f>
        <v/>
      </c>
    </row>
    <row r="444" spans="1:34">
      <c r="A444" t="str">
        <f>IF('Base Encuesta'!C418="","",'Base Encuesta'!C418)</f>
        <v/>
      </c>
      <c r="B444" t="str">
        <f>IF('Base Encuesta'!D418="","",'Base Encuesta'!D418)</f>
        <v/>
      </c>
      <c r="C444" t="str">
        <f>IF('Base Encuesta'!E418="","",'Base Encuesta'!E418)</f>
        <v/>
      </c>
      <c r="D444" t="str">
        <f>IF('Base Encuesta'!F418="","",'Base Encuesta'!F418)</f>
        <v/>
      </c>
      <c r="E444" t="str">
        <f>IF('Base Encuesta'!G418="","",'Base Encuesta'!G418)</f>
        <v/>
      </c>
      <c r="F444" t="str">
        <f>IF('Base Encuesta'!H418="","",'Base Encuesta'!H418)</f>
        <v/>
      </c>
      <c r="G444" t="str">
        <f>IF('Base Encuesta'!I418="","",'Base Encuesta'!I418)</f>
        <v/>
      </c>
      <c r="H444" t="str">
        <f>IF('Base Encuesta'!J418="","",'Base Encuesta'!J418)</f>
        <v/>
      </c>
      <c r="I444" t="str">
        <f>IF('Base Encuesta'!K418="","",'Base Encuesta'!K418)</f>
        <v/>
      </c>
      <c r="J444" t="str">
        <f>IF(OR('Base Encuesta'!P418="",IFERROR(VALUE(LEFT('Base Encuesta'!K418,1)),"")&gt;=3),"",PROPER(TRIM('Base Encuesta'!P418)))</f>
        <v/>
      </c>
      <c r="K444" t="str">
        <f>IF(OR('Base Encuesta'!Q418="",IFERROR(VALUE(LEFT('Base Encuesta'!K418,1)),"")&gt;=3),"",'Base Encuesta'!Q418)</f>
        <v/>
      </c>
      <c r="L444" t="str">
        <f>IF(OR('Base Encuesta'!R418="",IFERROR(VALUE(LEFT('Base Encuesta'!K418,1)),"")&gt;=3),"",VALUE(LEFT('Base Encuesta'!R418,1)))</f>
        <v/>
      </c>
      <c r="M444" t="str">
        <f>IF(OR('Base Encuesta'!S418="",IFERROR(VALUE(LEFT('Base Encuesta'!K418,1)),"")&gt;=3),"",VALUE(LEFT('Base Encuesta'!S418,1)))</f>
        <v/>
      </c>
      <c r="N444" t="str">
        <f>IF(OR('Base Encuesta'!T418="",IFERROR(VALUE(LEFT('Base Encuesta'!K418,1)),"")&gt;=3),"",VALUE(LEFT('Base Encuesta'!T418,1)))</f>
        <v/>
      </c>
      <c r="O444" t="str">
        <f>IF(OR('Base Encuesta'!V418="",IFERROR(VALUE(LEFT('Base Encuesta'!K418,1)),"")&gt;=3),"",VALUE(LEFT('Base Encuesta'!V418,1)))</f>
        <v/>
      </c>
      <c r="P444" t="str">
        <f>IF(OR('Base Encuesta'!W418="",IFERROR(VALUE(LEFT('Base Encuesta'!K418,1)),"")&gt;=3),"",VALUE(LEFT('Base Encuesta'!W418,1)))</f>
        <v/>
      </c>
      <c r="Q444" t="str">
        <f>IF(OR('Base Encuesta'!X418="",IFERROR(VALUE(LEFT('Base Encuesta'!K418,1)),"")&gt;=3),"",VALUE(LEFT('Base Encuesta'!X418,1)))</f>
        <v/>
      </c>
      <c r="R444" t="str">
        <f>IF(OR('Base Encuesta'!Y418="",IFERROR(VALUE(LEFT('Base Encuesta'!K418,1)),"")&gt;=3),"",VALUE(LEFT('Base Encuesta'!Y418,1)))</f>
        <v/>
      </c>
      <c r="S444" t="str">
        <f>IF(OR('Base Encuesta'!Z418="",IFERROR(VALUE(LEFT('Base Encuesta'!K418,1)),"")&gt;=3),"",VALUE(LEFT('Base Encuesta'!Z418,1)))</f>
        <v/>
      </c>
      <c r="T444" t="str">
        <f>IF(OR('Base Encuesta'!AA418="",IFERROR(VALUE(LEFT('Base Encuesta'!K418,1)),"")&gt;=3),"",VALUE(LEFT('Base Encuesta'!AA418,1)))</f>
        <v/>
      </c>
      <c r="U444" t="str">
        <f>IF(OR('Base Encuesta'!AB418="",IFERROR(VALUE(LEFT('Base Encuesta'!K418,1)),"")&gt;=3),"",VALUE(LEFT('Base Encuesta'!AB418,1)))</f>
        <v/>
      </c>
      <c r="V444" t="str">
        <f>IF(OR('Base Encuesta'!AC418="",IFERROR(VALUE(LEFT('Base Encuesta'!K418,1)),"")&gt;=3),"",VALUE(LEFT('Base Encuesta'!AC418,1)))</f>
        <v/>
      </c>
      <c r="W444" t="str">
        <f>IF(OR('Base Encuesta'!AE418="",IFERROR(VALUE(LEFT('Base Encuesta'!K418,1)),"")&gt;=3),"",VALUE(LEFT('Base Encuesta'!AE418,1)))</f>
        <v/>
      </c>
      <c r="X444" t="str">
        <f>IF(OR('Base Encuesta'!AF418="",IFERROR(VALUE(LEFT('Base Encuesta'!K418,1)),"")&gt;=3),"",IF(W444=1,VALUE(LEFT('Base Encuesta'!AF418,1)),""))</f>
        <v/>
      </c>
      <c r="Y444" t="str">
        <f>IF(OR('Base Encuesta'!AG418="",IFERROR(VALUE(LEFT('Base Encuesta'!K418,1)),"")&gt;=3),"",IF(W444=1,VALUE(LEFT('Base Encuesta'!AG418,1)),""))</f>
        <v/>
      </c>
      <c r="Z444" t="str">
        <f>IF(OR('Base Encuesta'!AH418="",IFERROR(VALUE(LEFT('Base Encuesta'!K418,1)),"")&gt;=3),"",IF(W444=1,VALUE(LEFT('Base Encuesta'!AH418,1)),""))</f>
        <v/>
      </c>
      <c r="AA444" t="str">
        <f>IF(OR('Base Encuesta'!AI418="",IFERROR(VALUE(LEFT('Base Encuesta'!K418,1)),"")&gt;=3),"",IF(W444=1,VALUE(LEFT('Base Encuesta'!AI418,1)),""))</f>
        <v/>
      </c>
      <c r="AB444" t="str">
        <f>IF(OR('Base Encuesta'!AJ418="",IFERROR(VALUE(LEFT('Base Encuesta'!K418,1)),"")&gt;=3),"",IF(W444=1,VALUE(LEFT('Base Encuesta'!AJ418,1)),""))</f>
        <v/>
      </c>
      <c r="AC444" t="str">
        <f>IF(OR('Base Encuesta'!AL418="",IFERROR(VALUE(LEFT('Base Encuesta'!K418,1)),"")&gt;=3),"",VALUE(LEFT('Base Encuesta'!AL418,1)))</f>
        <v/>
      </c>
      <c r="AD444" t="str">
        <f>IF(OR('Base Encuesta'!AM418="",IFERROR(VALUE(LEFT('Base Encuesta'!K418,1)),"")&gt;=3),"",VALUE(LEFT('Base Encuesta'!AM418,1)))</f>
        <v/>
      </c>
      <c r="AE444" t="str">
        <f>IF(OR('Base Encuesta'!AN418="",IFERROR(VALUE(LEFT('Base Encuesta'!K418,1)),"")&gt;=3),"",VALUE(LEFT('Base Encuesta'!AN418,1)))</f>
        <v/>
      </c>
      <c r="AF444" t="str">
        <f>IF(OR('Base Encuesta'!AO418="",IFERROR(VALUE(LEFT('Base Encuesta'!K418,1)),"")&gt;=3),"",VALUE(LEFT('Base Encuesta'!AO418,1)))</f>
        <v/>
      </c>
      <c r="AG444" t="str">
        <f>IF(OR('Base Encuesta'!AQ418="",IFERROR(VALUE(LEFT('Base Encuesta'!K418,1)),"")&gt;=3),"",VALUE(LEFT('Base Encuesta'!AQ418,1)))</f>
        <v/>
      </c>
      <c r="AH444" t="str">
        <f>IF(OR('Base Encuesta'!AR418="",IFERROR(VALUE(LEFT('Base Encuesta'!K418,1)),"")&gt;=3),"",VALUE(LEFT('Base Encuesta'!AR418,1)))</f>
        <v/>
      </c>
    </row>
    <row r="445" spans="1:34">
      <c r="A445" t="str">
        <f>IF('Base Encuesta'!C419="","",'Base Encuesta'!C419)</f>
        <v/>
      </c>
      <c r="B445" t="str">
        <f>IF('Base Encuesta'!D419="","",'Base Encuesta'!D419)</f>
        <v/>
      </c>
      <c r="C445" t="str">
        <f>IF('Base Encuesta'!E419="","",'Base Encuesta'!E419)</f>
        <v/>
      </c>
      <c r="D445" t="str">
        <f>IF('Base Encuesta'!F419="","",'Base Encuesta'!F419)</f>
        <v/>
      </c>
      <c r="E445" t="str">
        <f>IF('Base Encuesta'!G419="","",'Base Encuesta'!G419)</f>
        <v/>
      </c>
      <c r="F445" t="str">
        <f>IF('Base Encuesta'!H419="","",'Base Encuesta'!H419)</f>
        <v/>
      </c>
      <c r="G445" t="str">
        <f>IF('Base Encuesta'!I419="","",'Base Encuesta'!I419)</f>
        <v/>
      </c>
      <c r="H445" t="str">
        <f>IF('Base Encuesta'!J419="","",'Base Encuesta'!J419)</f>
        <v/>
      </c>
      <c r="I445" t="str">
        <f>IF('Base Encuesta'!K419="","",'Base Encuesta'!K419)</f>
        <v/>
      </c>
      <c r="J445" t="str">
        <f>IF(OR('Base Encuesta'!P419="",IFERROR(VALUE(LEFT('Base Encuesta'!K419,1)),"")&gt;=3),"",PROPER(TRIM('Base Encuesta'!P419)))</f>
        <v/>
      </c>
      <c r="K445" t="str">
        <f>IF(OR('Base Encuesta'!Q419="",IFERROR(VALUE(LEFT('Base Encuesta'!K419,1)),"")&gt;=3),"",'Base Encuesta'!Q419)</f>
        <v/>
      </c>
      <c r="L445" t="str">
        <f>IF(OR('Base Encuesta'!R419="",IFERROR(VALUE(LEFT('Base Encuesta'!K419,1)),"")&gt;=3),"",VALUE(LEFT('Base Encuesta'!R419,1)))</f>
        <v/>
      </c>
      <c r="M445" t="str">
        <f>IF(OR('Base Encuesta'!S419="",IFERROR(VALUE(LEFT('Base Encuesta'!K419,1)),"")&gt;=3),"",VALUE(LEFT('Base Encuesta'!S419,1)))</f>
        <v/>
      </c>
      <c r="N445" t="str">
        <f>IF(OR('Base Encuesta'!T419="",IFERROR(VALUE(LEFT('Base Encuesta'!K419,1)),"")&gt;=3),"",VALUE(LEFT('Base Encuesta'!T419,1)))</f>
        <v/>
      </c>
      <c r="O445" t="str">
        <f>IF(OR('Base Encuesta'!V419="",IFERROR(VALUE(LEFT('Base Encuesta'!K419,1)),"")&gt;=3),"",VALUE(LEFT('Base Encuesta'!V419,1)))</f>
        <v/>
      </c>
      <c r="P445" t="str">
        <f>IF(OR('Base Encuesta'!W419="",IFERROR(VALUE(LEFT('Base Encuesta'!K419,1)),"")&gt;=3),"",VALUE(LEFT('Base Encuesta'!W419,1)))</f>
        <v/>
      </c>
      <c r="Q445" t="str">
        <f>IF(OR('Base Encuesta'!X419="",IFERROR(VALUE(LEFT('Base Encuesta'!K419,1)),"")&gt;=3),"",VALUE(LEFT('Base Encuesta'!X419,1)))</f>
        <v/>
      </c>
      <c r="R445" t="str">
        <f>IF(OR('Base Encuesta'!Y419="",IFERROR(VALUE(LEFT('Base Encuesta'!K419,1)),"")&gt;=3),"",VALUE(LEFT('Base Encuesta'!Y419,1)))</f>
        <v/>
      </c>
      <c r="S445" t="str">
        <f>IF(OR('Base Encuesta'!Z419="",IFERROR(VALUE(LEFT('Base Encuesta'!K419,1)),"")&gt;=3),"",VALUE(LEFT('Base Encuesta'!Z419,1)))</f>
        <v/>
      </c>
      <c r="T445" t="str">
        <f>IF(OR('Base Encuesta'!AA419="",IFERROR(VALUE(LEFT('Base Encuesta'!K419,1)),"")&gt;=3),"",VALUE(LEFT('Base Encuesta'!AA419,1)))</f>
        <v/>
      </c>
      <c r="U445" t="str">
        <f>IF(OR('Base Encuesta'!AB419="",IFERROR(VALUE(LEFT('Base Encuesta'!K419,1)),"")&gt;=3),"",VALUE(LEFT('Base Encuesta'!AB419,1)))</f>
        <v/>
      </c>
      <c r="V445" t="str">
        <f>IF(OR('Base Encuesta'!AC419="",IFERROR(VALUE(LEFT('Base Encuesta'!K419,1)),"")&gt;=3),"",VALUE(LEFT('Base Encuesta'!AC419,1)))</f>
        <v/>
      </c>
      <c r="W445" t="str">
        <f>IF(OR('Base Encuesta'!AE419="",IFERROR(VALUE(LEFT('Base Encuesta'!K419,1)),"")&gt;=3),"",VALUE(LEFT('Base Encuesta'!AE419,1)))</f>
        <v/>
      </c>
      <c r="X445" t="str">
        <f>IF(OR('Base Encuesta'!AF419="",IFERROR(VALUE(LEFT('Base Encuesta'!K419,1)),"")&gt;=3),"",IF(W445=1,VALUE(LEFT('Base Encuesta'!AF419,1)),""))</f>
        <v/>
      </c>
      <c r="Y445" t="str">
        <f>IF(OR('Base Encuesta'!AG419="",IFERROR(VALUE(LEFT('Base Encuesta'!K419,1)),"")&gt;=3),"",IF(W445=1,VALUE(LEFT('Base Encuesta'!AG419,1)),""))</f>
        <v/>
      </c>
      <c r="Z445" t="str">
        <f>IF(OR('Base Encuesta'!AH419="",IFERROR(VALUE(LEFT('Base Encuesta'!K419,1)),"")&gt;=3),"",IF(W445=1,VALUE(LEFT('Base Encuesta'!AH419,1)),""))</f>
        <v/>
      </c>
      <c r="AA445" t="str">
        <f>IF(OR('Base Encuesta'!AI419="",IFERROR(VALUE(LEFT('Base Encuesta'!K419,1)),"")&gt;=3),"",IF(W445=1,VALUE(LEFT('Base Encuesta'!AI419,1)),""))</f>
        <v/>
      </c>
      <c r="AB445" t="str">
        <f>IF(OR('Base Encuesta'!AJ419="",IFERROR(VALUE(LEFT('Base Encuesta'!K419,1)),"")&gt;=3),"",IF(W445=1,VALUE(LEFT('Base Encuesta'!AJ419,1)),""))</f>
        <v/>
      </c>
      <c r="AC445" t="str">
        <f>IF(OR('Base Encuesta'!AL419="",IFERROR(VALUE(LEFT('Base Encuesta'!K419,1)),"")&gt;=3),"",VALUE(LEFT('Base Encuesta'!AL419,1)))</f>
        <v/>
      </c>
      <c r="AD445" t="str">
        <f>IF(OR('Base Encuesta'!AM419="",IFERROR(VALUE(LEFT('Base Encuesta'!K419,1)),"")&gt;=3),"",VALUE(LEFT('Base Encuesta'!AM419,1)))</f>
        <v/>
      </c>
      <c r="AE445" t="str">
        <f>IF(OR('Base Encuesta'!AN419="",IFERROR(VALUE(LEFT('Base Encuesta'!K419,1)),"")&gt;=3),"",VALUE(LEFT('Base Encuesta'!AN419,1)))</f>
        <v/>
      </c>
      <c r="AF445" t="str">
        <f>IF(OR('Base Encuesta'!AO419="",IFERROR(VALUE(LEFT('Base Encuesta'!K419,1)),"")&gt;=3),"",VALUE(LEFT('Base Encuesta'!AO419,1)))</f>
        <v/>
      </c>
      <c r="AG445" t="str">
        <f>IF(OR('Base Encuesta'!AQ419="",IFERROR(VALUE(LEFT('Base Encuesta'!K419,1)),"")&gt;=3),"",VALUE(LEFT('Base Encuesta'!AQ419,1)))</f>
        <v/>
      </c>
      <c r="AH445" t="str">
        <f>IF(OR('Base Encuesta'!AR419="",IFERROR(VALUE(LEFT('Base Encuesta'!K419,1)),"")&gt;=3),"",VALUE(LEFT('Base Encuesta'!AR419,1)))</f>
        <v/>
      </c>
    </row>
    <row r="446" spans="1:34">
      <c r="A446" t="str">
        <f>IF('Base Encuesta'!C420="","",'Base Encuesta'!C420)</f>
        <v/>
      </c>
      <c r="B446" t="str">
        <f>IF('Base Encuesta'!D420="","",'Base Encuesta'!D420)</f>
        <v/>
      </c>
      <c r="C446" t="str">
        <f>IF('Base Encuesta'!E420="","",'Base Encuesta'!E420)</f>
        <v/>
      </c>
      <c r="D446" t="str">
        <f>IF('Base Encuesta'!F420="","",'Base Encuesta'!F420)</f>
        <v/>
      </c>
      <c r="E446" t="str">
        <f>IF('Base Encuesta'!G420="","",'Base Encuesta'!G420)</f>
        <v/>
      </c>
      <c r="F446" t="str">
        <f>IF('Base Encuesta'!H420="","",'Base Encuesta'!H420)</f>
        <v/>
      </c>
      <c r="G446" t="str">
        <f>IF('Base Encuesta'!I420="","",'Base Encuesta'!I420)</f>
        <v/>
      </c>
      <c r="H446" t="str">
        <f>IF('Base Encuesta'!J420="","",'Base Encuesta'!J420)</f>
        <v/>
      </c>
      <c r="I446" t="str">
        <f>IF('Base Encuesta'!K420="","",'Base Encuesta'!K420)</f>
        <v/>
      </c>
      <c r="J446" t="str">
        <f>IF(OR('Base Encuesta'!P420="",IFERROR(VALUE(LEFT('Base Encuesta'!K420,1)),"")&gt;=3),"",PROPER(TRIM('Base Encuesta'!P420)))</f>
        <v/>
      </c>
      <c r="K446" t="str">
        <f>IF(OR('Base Encuesta'!Q420="",IFERROR(VALUE(LEFT('Base Encuesta'!K420,1)),"")&gt;=3),"",'Base Encuesta'!Q420)</f>
        <v/>
      </c>
      <c r="L446" t="str">
        <f>IF(OR('Base Encuesta'!R420="",IFERROR(VALUE(LEFT('Base Encuesta'!K420,1)),"")&gt;=3),"",VALUE(LEFT('Base Encuesta'!R420,1)))</f>
        <v/>
      </c>
      <c r="M446" t="str">
        <f>IF(OR('Base Encuesta'!S420="",IFERROR(VALUE(LEFT('Base Encuesta'!K420,1)),"")&gt;=3),"",VALUE(LEFT('Base Encuesta'!S420,1)))</f>
        <v/>
      </c>
      <c r="N446" t="str">
        <f>IF(OR('Base Encuesta'!T420="",IFERROR(VALUE(LEFT('Base Encuesta'!K420,1)),"")&gt;=3),"",VALUE(LEFT('Base Encuesta'!T420,1)))</f>
        <v/>
      </c>
      <c r="O446" t="str">
        <f>IF(OR('Base Encuesta'!V420="",IFERROR(VALUE(LEFT('Base Encuesta'!K420,1)),"")&gt;=3),"",VALUE(LEFT('Base Encuesta'!V420,1)))</f>
        <v/>
      </c>
      <c r="P446" t="str">
        <f>IF(OR('Base Encuesta'!W420="",IFERROR(VALUE(LEFT('Base Encuesta'!K420,1)),"")&gt;=3),"",VALUE(LEFT('Base Encuesta'!W420,1)))</f>
        <v/>
      </c>
      <c r="Q446" t="str">
        <f>IF(OR('Base Encuesta'!X420="",IFERROR(VALUE(LEFT('Base Encuesta'!K420,1)),"")&gt;=3),"",VALUE(LEFT('Base Encuesta'!X420,1)))</f>
        <v/>
      </c>
      <c r="R446" t="str">
        <f>IF(OR('Base Encuesta'!Y420="",IFERROR(VALUE(LEFT('Base Encuesta'!K420,1)),"")&gt;=3),"",VALUE(LEFT('Base Encuesta'!Y420,1)))</f>
        <v/>
      </c>
      <c r="S446" t="str">
        <f>IF(OR('Base Encuesta'!Z420="",IFERROR(VALUE(LEFT('Base Encuesta'!K420,1)),"")&gt;=3),"",VALUE(LEFT('Base Encuesta'!Z420,1)))</f>
        <v/>
      </c>
      <c r="T446" t="str">
        <f>IF(OR('Base Encuesta'!AA420="",IFERROR(VALUE(LEFT('Base Encuesta'!K420,1)),"")&gt;=3),"",VALUE(LEFT('Base Encuesta'!AA420,1)))</f>
        <v/>
      </c>
      <c r="U446" t="str">
        <f>IF(OR('Base Encuesta'!AB420="",IFERROR(VALUE(LEFT('Base Encuesta'!K420,1)),"")&gt;=3),"",VALUE(LEFT('Base Encuesta'!AB420,1)))</f>
        <v/>
      </c>
      <c r="V446" t="str">
        <f>IF(OR('Base Encuesta'!AC420="",IFERROR(VALUE(LEFT('Base Encuesta'!K420,1)),"")&gt;=3),"",VALUE(LEFT('Base Encuesta'!AC420,1)))</f>
        <v/>
      </c>
      <c r="W446" t="str">
        <f>IF(OR('Base Encuesta'!AE420="",IFERROR(VALUE(LEFT('Base Encuesta'!K420,1)),"")&gt;=3),"",VALUE(LEFT('Base Encuesta'!AE420,1)))</f>
        <v/>
      </c>
      <c r="X446" t="str">
        <f>IF(OR('Base Encuesta'!AF420="",IFERROR(VALUE(LEFT('Base Encuesta'!K420,1)),"")&gt;=3),"",IF(W446=1,VALUE(LEFT('Base Encuesta'!AF420,1)),""))</f>
        <v/>
      </c>
      <c r="Y446" t="str">
        <f>IF(OR('Base Encuesta'!AG420="",IFERROR(VALUE(LEFT('Base Encuesta'!K420,1)),"")&gt;=3),"",IF(W446=1,VALUE(LEFT('Base Encuesta'!AG420,1)),""))</f>
        <v/>
      </c>
      <c r="Z446" t="str">
        <f>IF(OR('Base Encuesta'!AH420="",IFERROR(VALUE(LEFT('Base Encuesta'!K420,1)),"")&gt;=3),"",IF(W446=1,VALUE(LEFT('Base Encuesta'!AH420,1)),""))</f>
        <v/>
      </c>
      <c r="AA446" t="str">
        <f>IF(OR('Base Encuesta'!AI420="",IFERROR(VALUE(LEFT('Base Encuesta'!K420,1)),"")&gt;=3),"",IF(W446=1,VALUE(LEFT('Base Encuesta'!AI420,1)),""))</f>
        <v/>
      </c>
      <c r="AB446" t="str">
        <f>IF(OR('Base Encuesta'!AJ420="",IFERROR(VALUE(LEFT('Base Encuesta'!K420,1)),"")&gt;=3),"",IF(W446=1,VALUE(LEFT('Base Encuesta'!AJ420,1)),""))</f>
        <v/>
      </c>
      <c r="AC446" t="str">
        <f>IF(OR('Base Encuesta'!AL420="",IFERROR(VALUE(LEFT('Base Encuesta'!K420,1)),"")&gt;=3),"",VALUE(LEFT('Base Encuesta'!AL420,1)))</f>
        <v/>
      </c>
      <c r="AD446" t="str">
        <f>IF(OR('Base Encuesta'!AM420="",IFERROR(VALUE(LEFT('Base Encuesta'!K420,1)),"")&gt;=3),"",VALUE(LEFT('Base Encuesta'!AM420,1)))</f>
        <v/>
      </c>
      <c r="AE446" t="str">
        <f>IF(OR('Base Encuesta'!AN420="",IFERROR(VALUE(LEFT('Base Encuesta'!K420,1)),"")&gt;=3),"",VALUE(LEFT('Base Encuesta'!AN420,1)))</f>
        <v/>
      </c>
      <c r="AF446" t="str">
        <f>IF(OR('Base Encuesta'!AO420="",IFERROR(VALUE(LEFT('Base Encuesta'!K420,1)),"")&gt;=3),"",VALUE(LEFT('Base Encuesta'!AO420,1)))</f>
        <v/>
      </c>
      <c r="AG446" t="str">
        <f>IF(OR('Base Encuesta'!AQ420="",IFERROR(VALUE(LEFT('Base Encuesta'!K420,1)),"")&gt;=3),"",VALUE(LEFT('Base Encuesta'!AQ420,1)))</f>
        <v/>
      </c>
      <c r="AH446" t="str">
        <f>IF(OR('Base Encuesta'!AR420="",IFERROR(VALUE(LEFT('Base Encuesta'!K420,1)),"")&gt;=3),"",VALUE(LEFT('Base Encuesta'!AR420,1)))</f>
        <v/>
      </c>
    </row>
    <row r="447" spans="1:34">
      <c r="A447" t="str">
        <f>IF('Base Encuesta'!C421="","",'Base Encuesta'!C421)</f>
        <v/>
      </c>
      <c r="B447" t="str">
        <f>IF('Base Encuesta'!D421="","",'Base Encuesta'!D421)</f>
        <v/>
      </c>
      <c r="C447" t="str">
        <f>IF('Base Encuesta'!E421="","",'Base Encuesta'!E421)</f>
        <v/>
      </c>
      <c r="D447" t="str">
        <f>IF('Base Encuesta'!F421="","",'Base Encuesta'!F421)</f>
        <v/>
      </c>
      <c r="E447" t="str">
        <f>IF('Base Encuesta'!G421="","",'Base Encuesta'!G421)</f>
        <v/>
      </c>
      <c r="F447" t="str">
        <f>IF('Base Encuesta'!H421="","",'Base Encuesta'!H421)</f>
        <v/>
      </c>
      <c r="G447" t="str">
        <f>IF('Base Encuesta'!I421="","",'Base Encuesta'!I421)</f>
        <v/>
      </c>
      <c r="H447" t="str">
        <f>IF('Base Encuesta'!J421="","",'Base Encuesta'!J421)</f>
        <v/>
      </c>
      <c r="I447" t="str">
        <f>IF('Base Encuesta'!K421="","",'Base Encuesta'!K421)</f>
        <v/>
      </c>
      <c r="J447" t="str">
        <f>IF(OR('Base Encuesta'!P421="",IFERROR(VALUE(LEFT('Base Encuesta'!K421,1)),"")&gt;=3),"",PROPER(TRIM('Base Encuesta'!P421)))</f>
        <v/>
      </c>
      <c r="K447" t="str">
        <f>IF(OR('Base Encuesta'!Q421="",IFERROR(VALUE(LEFT('Base Encuesta'!K421,1)),"")&gt;=3),"",'Base Encuesta'!Q421)</f>
        <v/>
      </c>
      <c r="L447" t="str">
        <f>IF(OR('Base Encuesta'!R421="",IFERROR(VALUE(LEFT('Base Encuesta'!K421,1)),"")&gt;=3),"",VALUE(LEFT('Base Encuesta'!R421,1)))</f>
        <v/>
      </c>
      <c r="M447" t="str">
        <f>IF(OR('Base Encuesta'!S421="",IFERROR(VALUE(LEFT('Base Encuesta'!K421,1)),"")&gt;=3),"",VALUE(LEFT('Base Encuesta'!S421,1)))</f>
        <v/>
      </c>
      <c r="N447" t="str">
        <f>IF(OR('Base Encuesta'!T421="",IFERROR(VALUE(LEFT('Base Encuesta'!K421,1)),"")&gt;=3),"",VALUE(LEFT('Base Encuesta'!T421,1)))</f>
        <v/>
      </c>
      <c r="O447" t="str">
        <f>IF(OR('Base Encuesta'!V421="",IFERROR(VALUE(LEFT('Base Encuesta'!K421,1)),"")&gt;=3),"",VALUE(LEFT('Base Encuesta'!V421,1)))</f>
        <v/>
      </c>
      <c r="P447" t="str">
        <f>IF(OR('Base Encuesta'!W421="",IFERROR(VALUE(LEFT('Base Encuesta'!K421,1)),"")&gt;=3),"",VALUE(LEFT('Base Encuesta'!W421,1)))</f>
        <v/>
      </c>
      <c r="Q447" t="str">
        <f>IF(OR('Base Encuesta'!X421="",IFERROR(VALUE(LEFT('Base Encuesta'!K421,1)),"")&gt;=3),"",VALUE(LEFT('Base Encuesta'!X421,1)))</f>
        <v/>
      </c>
      <c r="R447" t="str">
        <f>IF(OR('Base Encuesta'!Y421="",IFERROR(VALUE(LEFT('Base Encuesta'!K421,1)),"")&gt;=3),"",VALUE(LEFT('Base Encuesta'!Y421,1)))</f>
        <v/>
      </c>
      <c r="S447" t="str">
        <f>IF(OR('Base Encuesta'!Z421="",IFERROR(VALUE(LEFT('Base Encuesta'!K421,1)),"")&gt;=3),"",VALUE(LEFT('Base Encuesta'!Z421,1)))</f>
        <v/>
      </c>
      <c r="T447" t="str">
        <f>IF(OR('Base Encuesta'!AA421="",IFERROR(VALUE(LEFT('Base Encuesta'!K421,1)),"")&gt;=3),"",VALUE(LEFT('Base Encuesta'!AA421,1)))</f>
        <v/>
      </c>
      <c r="U447" t="str">
        <f>IF(OR('Base Encuesta'!AB421="",IFERROR(VALUE(LEFT('Base Encuesta'!K421,1)),"")&gt;=3),"",VALUE(LEFT('Base Encuesta'!AB421,1)))</f>
        <v/>
      </c>
      <c r="V447" t="str">
        <f>IF(OR('Base Encuesta'!AC421="",IFERROR(VALUE(LEFT('Base Encuesta'!K421,1)),"")&gt;=3),"",VALUE(LEFT('Base Encuesta'!AC421,1)))</f>
        <v/>
      </c>
      <c r="W447" t="str">
        <f>IF(OR('Base Encuesta'!AE421="",IFERROR(VALUE(LEFT('Base Encuesta'!K421,1)),"")&gt;=3),"",VALUE(LEFT('Base Encuesta'!AE421,1)))</f>
        <v/>
      </c>
      <c r="X447" t="str">
        <f>IF(OR('Base Encuesta'!AF421="",IFERROR(VALUE(LEFT('Base Encuesta'!K421,1)),"")&gt;=3),"",IF(W447=1,VALUE(LEFT('Base Encuesta'!AF421,1)),""))</f>
        <v/>
      </c>
      <c r="Y447" t="str">
        <f>IF(OR('Base Encuesta'!AG421="",IFERROR(VALUE(LEFT('Base Encuesta'!K421,1)),"")&gt;=3),"",IF(W447=1,VALUE(LEFT('Base Encuesta'!AG421,1)),""))</f>
        <v/>
      </c>
      <c r="Z447" t="str">
        <f>IF(OR('Base Encuesta'!AH421="",IFERROR(VALUE(LEFT('Base Encuesta'!K421,1)),"")&gt;=3),"",IF(W447=1,VALUE(LEFT('Base Encuesta'!AH421,1)),""))</f>
        <v/>
      </c>
      <c r="AA447" t="str">
        <f>IF(OR('Base Encuesta'!AI421="",IFERROR(VALUE(LEFT('Base Encuesta'!K421,1)),"")&gt;=3),"",IF(W447=1,VALUE(LEFT('Base Encuesta'!AI421,1)),""))</f>
        <v/>
      </c>
      <c r="AB447" t="str">
        <f>IF(OR('Base Encuesta'!AJ421="",IFERROR(VALUE(LEFT('Base Encuesta'!K421,1)),"")&gt;=3),"",IF(W447=1,VALUE(LEFT('Base Encuesta'!AJ421,1)),""))</f>
        <v/>
      </c>
      <c r="AC447" t="str">
        <f>IF(OR('Base Encuesta'!AL421="",IFERROR(VALUE(LEFT('Base Encuesta'!K421,1)),"")&gt;=3),"",VALUE(LEFT('Base Encuesta'!AL421,1)))</f>
        <v/>
      </c>
      <c r="AD447" t="str">
        <f>IF(OR('Base Encuesta'!AM421="",IFERROR(VALUE(LEFT('Base Encuesta'!K421,1)),"")&gt;=3),"",VALUE(LEFT('Base Encuesta'!AM421,1)))</f>
        <v/>
      </c>
      <c r="AE447" t="str">
        <f>IF(OR('Base Encuesta'!AN421="",IFERROR(VALUE(LEFT('Base Encuesta'!K421,1)),"")&gt;=3),"",VALUE(LEFT('Base Encuesta'!AN421,1)))</f>
        <v/>
      </c>
      <c r="AF447" t="str">
        <f>IF(OR('Base Encuesta'!AO421="",IFERROR(VALUE(LEFT('Base Encuesta'!K421,1)),"")&gt;=3),"",VALUE(LEFT('Base Encuesta'!AO421,1)))</f>
        <v/>
      </c>
      <c r="AG447" t="str">
        <f>IF(OR('Base Encuesta'!AQ421="",IFERROR(VALUE(LEFT('Base Encuesta'!K421,1)),"")&gt;=3),"",VALUE(LEFT('Base Encuesta'!AQ421,1)))</f>
        <v/>
      </c>
      <c r="AH447" t="str">
        <f>IF(OR('Base Encuesta'!AR421="",IFERROR(VALUE(LEFT('Base Encuesta'!K421,1)),"")&gt;=3),"",VALUE(LEFT('Base Encuesta'!AR421,1)))</f>
        <v/>
      </c>
    </row>
    <row r="448" spans="1:34">
      <c r="A448" t="str">
        <f>IF('Base Encuesta'!C422="","",'Base Encuesta'!C422)</f>
        <v/>
      </c>
      <c r="B448" t="str">
        <f>IF('Base Encuesta'!D422="","",'Base Encuesta'!D422)</f>
        <v/>
      </c>
      <c r="C448" t="str">
        <f>IF('Base Encuesta'!E422="","",'Base Encuesta'!E422)</f>
        <v/>
      </c>
      <c r="D448" t="str">
        <f>IF('Base Encuesta'!F422="","",'Base Encuesta'!F422)</f>
        <v/>
      </c>
      <c r="E448" t="str">
        <f>IF('Base Encuesta'!G422="","",'Base Encuesta'!G422)</f>
        <v/>
      </c>
      <c r="F448" t="str">
        <f>IF('Base Encuesta'!H422="","",'Base Encuesta'!H422)</f>
        <v/>
      </c>
      <c r="G448" t="str">
        <f>IF('Base Encuesta'!I422="","",'Base Encuesta'!I422)</f>
        <v/>
      </c>
      <c r="H448" t="str">
        <f>IF('Base Encuesta'!J422="","",'Base Encuesta'!J422)</f>
        <v/>
      </c>
      <c r="I448" t="str">
        <f>IF('Base Encuesta'!K422="","",'Base Encuesta'!K422)</f>
        <v/>
      </c>
      <c r="J448" t="str">
        <f>IF(OR('Base Encuesta'!P422="",IFERROR(VALUE(LEFT('Base Encuesta'!K422,1)),"")&gt;=3),"",PROPER(TRIM('Base Encuesta'!P422)))</f>
        <v/>
      </c>
      <c r="K448" t="str">
        <f>IF(OR('Base Encuesta'!Q422="",IFERROR(VALUE(LEFT('Base Encuesta'!K422,1)),"")&gt;=3),"",'Base Encuesta'!Q422)</f>
        <v/>
      </c>
      <c r="L448" t="str">
        <f>IF(OR('Base Encuesta'!R422="",IFERROR(VALUE(LEFT('Base Encuesta'!K422,1)),"")&gt;=3),"",VALUE(LEFT('Base Encuesta'!R422,1)))</f>
        <v/>
      </c>
      <c r="M448" t="str">
        <f>IF(OR('Base Encuesta'!S422="",IFERROR(VALUE(LEFT('Base Encuesta'!K422,1)),"")&gt;=3),"",VALUE(LEFT('Base Encuesta'!S422,1)))</f>
        <v/>
      </c>
      <c r="N448" t="str">
        <f>IF(OR('Base Encuesta'!T422="",IFERROR(VALUE(LEFT('Base Encuesta'!K422,1)),"")&gt;=3),"",VALUE(LEFT('Base Encuesta'!T422,1)))</f>
        <v/>
      </c>
      <c r="O448" t="str">
        <f>IF(OR('Base Encuesta'!V422="",IFERROR(VALUE(LEFT('Base Encuesta'!K422,1)),"")&gt;=3),"",VALUE(LEFT('Base Encuesta'!V422,1)))</f>
        <v/>
      </c>
      <c r="P448" t="str">
        <f>IF(OR('Base Encuesta'!W422="",IFERROR(VALUE(LEFT('Base Encuesta'!K422,1)),"")&gt;=3),"",VALUE(LEFT('Base Encuesta'!W422,1)))</f>
        <v/>
      </c>
      <c r="Q448" t="str">
        <f>IF(OR('Base Encuesta'!X422="",IFERROR(VALUE(LEFT('Base Encuesta'!K422,1)),"")&gt;=3),"",VALUE(LEFT('Base Encuesta'!X422,1)))</f>
        <v/>
      </c>
      <c r="R448" t="str">
        <f>IF(OR('Base Encuesta'!Y422="",IFERROR(VALUE(LEFT('Base Encuesta'!K422,1)),"")&gt;=3),"",VALUE(LEFT('Base Encuesta'!Y422,1)))</f>
        <v/>
      </c>
      <c r="S448" t="str">
        <f>IF(OR('Base Encuesta'!Z422="",IFERROR(VALUE(LEFT('Base Encuesta'!K422,1)),"")&gt;=3),"",VALUE(LEFT('Base Encuesta'!Z422,1)))</f>
        <v/>
      </c>
      <c r="T448" t="str">
        <f>IF(OR('Base Encuesta'!AA422="",IFERROR(VALUE(LEFT('Base Encuesta'!K422,1)),"")&gt;=3),"",VALUE(LEFT('Base Encuesta'!AA422,1)))</f>
        <v/>
      </c>
      <c r="U448" t="str">
        <f>IF(OR('Base Encuesta'!AB422="",IFERROR(VALUE(LEFT('Base Encuesta'!K422,1)),"")&gt;=3),"",VALUE(LEFT('Base Encuesta'!AB422,1)))</f>
        <v/>
      </c>
      <c r="V448" t="str">
        <f>IF(OR('Base Encuesta'!AC422="",IFERROR(VALUE(LEFT('Base Encuesta'!K422,1)),"")&gt;=3),"",VALUE(LEFT('Base Encuesta'!AC422,1)))</f>
        <v/>
      </c>
      <c r="W448" t="str">
        <f>IF(OR('Base Encuesta'!AE422="",IFERROR(VALUE(LEFT('Base Encuesta'!K422,1)),"")&gt;=3),"",VALUE(LEFT('Base Encuesta'!AE422,1)))</f>
        <v/>
      </c>
      <c r="X448" t="str">
        <f>IF(OR('Base Encuesta'!AF422="",IFERROR(VALUE(LEFT('Base Encuesta'!K422,1)),"")&gt;=3),"",IF(W448=1,VALUE(LEFT('Base Encuesta'!AF422,1)),""))</f>
        <v/>
      </c>
      <c r="Y448" t="str">
        <f>IF(OR('Base Encuesta'!AG422="",IFERROR(VALUE(LEFT('Base Encuesta'!K422,1)),"")&gt;=3),"",IF(W448=1,VALUE(LEFT('Base Encuesta'!AG422,1)),""))</f>
        <v/>
      </c>
      <c r="Z448" t="str">
        <f>IF(OR('Base Encuesta'!AH422="",IFERROR(VALUE(LEFT('Base Encuesta'!K422,1)),"")&gt;=3),"",IF(W448=1,VALUE(LEFT('Base Encuesta'!AH422,1)),""))</f>
        <v/>
      </c>
      <c r="AA448" t="str">
        <f>IF(OR('Base Encuesta'!AI422="",IFERROR(VALUE(LEFT('Base Encuesta'!K422,1)),"")&gt;=3),"",IF(W448=1,VALUE(LEFT('Base Encuesta'!AI422,1)),""))</f>
        <v/>
      </c>
      <c r="AB448" t="str">
        <f>IF(OR('Base Encuesta'!AJ422="",IFERROR(VALUE(LEFT('Base Encuesta'!K422,1)),"")&gt;=3),"",IF(W448=1,VALUE(LEFT('Base Encuesta'!AJ422,1)),""))</f>
        <v/>
      </c>
      <c r="AC448" t="str">
        <f>IF(OR('Base Encuesta'!AL422="",IFERROR(VALUE(LEFT('Base Encuesta'!K422,1)),"")&gt;=3),"",VALUE(LEFT('Base Encuesta'!AL422,1)))</f>
        <v/>
      </c>
      <c r="AD448" t="str">
        <f>IF(OR('Base Encuesta'!AM422="",IFERROR(VALUE(LEFT('Base Encuesta'!K422,1)),"")&gt;=3),"",VALUE(LEFT('Base Encuesta'!AM422,1)))</f>
        <v/>
      </c>
      <c r="AE448" t="str">
        <f>IF(OR('Base Encuesta'!AN422="",IFERROR(VALUE(LEFT('Base Encuesta'!K422,1)),"")&gt;=3),"",VALUE(LEFT('Base Encuesta'!AN422,1)))</f>
        <v/>
      </c>
      <c r="AF448" t="str">
        <f>IF(OR('Base Encuesta'!AO422="",IFERROR(VALUE(LEFT('Base Encuesta'!K422,1)),"")&gt;=3),"",VALUE(LEFT('Base Encuesta'!AO422,1)))</f>
        <v/>
      </c>
      <c r="AG448" t="str">
        <f>IF(OR('Base Encuesta'!AQ422="",IFERROR(VALUE(LEFT('Base Encuesta'!K422,1)),"")&gt;=3),"",VALUE(LEFT('Base Encuesta'!AQ422,1)))</f>
        <v/>
      </c>
      <c r="AH448" t="str">
        <f>IF(OR('Base Encuesta'!AR422="",IFERROR(VALUE(LEFT('Base Encuesta'!K422,1)),"")&gt;=3),"",VALUE(LEFT('Base Encuesta'!AR422,1)))</f>
        <v/>
      </c>
    </row>
    <row r="449" spans="1:34">
      <c r="A449" t="str">
        <f>IF('Base Encuesta'!C423="","",'Base Encuesta'!C423)</f>
        <v/>
      </c>
      <c r="B449" t="str">
        <f>IF('Base Encuesta'!D423="","",'Base Encuesta'!D423)</f>
        <v/>
      </c>
      <c r="C449" t="str">
        <f>IF('Base Encuesta'!E423="","",'Base Encuesta'!E423)</f>
        <v/>
      </c>
      <c r="D449" t="str">
        <f>IF('Base Encuesta'!F423="","",'Base Encuesta'!F423)</f>
        <v/>
      </c>
      <c r="E449" t="str">
        <f>IF('Base Encuesta'!G423="","",'Base Encuesta'!G423)</f>
        <v/>
      </c>
      <c r="F449" t="str">
        <f>IF('Base Encuesta'!H423="","",'Base Encuesta'!H423)</f>
        <v/>
      </c>
      <c r="G449" t="str">
        <f>IF('Base Encuesta'!I423="","",'Base Encuesta'!I423)</f>
        <v/>
      </c>
      <c r="H449" t="str">
        <f>IF('Base Encuesta'!J423="","",'Base Encuesta'!J423)</f>
        <v/>
      </c>
      <c r="I449" t="str">
        <f>IF('Base Encuesta'!K423="","",'Base Encuesta'!K423)</f>
        <v/>
      </c>
      <c r="J449" t="str">
        <f>IF(OR('Base Encuesta'!P423="",IFERROR(VALUE(LEFT('Base Encuesta'!K423,1)),"")&gt;=3),"",PROPER(TRIM('Base Encuesta'!P423)))</f>
        <v/>
      </c>
      <c r="K449" t="str">
        <f>IF(OR('Base Encuesta'!Q423="",IFERROR(VALUE(LEFT('Base Encuesta'!K423,1)),"")&gt;=3),"",'Base Encuesta'!Q423)</f>
        <v/>
      </c>
      <c r="L449" t="str">
        <f>IF(OR('Base Encuesta'!R423="",IFERROR(VALUE(LEFT('Base Encuesta'!K423,1)),"")&gt;=3),"",VALUE(LEFT('Base Encuesta'!R423,1)))</f>
        <v/>
      </c>
      <c r="M449" t="str">
        <f>IF(OR('Base Encuesta'!S423="",IFERROR(VALUE(LEFT('Base Encuesta'!K423,1)),"")&gt;=3),"",VALUE(LEFT('Base Encuesta'!S423,1)))</f>
        <v/>
      </c>
      <c r="N449" t="str">
        <f>IF(OR('Base Encuesta'!T423="",IFERROR(VALUE(LEFT('Base Encuesta'!K423,1)),"")&gt;=3),"",VALUE(LEFT('Base Encuesta'!T423,1)))</f>
        <v/>
      </c>
      <c r="O449" t="str">
        <f>IF(OR('Base Encuesta'!V423="",IFERROR(VALUE(LEFT('Base Encuesta'!K423,1)),"")&gt;=3),"",VALUE(LEFT('Base Encuesta'!V423,1)))</f>
        <v/>
      </c>
      <c r="P449" t="str">
        <f>IF(OR('Base Encuesta'!W423="",IFERROR(VALUE(LEFT('Base Encuesta'!K423,1)),"")&gt;=3),"",VALUE(LEFT('Base Encuesta'!W423,1)))</f>
        <v/>
      </c>
      <c r="Q449" t="str">
        <f>IF(OR('Base Encuesta'!X423="",IFERROR(VALUE(LEFT('Base Encuesta'!K423,1)),"")&gt;=3),"",VALUE(LEFT('Base Encuesta'!X423,1)))</f>
        <v/>
      </c>
      <c r="R449" t="str">
        <f>IF(OR('Base Encuesta'!Y423="",IFERROR(VALUE(LEFT('Base Encuesta'!K423,1)),"")&gt;=3),"",VALUE(LEFT('Base Encuesta'!Y423,1)))</f>
        <v/>
      </c>
      <c r="S449" t="str">
        <f>IF(OR('Base Encuesta'!Z423="",IFERROR(VALUE(LEFT('Base Encuesta'!K423,1)),"")&gt;=3),"",VALUE(LEFT('Base Encuesta'!Z423,1)))</f>
        <v/>
      </c>
      <c r="T449" t="str">
        <f>IF(OR('Base Encuesta'!AA423="",IFERROR(VALUE(LEFT('Base Encuesta'!K423,1)),"")&gt;=3),"",VALUE(LEFT('Base Encuesta'!AA423,1)))</f>
        <v/>
      </c>
      <c r="U449" t="str">
        <f>IF(OR('Base Encuesta'!AB423="",IFERROR(VALUE(LEFT('Base Encuesta'!K423,1)),"")&gt;=3),"",VALUE(LEFT('Base Encuesta'!AB423,1)))</f>
        <v/>
      </c>
      <c r="V449" t="str">
        <f>IF(OR('Base Encuesta'!AC423="",IFERROR(VALUE(LEFT('Base Encuesta'!K423,1)),"")&gt;=3),"",VALUE(LEFT('Base Encuesta'!AC423,1)))</f>
        <v/>
      </c>
      <c r="W449" t="str">
        <f>IF(OR('Base Encuesta'!AE423="",IFERROR(VALUE(LEFT('Base Encuesta'!K423,1)),"")&gt;=3),"",VALUE(LEFT('Base Encuesta'!AE423,1)))</f>
        <v/>
      </c>
      <c r="X449" t="str">
        <f>IF(OR('Base Encuesta'!AF423="",IFERROR(VALUE(LEFT('Base Encuesta'!K423,1)),"")&gt;=3),"",IF(W449=1,VALUE(LEFT('Base Encuesta'!AF423,1)),""))</f>
        <v/>
      </c>
      <c r="Y449" t="str">
        <f>IF(OR('Base Encuesta'!AG423="",IFERROR(VALUE(LEFT('Base Encuesta'!K423,1)),"")&gt;=3),"",IF(W449=1,VALUE(LEFT('Base Encuesta'!AG423,1)),""))</f>
        <v/>
      </c>
      <c r="Z449" t="str">
        <f>IF(OR('Base Encuesta'!AH423="",IFERROR(VALUE(LEFT('Base Encuesta'!K423,1)),"")&gt;=3),"",IF(W449=1,VALUE(LEFT('Base Encuesta'!AH423,1)),""))</f>
        <v/>
      </c>
      <c r="AA449" t="str">
        <f>IF(OR('Base Encuesta'!AI423="",IFERROR(VALUE(LEFT('Base Encuesta'!K423,1)),"")&gt;=3),"",IF(W449=1,VALUE(LEFT('Base Encuesta'!AI423,1)),""))</f>
        <v/>
      </c>
      <c r="AB449" t="str">
        <f>IF(OR('Base Encuesta'!AJ423="",IFERROR(VALUE(LEFT('Base Encuesta'!K423,1)),"")&gt;=3),"",IF(W449=1,VALUE(LEFT('Base Encuesta'!AJ423,1)),""))</f>
        <v/>
      </c>
      <c r="AC449" t="str">
        <f>IF(OR('Base Encuesta'!AL423="",IFERROR(VALUE(LEFT('Base Encuesta'!K423,1)),"")&gt;=3),"",VALUE(LEFT('Base Encuesta'!AL423,1)))</f>
        <v/>
      </c>
      <c r="AD449" t="str">
        <f>IF(OR('Base Encuesta'!AM423="",IFERROR(VALUE(LEFT('Base Encuesta'!K423,1)),"")&gt;=3),"",VALUE(LEFT('Base Encuesta'!AM423,1)))</f>
        <v/>
      </c>
      <c r="AE449" t="str">
        <f>IF(OR('Base Encuesta'!AN423="",IFERROR(VALUE(LEFT('Base Encuesta'!K423,1)),"")&gt;=3),"",VALUE(LEFT('Base Encuesta'!AN423,1)))</f>
        <v/>
      </c>
      <c r="AF449" t="str">
        <f>IF(OR('Base Encuesta'!AO423="",IFERROR(VALUE(LEFT('Base Encuesta'!K423,1)),"")&gt;=3),"",VALUE(LEFT('Base Encuesta'!AO423,1)))</f>
        <v/>
      </c>
      <c r="AG449" t="str">
        <f>IF(OR('Base Encuesta'!AQ423="",IFERROR(VALUE(LEFT('Base Encuesta'!K423,1)),"")&gt;=3),"",VALUE(LEFT('Base Encuesta'!AQ423,1)))</f>
        <v/>
      </c>
      <c r="AH449" t="str">
        <f>IF(OR('Base Encuesta'!AR423="",IFERROR(VALUE(LEFT('Base Encuesta'!K423,1)),"")&gt;=3),"",VALUE(LEFT('Base Encuesta'!AR423,1)))</f>
        <v/>
      </c>
    </row>
    <row r="450" spans="1:34">
      <c r="A450" t="str">
        <f>IF('Base Encuesta'!C424="","",'Base Encuesta'!C424)</f>
        <v/>
      </c>
      <c r="B450" t="str">
        <f>IF('Base Encuesta'!D424="","",'Base Encuesta'!D424)</f>
        <v/>
      </c>
      <c r="C450" t="str">
        <f>IF('Base Encuesta'!E424="","",'Base Encuesta'!E424)</f>
        <v/>
      </c>
      <c r="D450" t="str">
        <f>IF('Base Encuesta'!F424="","",'Base Encuesta'!F424)</f>
        <v/>
      </c>
      <c r="E450" t="str">
        <f>IF('Base Encuesta'!G424="","",'Base Encuesta'!G424)</f>
        <v/>
      </c>
      <c r="F450" t="str">
        <f>IF('Base Encuesta'!H424="","",'Base Encuesta'!H424)</f>
        <v/>
      </c>
      <c r="G450" t="str">
        <f>IF('Base Encuesta'!I424="","",'Base Encuesta'!I424)</f>
        <v/>
      </c>
      <c r="H450" t="str">
        <f>IF('Base Encuesta'!J424="","",'Base Encuesta'!J424)</f>
        <v/>
      </c>
      <c r="I450" t="str">
        <f>IF('Base Encuesta'!K424="","",'Base Encuesta'!K424)</f>
        <v/>
      </c>
      <c r="J450" t="str">
        <f>IF(OR('Base Encuesta'!P424="",IFERROR(VALUE(LEFT('Base Encuesta'!K424,1)),"")&gt;=3),"",PROPER(TRIM('Base Encuesta'!P424)))</f>
        <v/>
      </c>
      <c r="K450" t="str">
        <f>IF(OR('Base Encuesta'!Q424="",IFERROR(VALUE(LEFT('Base Encuesta'!K424,1)),"")&gt;=3),"",'Base Encuesta'!Q424)</f>
        <v/>
      </c>
      <c r="L450" t="str">
        <f>IF(OR('Base Encuesta'!R424="",IFERROR(VALUE(LEFT('Base Encuesta'!K424,1)),"")&gt;=3),"",VALUE(LEFT('Base Encuesta'!R424,1)))</f>
        <v/>
      </c>
      <c r="M450" t="str">
        <f>IF(OR('Base Encuesta'!S424="",IFERROR(VALUE(LEFT('Base Encuesta'!K424,1)),"")&gt;=3),"",VALUE(LEFT('Base Encuesta'!S424,1)))</f>
        <v/>
      </c>
      <c r="N450" t="str">
        <f>IF(OR('Base Encuesta'!T424="",IFERROR(VALUE(LEFT('Base Encuesta'!K424,1)),"")&gt;=3),"",VALUE(LEFT('Base Encuesta'!T424,1)))</f>
        <v/>
      </c>
      <c r="O450" t="str">
        <f>IF(OR('Base Encuesta'!V424="",IFERROR(VALUE(LEFT('Base Encuesta'!K424,1)),"")&gt;=3),"",VALUE(LEFT('Base Encuesta'!V424,1)))</f>
        <v/>
      </c>
      <c r="P450" t="str">
        <f>IF(OR('Base Encuesta'!W424="",IFERROR(VALUE(LEFT('Base Encuesta'!K424,1)),"")&gt;=3),"",VALUE(LEFT('Base Encuesta'!W424,1)))</f>
        <v/>
      </c>
      <c r="Q450" t="str">
        <f>IF(OR('Base Encuesta'!X424="",IFERROR(VALUE(LEFT('Base Encuesta'!K424,1)),"")&gt;=3),"",VALUE(LEFT('Base Encuesta'!X424,1)))</f>
        <v/>
      </c>
      <c r="R450" t="str">
        <f>IF(OR('Base Encuesta'!Y424="",IFERROR(VALUE(LEFT('Base Encuesta'!K424,1)),"")&gt;=3),"",VALUE(LEFT('Base Encuesta'!Y424,1)))</f>
        <v/>
      </c>
      <c r="S450" t="str">
        <f>IF(OR('Base Encuesta'!Z424="",IFERROR(VALUE(LEFT('Base Encuesta'!K424,1)),"")&gt;=3),"",VALUE(LEFT('Base Encuesta'!Z424,1)))</f>
        <v/>
      </c>
      <c r="T450" t="str">
        <f>IF(OR('Base Encuesta'!AA424="",IFERROR(VALUE(LEFT('Base Encuesta'!K424,1)),"")&gt;=3),"",VALUE(LEFT('Base Encuesta'!AA424,1)))</f>
        <v/>
      </c>
      <c r="U450" t="str">
        <f>IF(OR('Base Encuesta'!AB424="",IFERROR(VALUE(LEFT('Base Encuesta'!K424,1)),"")&gt;=3),"",VALUE(LEFT('Base Encuesta'!AB424,1)))</f>
        <v/>
      </c>
      <c r="V450" t="str">
        <f>IF(OR('Base Encuesta'!AC424="",IFERROR(VALUE(LEFT('Base Encuesta'!K424,1)),"")&gt;=3),"",VALUE(LEFT('Base Encuesta'!AC424,1)))</f>
        <v/>
      </c>
      <c r="W450" t="str">
        <f>IF(OR('Base Encuesta'!AE424="",IFERROR(VALUE(LEFT('Base Encuesta'!K424,1)),"")&gt;=3),"",VALUE(LEFT('Base Encuesta'!AE424,1)))</f>
        <v/>
      </c>
      <c r="X450" t="str">
        <f>IF(OR('Base Encuesta'!AF424="",IFERROR(VALUE(LEFT('Base Encuesta'!K424,1)),"")&gt;=3),"",IF(W450=1,VALUE(LEFT('Base Encuesta'!AF424,1)),""))</f>
        <v/>
      </c>
      <c r="Y450" t="str">
        <f>IF(OR('Base Encuesta'!AG424="",IFERROR(VALUE(LEFT('Base Encuesta'!K424,1)),"")&gt;=3),"",IF(W450=1,VALUE(LEFT('Base Encuesta'!AG424,1)),""))</f>
        <v/>
      </c>
      <c r="Z450" t="str">
        <f>IF(OR('Base Encuesta'!AH424="",IFERROR(VALUE(LEFT('Base Encuesta'!K424,1)),"")&gt;=3),"",IF(W450=1,VALUE(LEFT('Base Encuesta'!AH424,1)),""))</f>
        <v/>
      </c>
      <c r="AA450" t="str">
        <f>IF(OR('Base Encuesta'!AI424="",IFERROR(VALUE(LEFT('Base Encuesta'!K424,1)),"")&gt;=3),"",IF(W450=1,VALUE(LEFT('Base Encuesta'!AI424,1)),""))</f>
        <v/>
      </c>
      <c r="AB450" t="str">
        <f>IF(OR('Base Encuesta'!AJ424="",IFERROR(VALUE(LEFT('Base Encuesta'!K424,1)),"")&gt;=3),"",IF(W450=1,VALUE(LEFT('Base Encuesta'!AJ424,1)),""))</f>
        <v/>
      </c>
      <c r="AC450" t="str">
        <f>IF(OR('Base Encuesta'!AL424="",IFERROR(VALUE(LEFT('Base Encuesta'!K424,1)),"")&gt;=3),"",VALUE(LEFT('Base Encuesta'!AL424,1)))</f>
        <v/>
      </c>
      <c r="AD450" t="str">
        <f>IF(OR('Base Encuesta'!AM424="",IFERROR(VALUE(LEFT('Base Encuesta'!K424,1)),"")&gt;=3),"",VALUE(LEFT('Base Encuesta'!AM424,1)))</f>
        <v/>
      </c>
      <c r="AE450" t="str">
        <f>IF(OR('Base Encuesta'!AN424="",IFERROR(VALUE(LEFT('Base Encuesta'!K424,1)),"")&gt;=3),"",VALUE(LEFT('Base Encuesta'!AN424,1)))</f>
        <v/>
      </c>
      <c r="AF450" t="str">
        <f>IF(OR('Base Encuesta'!AO424="",IFERROR(VALUE(LEFT('Base Encuesta'!K424,1)),"")&gt;=3),"",VALUE(LEFT('Base Encuesta'!AO424,1)))</f>
        <v/>
      </c>
      <c r="AG450" t="str">
        <f>IF(OR('Base Encuesta'!AQ424="",IFERROR(VALUE(LEFT('Base Encuesta'!K424,1)),"")&gt;=3),"",VALUE(LEFT('Base Encuesta'!AQ424,1)))</f>
        <v/>
      </c>
      <c r="AH450" t="str">
        <f>IF(OR('Base Encuesta'!AR424="",IFERROR(VALUE(LEFT('Base Encuesta'!K424,1)),"")&gt;=3),"",VALUE(LEFT('Base Encuesta'!AR424,1)))</f>
        <v/>
      </c>
    </row>
    <row r="451" spans="1:34">
      <c r="A451" t="str">
        <f>IF('Base Encuesta'!C425="","",'Base Encuesta'!C425)</f>
        <v/>
      </c>
      <c r="B451" t="str">
        <f>IF('Base Encuesta'!D425="","",'Base Encuesta'!D425)</f>
        <v/>
      </c>
      <c r="C451" t="str">
        <f>IF('Base Encuesta'!E425="","",'Base Encuesta'!E425)</f>
        <v/>
      </c>
      <c r="D451" t="str">
        <f>IF('Base Encuesta'!F425="","",'Base Encuesta'!F425)</f>
        <v/>
      </c>
      <c r="E451" t="str">
        <f>IF('Base Encuesta'!G425="","",'Base Encuesta'!G425)</f>
        <v/>
      </c>
      <c r="F451" t="str">
        <f>IF('Base Encuesta'!H425="","",'Base Encuesta'!H425)</f>
        <v/>
      </c>
      <c r="G451" t="str">
        <f>IF('Base Encuesta'!I425="","",'Base Encuesta'!I425)</f>
        <v/>
      </c>
      <c r="H451" t="str">
        <f>IF('Base Encuesta'!J425="","",'Base Encuesta'!J425)</f>
        <v/>
      </c>
      <c r="I451" t="str">
        <f>IF('Base Encuesta'!K425="","",'Base Encuesta'!K425)</f>
        <v/>
      </c>
      <c r="J451" t="str">
        <f>IF(OR('Base Encuesta'!P425="",IFERROR(VALUE(LEFT('Base Encuesta'!K425,1)),"")&gt;=3),"",PROPER(TRIM('Base Encuesta'!P425)))</f>
        <v/>
      </c>
      <c r="K451" t="str">
        <f>IF(OR('Base Encuesta'!Q425="",IFERROR(VALUE(LEFT('Base Encuesta'!K425,1)),"")&gt;=3),"",'Base Encuesta'!Q425)</f>
        <v/>
      </c>
      <c r="L451" t="str">
        <f>IF(OR('Base Encuesta'!R425="",IFERROR(VALUE(LEFT('Base Encuesta'!K425,1)),"")&gt;=3),"",VALUE(LEFT('Base Encuesta'!R425,1)))</f>
        <v/>
      </c>
      <c r="M451" t="str">
        <f>IF(OR('Base Encuesta'!S425="",IFERROR(VALUE(LEFT('Base Encuesta'!K425,1)),"")&gt;=3),"",VALUE(LEFT('Base Encuesta'!S425,1)))</f>
        <v/>
      </c>
      <c r="N451" t="str">
        <f>IF(OR('Base Encuesta'!T425="",IFERROR(VALUE(LEFT('Base Encuesta'!K425,1)),"")&gt;=3),"",VALUE(LEFT('Base Encuesta'!T425,1)))</f>
        <v/>
      </c>
      <c r="O451" t="str">
        <f>IF(OR('Base Encuesta'!V425="",IFERROR(VALUE(LEFT('Base Encuesta'!K425,1)),"")&gt;=3),"",VALUE(LEFT('Base Encuesta'!V425,1)))</f>
        <v/>
      </c>
      <c r="P451" t="str">
        <f>IF(OR('Base Encuesta'!W425="",IFERROR(VALUE(LEFT('Base Encuesta'!K425,1)),"")&gt;=3),"",VALUE(LEFT('Base Encuesta'!W425,1)))</f>
        <v/>
      </c>
      <c r="Q451" t="str">
        <f>IF(OR('Base Encuesta'!X425="",IFERROR(VALUE(LEFT('Base Encuesta'!K425,1)),"")&gt;=3),"",VALUE(LEFT('Base Encuesta'!X425,1)))</f>
        <v/>
      </c>
      <c r="R451" t="str">
        <f>IF(OR('Base Encuesta'!Y425="",IFERROR(VALUE(LEFT('Base Encuesta'!K425,1)),"")&gt;=3),"",VALUE(LEFT('Base Encuesta'!Y425,1)))</f>
        <v/>
      </c>
      <c r="S451" t="str">
        <f>IF(OR('Base Encuesta'!Z425="",IFERROR(VALUE(LEFT('Base Encuesta'!K425,1)),"")&gt;=3),"",VALUE(LEFT('Base Encuesta'!Z425,1)))</f>
        <v/>
      </c>
      <c r="T451" t="str">
        <f>IF(OR('Base Encuesta'!AA425="",IFERROR(VALUE(LEFT('Base Encuesta'!K425,1)),"")&gt;=3),"",VALUE(LEFT('Base Encuesta'!AA425,1)))</f>
        <v/>
      </c>
      <c r="U451" t="str">
        <f>IF(OR('Base Encuesta'!AB425="",IFERROR(VALUE(LEFT('Base Encuesta'!K425,1)),"")&gt;=3),"",VALUE(LEFT('Base Encuesta'!AB425,1)))</f>
        <v/>
      </c>
      <c r="V451" t="str">
        <f>IF(OR('Base Encuesta'!AC425="",IFERROR(VALUE(LEFT('Base Encuesta'!K425,1)),"")&gt;=3),"",VALUE(LEFT('Base Encuesta'!AC425,1)))</f>
        <v/>
      </c>
      <c r="W451" t="str">
        <f>IF(OR('Base Encuesta'!AE425="",IFERROR(VALUE(LEFT('Base Encuesta'!K425,1)),"")&gt;=3),"",VALUE(LEFT('Base Encuesta'!AE425,1)))</f>
        <v/>
      </c>
      <c r="X451" t="str">
        <f>IF(OR('Base Encuesta'!AF425="",IFERROR(VALUE(LEFT('Base Encuesta'!K425,1)),"")&gt;=3),"",IF(W451=1,VALUE(LEFT('Base Encuesta'!AF425,1)),""))</f>
        <v/>
      </c>
      <c r="Y451" t="str">
        <f>IF(OR('Base Encuesta'!AG425="",IFERROR(VALUE(LEFT('Base Encuesta'!K425,1)),"")&gt;=3),"",IF(W451=1,VALUE(LEFT('Base Encuesta'!AG425,1)),""))</f>
        <v/>
      </c>
      <c r="Z451" t="str">
        <f>IF(OR('Base Encuesta'!AH425="",IFERROR(VALUE(LEFT('Base Encuesta'!K425,1)),"")&gt;=3),"",IF(W451=1,VALUE(LEFT('Base Encuesta'!AH425,1)),""))</f>
        <v/>
      </c>
      <c r="AA451" t="str">
        <f>IF(OR('Base Encuesta'!AI425="",IFERROR(VALUE(LEFT('Base Encuesta'!K425,1)),"")&gt;=3),"",IF(W451=1,VALUE(LEFT('Base Encuesta'!AI425,1)),""))</f>
        <v/>
      </c>
      <c r="AB451" t="str">
        <f>IF(OR('Base Encuesta'!AJ425="",IFERROR(VALUE(LEFT('Base Encuesta'!K425,1)),"")&gt;=3),"",IF(W451=1,VALUE(LEFT('Base Encuesta'!AJ425,1)),""))</f>
        <v/>
      </c>
      <c r="AC451" t="str">
        <f>IF(OR('Base Encuesta'!AL425="",IFERROR(VALUE(LEFT('Base Encuesta'!K425,1)),"")&gt;=3),"",VALUE(LEFT('Base Encuesta'!AL425,1)))</f>
        <v/>
      </c>
      <c r="AD451" t="str">
        <f>IF(OR('Base Encuesta'!AM425="",IFERROR(VALUE(LEFT('Base Encuesta'!K425,1)),"")&gt;=3),"",VALUE(LEFT('Base Encuesta'!AM425,1)))</f>
        <v/>
      </c>
      <c r="AE451" t="str">
        <f>IF(OR('Base Encuesta'!AN425="",IFERROR(VALUE(LEFT('Base Encuesta'!K425,1)),"")&gt;=3),"",VALUE(LEFT('Base Encuesta'!AN425,1)))</f>
        <v/>
      </c>
      <c r="AF451" t="str">
        <f>IF(OR('Base Encuesta'!AO425="",IFERROR(VALUE(LEFT('Base Encuesta'!K425,1)),"")&gt;=3),"",VALUE(LEFT('Base Encuesta'!AO425,1)))</f>
        <v/>
      </c>
      <c r="AG451" t="str">
        <f>IF(OR('Base Encuesta'!AQ425="",IFERROR(VALUE(LEFT('Base Encuesta'!K425,1)),"")&gt;=3),"",VALUE(LEFT('Base Encuesta'!AQ425,1)))</f>
        <v/>
      </c>
      <c r="AH451" t="str">
        <f>IF(OR('Base Encuesta'!AR425="",IFERROR(VALUE(LEFT('Base Encuesta'!K425,1)),"")&gt;=3),"",VALUE(LEFT('Base Encuesta'!AR425,1)))</f>
        <v/>
      </c>
    </row>
    <row r="452" spans="1:34">
      <c r="A452" t="str">
        <f>IF('Base Encuesta'!C426="","",'Base Encuesta'!C426)</f>
        <v/>
      </c>
      <c r="B452" t="str">
        <f>IF('Base Encuesta'!D426="","",'Base Encuesta'!D426)</f>
        <v/>
      </c>
      <c r="C452" t="str">
        <f>IF('Base Encuesta'!E426="","",'Base Encuesta'!E426)</f>
        <v/>
      </c>
      <c r="D452" t="str">
        <f>IF('Base Encuesta'!F426="","",'Base Encuesta'!F426)</f>
        <v/>
      </c>
      <c r="E452" t="str">
        <f>IF('Base Encuesta'!G426="","",'Base Encuesta'!G426)</f>
        <v/>
      </c>
      <c r="F452" t="str">
        <f>IF('Base Encuesta'!H426="","",'Base Encuesta'!H426)</f>
        <v/>
      </c>
      <c r="G452" t="str">
        <f>IF('Base Encuesta'!I426="","",'Base Encuesta'!I426)</f>
        <v/>
      </c>
      <c r="H452" t="str">
        <f>IF('Base Encuesta'!J426="","",'Base Encuesta'!J426)</f>
        <v/>
      </c>
      <c r="I452" t="str">
        <f>IF('Base Encuesta'!K426="","",'Base Encuesta'!K426)</f>
        <v/>
      </c>
      <c r="J452" t="str">
        <f>IF(OR('Base Encuesta'!P426="",IFERROR(VALUE(LEFT('Base Encuesta'!K426,1)),"")&gt;=3),"",PROPER(TRIM('Base Encuesta'!P426)))</f>
        <v/>
      </c>
      <c r="K452" t="str">
        <f>IF(OR('Base Encuesta'!Q426="",IFERROR(VALUE(LEFT('Base Encuesta'!K426,1)),"")&gt;=3),"",'Base Encuesta'!Q426)</f>
        <v/>
      </c>
      <c r="L452" t="str">
        <f>IF(OR('Base Encuesta'!R426="",IFERROR(VALUE(LEFT('Base Encuesta'!K426,1)),"")&gt;=3),"",VALUE(LEFT('Base Encuesta'!R426,1)))</f>
        <v/>
      </c>
      <c r="M452" t="str">
        <f>IF(OR('Base Encuesta'!S426="",IFERROR(VALUE(LEFT('Base Encuesta'!K426,1)),"")&gt;=3),"",VALUE(LEFT('Base Encuesta'!S426,1)))</f>
        <v/>
      </c>
      <c r="N452" t="str">
        <f>IF(OR('Base Encuesta'!T426="",IFERROR(VALUE(LEFT('Base Encuesta'!K426,1)),"")&gt;=3),"",VALUE(LEFT('Base Encuesta'!T426,1)))</f>
        <v/>
      </c>
      <c r="O452" t="str">
        <f>IF(OR('Base Encuesta'!V426="",IFERROR(VALUE(LEFT('Base Encuesta'!K426,1)),"")&gt;=3),"",VALUE(LEFT('Base Encuesta'!V426,1)))</f>
        <v/>
      </c>
      <c r="P452" t="str">
        <f>IF(OR('Base Encuesta'!W426="",IFERROR(VALUE(LEFT('Base Encuesta'!K426,1)),"")&gt;=3),"",VALUE(LEFT('Base Encuesta'!W426,1)))</f>
        <v/>
      </c>
      <c r="Q452" t="str">
        <f>IF(OR('Base Encuesta'!X426="",IFERROR(VALUE(LEFT('Base Encuesta'!K426,1)),"")&gt;=3),"",VALUE(LEFT('Base Encuesta'!X426,1)))</f>
        <v/>
      </c>
      <c r="R452" t="str">
        <f>IF(OR('Base Encuesta'!Y426="",IFERROR(VALUE(LEFT('Base Encuesta'!K426,1)),"")&gt;=3),"",VALUE(LEFT('Base Encuesta'!Y426,1)))</f>
        <v/>
      </c>
      <c r="S452" t="str">
        <f>IF(OR('Base Encuesta'!Z426="",IFERROR(VALUE(LEFT('Base Encuesta'!K426,1)),"")&gt;=3),"",VALUE(LEFT('Base Encuesta'!Z426,1)))</f>
        <v/>
      </c>
      <c r="T452" t="str">
        <f>IF(OR('Base Encuesta'!AA426="",IFERROR(VALUE(LEFT('Base Encuesta'!K426,1)),"")&gt;=3),"",VALUE(LEFT('Base Encuesta'!AA426,1)))</f>
        <v/>
      </c>
      <c r="U452" t="str">
        <f>IF(OR('Base Encuesta'!AB426="",IFERROR(VALUE(LEFT('Base Encuesta'!K426,1)),"")&gt;=3),"",VALUE(LEFT('Base Encuesta'!AB426,1)))</f>
        <v/>
      </c>
      <c r="V452" t="str">
        <f>IF(OR('Base Encuesta'!AC426="",IFERROR(VALUE(LEFT('Base Encuesta'!K426,1)),"")&gt;=3),"",VALUE(LEFT('Base Encuesta'!AC426,1)))</f>
        <v/>
      </c>
      <c r="W452" t="str">
        <f>IF(OR('Base Encuesta'!AE426="",IFERROR(VALUE(LEFT('Base Encuesta'!K426,1)),"")&gt;=3),"",VALUE(LEFT('Base Encuesta'!AE426,1)))</f>
        <v/>
      </c>
      <c r="X452" t="str">
        <f>IF(OR('Base Encuesta'!AF426="",IFERROR(VALUE(LEFT('Base Encuesta'!K426,1)),"")&gt;=3),"",IF(W452=1,VALUE(LEFT('Base Encuesta'!AF426,1)),""))</f>
        <v/>
      </c>
      <c r="Y452" t="str">
        <f>IF(OR('Base Encuesta'!AG426="",IFERROR(VALUE(LEFT('Base Encuesta'!K426,1)),"")&gt;=3),"",IF(W452=1,VALUE(LEFT('Base Encuesta'!AG426,1)),""))</f>
        <v/>
      </c>
      <c r="Z452" t="str">
        <f>IF(OR('Base Encuesta'!AH426="",IFERROR(VALUE(LEFT('Base Encuesta'!K426,1)),"")&gt;=3),"",IF(W452=1,VALUE(LEFT('Base Encuesta'!AH426,1)),""))</f>
        <v/>
      </c>
      <c r="AA452" t="str">
        <f>IF(OR('Base Encuesta'!AI426="",IFERROR(VALUE(LEFT('Base Encuesta'!K426,1)),"")&gt;=3),"",IF(W452=1,VALUE(LEFT('Base Encuesta'!AI426,1)),""))</f>
        <v/>
      </c>
      <c r="AB452" t="str">
        <f>IF(OR('Base Encuesta'!AJ426="",IFERROR(VALUE(LEFT('Base Encuesta'!K426,1)),"")&gt;=3),"",IF(W452=1,VALUE(LEFT('Base Encuesta'!AJ426,1)),""))</f>
        <v/>
      </c>
      <c r="AC452" t="str">
        <f>IF(OR('Base Encuesta'!AL426="",IFERROR(VALUE(LEFT('Base Encuesta'!K426,1)),"")&gt;=3),"",VALUE(LEFT('Base Encuesta'!AL426,1)))</f>
        <v/>
      </c>
      <c r="AD452" t="str">
        <f>IF(OR('Base Encuesta'!AM426="",IFERROR(VALUE(LEFT('Base Encuesta'!K426,1)),"")&gt;=3),"",VALUE(LEFT('Base Encuesta'!AM426,1)))</f>
        <v/>
      </c>
      <c r="AE452" t="str">
        <f>IF(OR('Base Encuesta'!AN426="",IFERROR(VALUE(LEFT('Base Encuesta'!K426,1)),"")&gt;=3),"",VALUE(LEFT('Base Encuesta'!AN426,1)))</f>
        <v/>
      </c>
      <c r="AF452" t="str">
        <f>IF(OR('Base Encuesta'!AO426="",IFERROR(VALUE(LEFT('Base Encuesta'!K426,1)),"")&gt;=3),"",VALUE(LEFT('Base Encuesta'!AO426,1)))</f>
        <v/>
      </c>
      <c r="AG452" t="str">
        <f>IF(OR('Base Encuesta'!AQ426="",IFERROR(VALUE(LEFT('Base Encuesta'!K426,1)),"")&gt;=3),"",VALUE(LEFT('Base Encuesta'!AQ426,1)))</f>
        <v/>
      </c>
      <c r="AH452" t="str">
        <f>IF(OR('Base Encuesta'!AR426="",IFERROR(VALUE(LEFT('Base Encuesta'!K426,1)),"")&gt;=3),"",VALUE(LEFT('Base Encuesta'!AR426,1)))</f>
        <v/>
      </c>
    </row>
    <row r="453" spans="1:34">
      <c r="A453" t="str">
        <f>IF('Base Encuesta'!C427="","",'Base Encuesta'!C427)</f>
        <v/>
      </c>
      <c r="B453" t="str">
        <f>IF('Base Encuesta'!D427="","",'Base Encuesta'!D427)</f>
        <v/>
      </c>
      <c r="C453" t="str">
        <f>IF('Base Encuesta'!E427="","",'Base Encuesta'!E427)</f>
        <v/>
      </c>
      <c r="D453" t="str">
        <f>IF('Base Encuesta'!F427="","",'Base Encuesta'!F427)</f>
        <v/>
      </c>
      <c r="E453" t="str">
        <f>IF('Base Encuesta'!G427="","",'Base Encuesta'!G427)</f>
        <v/>
      </c>
      <c r="F453" t="str">
        <f>IF('Base Encuesta'!H427="","",'Base Encuesta'!H427)</f>
        <v/>
      </c>
      <c r="G453" t="str">
        <f>IF('Base Encuesta'!I427="","",'Base Encuesta'!I427)</f>
        <v/>
      </c>
      <c r="H453" t="str">
        <f>IF('Base Encuesta'!J427="","",'Base Encuesta'!J427)</f>
        <v/>
      </c>
      <c r="I453" t="str">
        <f>IF('Base Encuesta'!K427="","",'Base Encuesta'!K427)</f>
        <v/>
      </c>
      <c r="J453" t="str">
        <f>IF(OR('Base Encuesta'!P427="",IFERROR(VALUE(LEFT('Base Encuesta'!K427,1)),"")&gt;=3),"",PROPER(TRIM('Base Encuesta'!P427)))</f>
        <v/>
      </c>
      <c r="K453" t="str">
        <f>IF(OR('Base Encuesta'!Q427="",IFERROR(VALUE(LEFT('Base Encuesta'!K427,1)),"")&gt;=3),"",'Base Encuesta'!Q427)</f>
        <v/>
      </c>
      <c r="L453" t="str">
        <f>IF(OR('Base Encuesta'!R427="",IFERROR(VALUE(LEFT('Base Encuesta'!K427,1)),"")&gt;=3),"",VALUE(LEFT('Base Encuesta'!R427,1)))</f>
        <v/>
      </c>
      <c r="M453" t="str">
        <f>IF(OR('Base Encuesta'!S427="",IFERROR(VALUE(LEFT('Base Encuesta'!K427,1)),"")&gt;=3),"",VALUE(LEFT('Base Encuesta'!S427,1)))</f>
        <v/>
      </c>
      <c r="N453" t="str">
        <f>IF(OR('Base Encuesta'!T427="",IFERROR(VALUE(LEFT('Base Encuesta'!K427,1)),"")&gt;=3),"",VALUE(LEFT('Base Encuesta'!T427,1)))</f>
        <v/>
      </c>
      <c r="O453" t="str">
        <f>IF(OR('Base Encuesta'!V427="",IFERROR(VALUE(LEFT('Base Encuesta'!K427,1)),"")&gt;=3),"",VALUE(LEFT('Base Encuesta'!V427,1)))</f>
        <v/>
      </c>
      <c r="P453" t="str">
        <f>IF(OR('Base Encuesta'!W427="",IFERROR(VALUE(LEFT('Base Encuesta'!K427,1)),"")&gt;=3),"",VALUE(LEFT('Base Encuesta'!W427,1)))</f>
        <v/>
      </c>
      <c r="Q453" t="str">
        <f>IF(OR('Base Encuesta'!X427="",IFERROR(VALUE(LEFT('Base Encuesta'!K427,1)),"")&gt;=3),"",VALUE(LEFT('Base Encuesta'!X427,1)))</f>
        <v/>
      </c>
      <c r="R453" t="str">
        <f>IF(OR('Base Encuesta'!Y427="",IFERROR(VALUE(LEFT('Base Encuesta'!K427,1)),"")&gt;=3),"",VALUE(LEFT('Base Encuesta'!Y427,1)))</f>
        <v/>
      </c>
      <c r="S453" t="str">
        <f>IF(OR('Base Encuesta'!Z427="",IFERROR(VALUE(LEFT('Base Encuesta'!K427,1)),"")&gt;=3),"",VALUE(LEFT('Base Encuesta'!Z427,1)))</f>
        <v/>
      </c>
      <c r="T453" t="str">
        <f>IF(OR('Base Encuesta'!AA427="",IFERROR(VALUE(LEFT('Base Encuesta'!K427,1)),"")&gt;=3),"",VALUE(LEFT('Base Encuesta'!AA427,1)))</f>
        <v/>
      </c>
      <c r="U453" t="str">
        <f>IF(OR('Base Encuesta'!AB427="",IFERROR(VALUE(LEFT('Base Encuesta'!K427,1)),"")&gt;=3),"",VALUE(LEFT('Base Encuesta'!AB427,1)))</f>
        <v/>
      </c>
      <c r="V453" t="str">
        <f>IF(OR('Base Encuesta'!AC427="",IFERROR(VALUE(LEFT('Base Encuesta'!K427,1)),"")&gt;=3),"",VALUE(LEFT('Base Encuesta'!AC427,1)))</f>
        <v/>
      </c>
      <c r="W453" t="str">
        <f>IF(OR('Base Encuesta'!AE427="",IFERROR(VALUE(LEFT('Base Encuesta'!K427,1)),"")&gt;=3),"",VALUE(LEFT('Base Encuesta'!AE427,1)))</f>
        <v/>
      </c>
      <c r="X453" t="str">
        <f>IF(OR('Base Encuesta'!AF427="",IFERROR(VALUE(LEFT('Base Encuesta'!K427,1)),"")&gt;=3),"",IF(W453=1,VALUE(LEFT('Base Encuesta'!AF427,1)),""))</f>
        <v/>
      </c>
      <c r="Y453" t="str">
        <f>IF(OR('Base Encuesta'!AG427="",IFERROR(VALUE(LEFT('Base Encuesta'!K427,1)),"")&gt;=3),"",IF(W453=1,VALUE(LEFT('Base Encuesta'!AG427,1)),""))</f>
        <v/>
      </c>
      <c r="Z453" t="str">
        <f>IF(OR('Base Encuesta'!AH427="",IFERROR(VALUE(LEFT('Base Encuesta'!K427,1)),"")&gt;=3),"",IF(W453=1,VALUE(LEFT('Base Encuesta'!AH427,1)),""))</f>
        <v/>
      </c>
      <c r="AA453" t="str">
        <f>IF(OR('Base Encuesta'!AI427="",IFERROR(VALUE(LEFT('Base Encuesta'!K427,1)),"")&gt;=3),"",IF(W453=1,VALUE(LEFT('Base Encuesta'!AI427,1)),""))</f>
        <v/>
      </c>
      <c r="AB453" t="str">
        <f>IF(OR('Base Encuesta'!AJ427="",IFERROR(VALUE(LEFT('Base Encuesta'!K427,1)),"")&gt;=3),"",IF(W453=1,VALUE(LEFT('Base Encuesta'!AJ427,1)),""))</f>
        <v/>
      </c>
      <c r="AC453" t="str">
        <f>IF(OR('Base Encuesta'!AL427="",IFERROR(VALUE(LEFT('Base Encuesta'!K427,1)),"")&gt;=3),"",VALUE(LEFT('Base Encuesta'!AL427,1)))</f>
        <v/>
      </c>
      <c r="AD453" t="str">
        <f>IF(OR('Base Encuesta'!AM427="",IFERROR(VALUE(LEFT('Base Encuesta'!K427,1)),"")&gt;=3),"",VALUE(LEFT('Base Encuesta'!AM427,1)))</f>
        <v/>
      </c>
      <c r="AE453" t="str">
        <f>IF(OR('Base Encuesta'!AN427="",IFERROR(VALUE(LEFT('Base Encuesta'!K427,1)),"")&gt;=3),"",VALUE(LEFT('Base Encuesta'!AN427,1)))</f>
        <v/>
      </c>
      <c r="AF453" t="str">
        <f>IF(OR('Base Encuesta'!AO427="",IFERROR(VALUE(LEFT('Base Encuesta'!K427,1)),"")&gt;=3),"",VALUE(LEFT('Base Encuesta'!AO427,1)))</f>
        <v/>
      </c>
      <c r="AG453" t="str">
        <f>IF(OR('Base Encuesta'!AQ427="",IFERROR(VALUE(LEFT('Base Encuesta'!K427,1)),"")&gt;=3),"",VALUE(LEFT('Base Encuesta'!AQ427,1)))</f>
        <v/>
      </c>
      <c r="AH453" t="str">
        <f>IF(OR('Base Encuesta'!AR427="",IFERROR(VALUE(LEFT('Base Encuesta'!K427,1)),"")&gt;=3),"",VALUE(LEFT('Base Encuesta'!AR427,1)))</f>
        <v/>
      </c>
    </row>
    <row r="454" spans="1:34">
      <c r="A454" t="str">
        <f>IF('Base Encuesta'!C428="","",'Base Encuesta'!C428)</f>
        <v/>
      </c>
      <c r="B454" t="str">
        <f>IF('Base Encuesta'!D428="","",'Base Encuesta'!D428)</f>
        <v/>
      </c>
      <c r="C454" t="str">
        <f>IF('Base Encuesta'!E428="","",'Base Encuesta'!E428)</f>
        <v/>
      </c>
      <c r="D454" t="str">
        <f>IF('Base Encuesta'!F428="","",'Base Encuesta'!F428)</f>
        <v/>
      </c>
      <c r="E454" t="str">
        <f>IF('Base Encuesta'!G428="","",'Base Encuesta'!G428)</f>
        <v/>
      </c>
      <c r="F454" t="str">
        <f>IF('Base Encuesta'!H428="","",'Base Encuesta'!H428)</f>
        <v/>
      </c>
      <c r="G454" t="str">
        <f>IF('Base Encuesta'!I428="","",'Base Encuesta'!I428)</f>
        <v/>
      </c>
      <c r="H454" t="str">
        <f>IF('Base Encuesta'!J428="","",'Base Encuesta'!J428)</f>
        <v/>
      </c>
      <c r="I454" t="str">
        <f>IF('Base Encuesta'!K428="","",'Base Encuesta'!K428)</f>
        <v/>
      </c>
      <c r="J454" t="str">
        <f>IF(OR('Base Encuesta'!P428="",IFERROR(VALUE(LEFT('Base Encuesta'!K428,1)),"")&gt;=3),"",PROPER(TRIM('Base Encuesta'!P428)))</f>
        <v/>
      </c>
      <c r="K454" t="str">
        <f>IF(OR('Base Encuesta'!Q428="",IFERROR(VALUE(LEFT('Base Encuesta'!K428,1)),"")&gt;=3),"",'Base Encuesta'!Q428)</f>
        <v/>
      </c>
      <c r="L454" t="str">
        <f>IF(OR('Base Encuesta'!R428="",IFERROR(VALUE(LEFT('Base Encuesta'!K428,1)),"")&gt;=3),"",VALUE(LEFT('Base Encuesta'!R428,1)))</f>
        <v/>
      </c>
      <c r="M454" t="str">
        <f>IF(OR('Base Encuesta'!S428="",IFERROR(VALUE(LEFT('Base Encuesta'!K428,1)),"")&gt;=3),"",VALUE(LEFT('Base Encuesta'!S428,1)))</f>
        <v/>
      </c>
      <c r="N454" t="str">
        <f>IF(OR('Base Encuesta'!T428="",IFERROR(VALUE(LEFT('Base Encuesta'!K428,1)),"")&gt;=3),"",VALUE(LEFT('Base Encuesta'!T428,1)))</f>
        <v/>
      </c>
      <c r="O454" t="str">
        <f>IF(OR('Base Encuesta'!V428="",IFERROR(VALUE(LEFT('Base Encuesta'!K428,1)),"")&gt;=3),"",VALUE(LEFT('Base Encuesta'!V428,1)))</f>
        <v/>
      </c>
      <c r="P454" t="str">
        <f>IF(OR('Base Encuesta'!W428="",IFERROR(VALUE(LEFT('Base Encuesta'!K428,1)),"")&gt;=3),"",VALUE(LEFT('Base Encuesta'!W428,1)))</f>
        <v/>
      </c>
      <c r="Q454" t="str">
        <f>IF(OR('Base Encuesta'!X428="",IFERROR(VALUE(LEFT('Base Encuesta'!K428,1)),"")&gt;=3),"",VALUE(LEFT('Base Encuesta'!X428,1)))</f>
        <v/>
      </c>
      <c r="R454" t="str">
        <f>IF(OR('Base Encuesta'!Y428="",IFERROR(VALUE(LEFT('Base Encuesta'!K428,1)),"")&gt;=3),"",VALUE(LEFT('Base Encuesta'!Y428,1)))</f>
        <v/>
      </c>
      <c r="S454" t="str">
        <f>IF(OR('Base Encuesta'!Z428="",IFERROR(VALUE(LEFT('Base Encuesta'!K428,1)),"")&gt;=3),"",VALUE(LEFT('Base Encuesta'!Z428,1)))</f>
        <v/>
      </c>
      <c r="T454" t="str">
        <f>IF(OR('Base Encuesta'!AA428="",IFERROR(VALUE(LEFT('Base Encuesta'!K428,1)),"")&gt;=3),"",VALUE(LEFT('Base Encuesta'!AA428,1)))</f>
        <v/>
      </c>
      <c r="U454" t="str">
        <f>IF(OR('Base Encuesta'!AB428="",IFERROR(VALUE(LEFT('Base Encuesta'!K428,1)),"")&gt;=3),"",VALUE(LEFT('Base Encuesta'!AB428,1)))</f>
        <v/>
      </c>
      <c r="V454" t="str">
        <f>IF(OR('Base Encuesta'!AC428="",IFERROR(VALUE(LEFT('Base Encuesta'!K428,1)),"")&gt;=3),"",VALUE(LEFT('Base Encuesta'!AC428,1)))</f>
        <v/>
      </c>
      <c r="W454" t="str">
        <f>IF(OR('Base Encuesta'!AE428="",IFERROR(VALUE(LEFT('Base Encuesta'!K428,1)),"")&gt;=3),"",VALUE(LEFT('Base Encuesta'!AE428,1)))</f>
        <v/>
      </c>
      <c r="X454" t="str">
        <f>IF(OR('Base Encuesta'!AF428="",IFERROR(VALUE(LEFT('Base Encuesta'!K428,1)),"")&gt;=3),"",IF(W454=1,VALUE(LEFT('Base Encuesta'!AF428,1)),""))</f>
        <v/>
      </c>
      <c r="Y454" t="str">
        <f>IF(OR('Base Encuesta'!AG428="",IFERROR(VALUE(LEFT('Base Encuesta'!K428,1)),"")&gt;=3),"",IF(W454=1,VALUE(LEFT('Base Encuesta'!AG428,1)),""))</f>
        <v/>
      </c>
      <c r="Z454" t="str">
        <f>IF(OR('Base Encuesta'!AH428="",IFERROR(VALUE(LEFT('Base Encuesta'!K428,1)),"")&gt;=3),"",IF(W454=1,VALUE(LEFT('Base Encuesta'!AH428,1)),""))</f>
        <v/>
      </c>
      <c r="AA454" t="str">
        <f>IF(OR('Base Encuesta'!AI428="",IFERROR(VALUE(LEFT('Base Encuesta'!K428,1)),"")&gt;=3),"",IF(W454=1,VALUE(LEFT('Base Encuesta'!AI428,1)),""))</f>
        <v/>
      </c>
      <c r="AB454" t="str">
        <f>IF(OR('Base Encuesta'!AJ428="",IFERROR(VALUE(LEFT('Base Encuesta'!K428,1)),"")&gt;=3),"",IF(W454=1,VALUE(LEFT('Base Encuesta'!AJ428,1)),""))</f>
        <v/>
      </c>
      <c r="AC454" t="str">
        <f>IF(OR('Base Encuesta'!AL428="",IFERROR(VALUE(LEFT('Base Encuesta'!K428,1)),"")&gt;=3),"",VALUE(LEFT('Base Encuesta'!AL428,1)))</f>
        <v/>
      </c>
      <c r="AD454" t="str">
        <f>IF(OR('Base Encuesta'!AM428="",IFERROR(VALUE(LEFT('Base Encuesta'!K428,1)),"")&gt;=3),"",VALUE(LEFT('Base Encuesta'!AM428,1)))</f>
        <v/>
      </c>
      <c r="AE454" t="str">
        <f>IF(OR('Base Encuesta'!AN428="",IFERROR(VALUE(LEFT('Base Encuesta'!K428,1)),"")&gt;=3),"",VALUE(LEFT('Base Encuesta'!AN428,1)))</f>
        <v/>
      </c>
      <c r="AF454" t="str">
        <f>IF(OR('Base Encuesta'!AO428="",IFERROR(VALUE(LEFT('Base Encuesta'!K428,1)),"")&gt;=3),"",VALUE(LEFT('Base Encuesta'!AO428,1)))</f>
        <v/>
      </c>
      <c r="AG454" t="str">
        <f>IF(OR('Base Encuesta'!AQ428="",IFERROR(VALUE(LEFT('Base Encuesta'!K428,1)),"")&gt;=3),"",VALUE(LEFT('Base Encuesta'!AQ428,1)))</f>
        <v/>
      </c>
      <c r="AH454" t="str">
        <f>IF(OR('Base Encuesta'!AR428="",IFERROR(VALUE(LEFT('Base Encuesta'!K428,1)),"")&gt;=3),"",VALUE(LEFT('Base Encuesta'!AR428,1)))</f>
        <v/>
      </c>
    </row>
    <row r="455" spans="1:34">
      <c r="A455" t="str">
        <f>IF('Base Encuesta'!C429="","",'Base Encuesta'!C429)</f>
        <v/>
      </c>
      <c r="B455" t="str">
        <f>IF('Base Encuesta'!D429="","",'Base Encuesta'!D429)</f>
        <v/>
      </c>
      <c r="C455" t="str">
        <f>IF('Base Encuesta'!E429="","",'Base Encuesta'!E429)</f>
        <v/>
      </c>
      <c r="D455" t="str">
        <f>IF('Base Encuesta'!F429="","",'Base Encuesta'!F429)</f>
        <v/>
      </c>
      <c r="E455" t="str">
        <f>IF('Base Encuesta'!G429="","",'Base Encuesta'!G429)</f>
        <v/>
      </c>
      <c r="F455" t="str">
        <f>IF('Base Encuesta'!H429="","",'Base Encuesta'!H429)</f>
        <v/>
      </c>
      <c r="G455" t="str">
        <f>IF('Base Encuesta'!I429="","",'Base Encuesta'!I429)</f>
        <v/>
      </c>
      <c r="H455" t="str">
        <f>IF('Base Encuesta'!J429="","",'Base Encuesta'!J429)</f>
        <v/>
      </c>
      <c r="I455" t="str">
        <f>IF('Base Encuesta'!K429="","",'Base Encuesta'!K429)</f>
        <v/>
      </c>
      <c r="J455" t="str">
        <f>IF(OR('Base Encuesta'!P429="",IFERROR(VALUE(LEFT('Base Encuesta'!K429,1)),"")&gt;=3),"",PROPER(TRIM('Base Encuesta'!P429)))</f>
        <v/>
      </c>
      <c r="K455" t="str">
        <f>IF(OR('Base Encuesta'!Q429="",IFERROR(VALUE(LEFT('Base Encuesta'!K429,1)),"")&gt;=3),"",'Base Encuesta'!Q429)</f>
        <v/>
      </c>
      <c r="L455" t="str">
        <f>IF(OR('Base Encuesta'!R429="",IFERROR(VALUE(LEFT('Base Encuesta'!K429,1)),"")&gt;=3),"",VALUE(LEFT('Base Encuesta'!R429,1)))</f>
        <v/>
      </c>
      <c r="M455" t="str">
        <f>IF(OR('Base Encuesta'!S429="",IFERROR(VALUE(LEFT('Base Encuesta'!K429,1)),"")&gt;=3),"",VALUE(LEFT('Base Encuesta'!S429,1)))</f>
        <v/>
      </c>
      <c r="N455" t="str">
        <f>IF(OR('Base Encuesta'!T429="",IFERROR(VALUE(LEFT('Base Encuesta'!K429,1)),"")&gt;=3),"",VALUE(LEFT('Base Encuesta'!T429,1)))</f>
        <v/>
      </c>
      <c r="O455" t="str">
        <f>IF(OR('Base Encuesta'!V429="",IFERROR(VALUE(LEFT('Base Encuesta'!K429,1)),"")&gt;=3),"",VALUE(LEFT('Base Encuesta'!V429,1)))</f>
        <v/>
      </c>
      <c r="P455" t="str">
        <f>IF(OR('Base Encuesta'!W429="",IFERROR(VALUE(LEFT('Base Encuesta'!K429,1)),"")&gt;=3),"",VALUE(LEFT('Base Encuesta'!W429,1)))</f>
        <v/>
      </c>
      <c r="Q455" t="str">
        <f>IF(OR('Base Encuesta'!X429="",IFERROR(VALUE(LEFT('Base Encuesta'!K429,1)),"")&gt;=3),"",VALUE(LEFT('Base Encuesta'!X429,1)))</f>
        <v/>
      </c>
      <c r="R455" t="str">
        <f>IF(OR('Base Encuesta'!Y429="",IFERROR(VALUE(LEFT('Base Encuesta'!K429,1)),"")&gt;=3),"",VALUE(LEFT('Base Encuesta'!Y429,1)))</f>
        <v/>
      </c>
      <c r="S455" t="str">
        <f>IF(OR('Base Encuesta'!Z429="",IFERROR(VALUE(LEFT('Base Encuesta'!K429,1)),"")&gt;=3),"",VALUE(LEFT('Base Encuesta'!Z429,1)))</f>
        <v/>
      </c>
      <c r="T455" t="str">
        <f>IF(OR('Base Encuesta'!AA429="",IFERROR(VALUE(LEFT('Base Encuesta'!K429,1)),"")&gt;=3),"",VALUE(LEFT('Base Encuesta'!AA429,1)))</f>
        <v/>
      </c>
      <c r="U455" t="str">
        <f>IF(OR('Base Encuesta'!AB429="",IFERROR(VALUE(LEFT('Base Encuesta'!K429,1)),"")&gt;=3),"",VALUE(LEFT('Base Encuesta'!AB429,1)))</f>
        <v/>
      </c>
      <c r="V455" t="str">
        <f>IF(OR('Base Encuesta'!AC429="",IFERROR(VALUE(LEFT('Base Encuesta'!K429,1)),"")&gt;=3),"",VALUE(LEFT('Base Encuesta'!AC429,1)))</f>
        <v/>
      </c>
      <c r="W455" t="str">
        <f>IF(OR('Base Encuesta'!AE429="",IFERROR(VALUE(LEFT('Base Encuesta'!K429,1)),"")&gt;=3),"",VALUE(LEFT('Base Encuesta'!AE429,1)))</f>
        <v/>
      </c>
      <c r="X455" t="str">
        <f>IF(OR('Base Encuesta'!AF429="",IFERROR(VALUE(LEFT('Base Encuesta'!K429,1)),"")&gt;=3),"",IF(W455=1,VALUE(LEFT('Base Encuesta'!AF429,1)),""))</f>
        <v/>
      </c>
      <c r="Y455" t="str">
        <f>IF(OR('Base Encuesta'!AG429="",IFERROR(VALUE(LEFT('Base Encuesta'!K429,1)),"")&gt;=3),"",IF(W455=1,VALUE(LEFT('Base Encuesta'!AG429,1)),""))</f>
        <v/>
      </c>
      <c r="Z455" t="str">
        <f>IF(OR('Base Encuesta'!AH429="",IFERROR(VALUE(LEFT('Base Encuesta'!K429,1)),"")&gt;=3),"",IF(W455=1,VALUE(LEFT('Base Encuesta'!AH429,1)),""))</f>
        <v/>
      </c>
      <c r="AA455" t="str">
        <f>IF(OR('Base Encuesta'!AI429="",IFERROR(VALUE(LEFT('Base Encuesta'!K429,1)),"")&gt;=3),"",IF(W455=1,VALUE(LEFT('Base Encuesta'!AI429,1)),""))</f>
        <v/>
      </c>
      <c r="AB455" t="str">
        <f>IF(OR('Base Encuesta'!AJ429="",IFERROR(VALUE(LEFT('Base Encuesta'!K429,1)),"")&gt;=3),"",IF(W455=1,VALUE(LEFT('Base Encuesta'!AJ429,1)),""))</f>
        <v/>
      </c>
      <c r="AC455" t="str">
        <f>IF(OR('Base Encuesta'!AL429="",IFERROR(VALUE(LEFT('Base Encuesta'!K429,1)),"")&gt;=3),"",VALUE(LEFT('Base Encuesta'!AL429,1)))</f>
        <v/>
      </c>
      <c r="AD455" t="str">
        <f>IF(OR('Base Encuesta'!AM429="",IFERROR(VALUE(LEFT('Base Encuesta'!K429,1)),"")&gt;=3),"",VALUE(LEFT('Base Encuesta'!AM429,1)))</f>
        <v/>
      </c>
      <c r="AE455" t="str">
        <f>IF(OR('Base Encuesta'!AN429="",IFERROR(VALUE(LEFT('Base Encuesta'!K429,1)),"")&gt;=3),"",VALUE(LEFT('Base Encuesta'!AN429,1)))</f>
        <v/>
      </c>
      <c r="AF455" t="str">
        <f>IF(OR('Base Encuesta'!AO429="",IFERROR(VALUE(LEFT('Base Encuesta'!K429,1)),"")&gt;=3),"",VALUE(LEFT('Base Encuesta'!AO429,1)))</f>
        <v/>
      </c>
      <c r="AG455" t="str">
        <f>IF(OR('Base Encuesta'!AQ429="",IFERROR(VALUE(LEFT('Base Encuesta'!K429,1)),"")&gt;=3),"",VALUE(LEFT('Base Encuesta'!AQ429,1)))</f>
        <v/>
      </c>
      <c r="AH455" t="str">
        <f>IF(OR('Base Encuesta'!AR429="",IFERROR(VALUE(LEFT('Base Encuesta'!K429,1)),"")&gt;=3),"",VALUE(LEFT('Base Encuesta'!AR429,1)))</f>
        <v/>
      </c>
    </row>
    <row r="456" spans="1:34">
      <c r="A456" t="str">
        <f>IF('Base Encuesta'!C430="","",'Base Encuesta'!C430)</f>
        <v/>
      </c>
      <c r="B456" t="str">
        <f>IF('Base Encuesta'!D430="","",'Base Encuesta'!D430)</f>
        <v/>
      </c>
      <c r="C456" t="str">
        <f>IF('Base Encuesta'!E430="","",'Base Encuesta'!E430)</f>
        <v/>
      </c>
      <c r="D456" t="str">
        <f>IF('Base Encuesta'!F430="","",'Base Encuesta'!F430)</f>
        <v/>
      </c>
      <c r="E456" t="str">
        <f>IF('Base Encuesta'!G430="","",'Base Encuesta'!G430)</f>
        <v/>
      </c>
      <c r="F456" t="str">
        <f>IF('Base Encuesta'!H430="","",'Base Encuesta'!H430)</f>
        <v/>
      </c>
      <c r="G456" t="str">
        <f>IF('Base Encuesta'!I430="","",'Base Encuesta'!I430)</f>
        <v/>
      </c>
      <c r="H456" t="str">
        <f>IF('Base Encuesta'!J430="","",'Base Encuesta'!J430)</f>
        <v/>
      </c>
      <c r="I456" t="str">
        <f>IF('Base Encuesta'!K430="","",'Base Encuesta'!K430)</f>
        <v/>
      </c>
      <c r="J456" t="str">
        <f>IF(OR('Base Encuesta'!P430="",IFERROR(VALUE(LEFT('Base Encuesta'!K430,1)),"")&gt;=3),"",PROPER(TRIM('Base Encuesta'!P430)))</f>
        <v/>
      </c>
      <c r="K456" t="str">
        <f>IF(OR('Base Encuesta'!Q430="",IFERROR(VALUE(LEFT('Base Encuesta'!K430,1)),"")&gt;=3),"",'Base Encuesta'!Q430)</f>
        <v/>
      </c>
      <c r="L456" t="str">
        <f>IF(OR('Base Encuesta'!R430="",IFERROR(VALUE(LEFT('Base Encuesta'!K430,1)),"")&gt;=3),"",VALUE(LEFT('Base Encuesta'!R430,1)))</f>
        <v/>
      </c>
      <c r="M456" t="str">
        <f>IF(OR('Base Encuesta'!S430="",IFERROR(VALUE(LEFT('Base Encuesta'!K430,1)),"")&gt;=3),"",VALUE(LEFT('Base Encuesta'!S430,1)))</f>
        <v/>
      </c>
      <c r="N456" t="str">
        <f>IF(OR('Base Encuesta'!T430="",IFERROR(VALUE(LEFT('Base Encuesta'!K430,1)),"")&gt;=3),"",VALUE(LEFT('Base Encuesta'!T430,1)))</f>
        <v/>
      </c>
      <c r="O456" t="str">
        <f>IF(OR('Base Encuesta'!V430="",IFERROR(VALUE(LEFT('Base Encuesta'!K430,1)),"")&gt;=3),"",VALUE(LEFT('Base Encuesta'!V430,1)))</f>
        <v/>
      </c>
      <c r="P456" t="str">
        <f>IF(OR('Base Encuesta'!W430="",IFERROR(VALUE(LEFT('Base Encuesta'!K430,1)),"")&gt;=3),"",VALUE(LEFT('Base Encuesta'!W430,1)))</f>
        <v/>
      </c>
      <c r="Q456" t="str">
        <f>IF(OR('Base Encuesta'!X430="",IFERROR(VALUE(LEFT('Base Encuesta'!K430,1)),"")&gt;=3),"",VALUE(LEFT('Base Encuesta'!X430,1)))</f>
        <v/>
      </c>
      <c r="R456" t="str">
        <f>IF(OR('Base Encuesta'!Y430="",IFERROR(VALUE(LEFT('Base Encuesta'!K430,1)),"")&gt;=3),"",VALUE(LEFT('Base Encuesta'!Y430,1)))</f>
        <v/>
      </c>
      <c r="S456" t="str">
        <f>IF(OR('Base Encuesta'!Z430="",IFERROR(VALUE(LEFT('Base Encuesta'!K430,1)),"")&gt;=3),"",VALUE(LEFT('Base Encuesta'!Z430,1)))</f>
        <v/>
      </c>
      <c r="T456" t="str">
        <f>IF(OR('Base Encuesta'!AA430="",IFERROR(VALUE(LEFT('Base Encuesta'!K430,1)),"")&gt;=3),"",VALUE(LEFT('Base Encuesta'!AA430,1)))</f>
        <v/>
      </c>
      <c r="U456" t="str">
        <f>IF(OR('Base Encuesta'!AB430="",IFERROR(VALUE(LEFT('Base Encuesta'!K430,1)),"")&gt;=3),"",VALUE(LEFT('Base Encuesta'!AB430,1)))</f>
        <v/>
      </c>
      <c r="V456" t="str">
        <f>IF(OR('Base Encuesta'!AC430="",IFERROR(VALUE(LEFT('Base Encuesta'!K430,1)),"")&gt;=3),"",VALUE(LEFT('Base Encuesta'!AC430,1)))</f>
        <v/>
      </c>
      <c r="W456" t="str">
        <f>IF(OR('Base Encuesta'!AE430="",IFERROR(VALUE(LEFT('Base Encuesta'!K430,1)),"")&gt;=3),"",VALUE(LEFT('Base Encuesta'!AE430,1)))</f>
        <v/>
      </c>
      <c r="X456" t="str">
        <f>IF(OR('Base Encuesta'!AF430="",IFERROR(VALUE(LEFT('Base Encuesta'!K430,1)),"")&gt;=3),"",IF(W456=1,VALUE(LEFT('Base Encuesta'!AF430,1)),""))</f>
        <v/>
      </c>
      <c r="Y456" t="str">
        <f>IF(OR('Base Encuesta'!AG430="",IFERROR(VALUE(LEFT('Base Encuesta'!K430,1)),"")&gt;=3),"",IF(W456=1,VALUE(LEFT('Base Encuesta'!AG430,1)),""))</f>
        <v/>
      </c>
      <c r="Z456" t="str">
        <f>IF(OR('Base Encuesta'!AH430="",IFERROR(VALUE(LEFT('Base Encuesta'!K430,1)),"")&gt;=3),"",IF(W456=1,VALUE(LEFT('Base Encuesta'!AH430,1)),""))</f>
        <v/>
      </c>
      <c r="AA456" t="str">
        <f>IF(OR('Base Encuesta'!AI430="",IFERROR(VALUE(LEFT('Base Encuesta'!K430,1)),"")&gt;=3),"",IF(W456=1,VALUE(LEFT('Base Encuesta'!AI430,1)),""))</f>
        <v/>
      </c>
      <c r="AB456" t="str">
        <f>IF(OR('Base Encuesta'!AJ430="",IFERROR(VALUE(LEFT('Base Encuesta'!K430,1)),"")&gt;=3),"",IF(W456=1,VALUE(LEFT('Base Encuesta'!AJ430,1)),""))</f>
        <v/>
      </c>
      <c r="AC456" t="str">
        <f>IF(OR('Base Encuesta'!AL430="",IFERROR(VALUE(LEFT('Base Encuesta'!K430,1)),"")&gt;=3),"",VALUE(LEFT('Base Encuesta'!AL430,1)))</f>
        <v/>
      </c>
      <c r="AD456" t="str">
        <f>IF(OR('Base Encuesta'!AM430="",IFERROR(VALUE(LEFT('Base Encuesta'!K430,1)),"")&gt;=3),"",VALUE(LEFT('Base Encuesta'!AM430,1)))</f>
        <v/>
      </c>
      <c r="AE456" t="str">
        <f>IF(OR('Base Encuesta'!AN430="",IFERROR(VALUE(LEFT('Base Encuesta'!K430,1)),"")&gt;=3),"",VALUE(LEFT('Base Encuesta'!AN430,1)))</f>
        <v/>
      </c>
      <c r="AF456" t="str">
        <f>IF(OR('Base Encuesta'!AO430="",IFERROR(VALUE(LEFT('Base Encuesta'!K430,1)),"")&gt;=3),"",VALUE(LEFT('Base Encuesta'!AO430,1)))</f>
        <v/>
      </c>
      <c r="AG456" t="str">
        <f>IF(OR('Base Encuesta'!AQ430="",IFERROR(VALUE(LEFT('Base Encuesta'!K430,1)),"")&gt;=3),"",VALUE(LEFT('Base Encuesta'!AQ430,1)))</f>
        <v/>
      </c>
      <c r="AH456" t="str">
        <f>IF(OR('Base Encuesta'!AR430="",IFERROR(VALUE(LEFT('Base Encuesta'!K430,1)),"")&gt;=3),"",VALUE(LEFT('Base Encuesta'!AR430,1)))</f>
        <v/>
      </c>
    </row>
    <row r="457" spans="1:34">
      <c r="A457" t="str">
        <f>IF('Base Encuesta'!C431="","",'Base Encuesta'!C431)</f>
        <v/>
      </c>
      <c r="B457" t="str">
        <f>IF('Base Encuesta'!D431="","",'Base Encuesta'!D431)</f>
        <v/>
      </c>
      <c r="C457" t="str">
        <f>IF('Base Encuesta'!E431="","",'Base Encuesta'!E431)</f>
        <v/>
      </c>
      <c r="D457" t="str">
        <f>IF('Base Encuesta'!F431="","",'Base Encuesta'!F431)</f>
        <v/>
      </c>
      <c r="E457" t="str">
        <f>IF('Base Encuesta'!G431="","",'Base Encuesta'!G431)</f>
        <v/>
      </c>
      <c r="F457" t="str">
        <f>IF('Base Encuesta'!H431="","",'Base Encuesta'!H431)</f>
        <v/>
      </c>
      <c r="G457" t="str">
        <f>IF('Base Encuesta'!I431="","",'Base Encuesta'!I431)</f>
        <v/>
      </c>
      <c r="H457" t="str">
        <f>IF('Base Encuesta'!J431="","",'Base Encuesta'!J431)</f>
        <v/>
      </c>
      <c r="I457" t="str">
        <f>IF('Base Encuesta'!K431="","",'Base Encuesta'!K431)</f>
        <v/>
      </c>
      <c r="J457" t="str">
        <f>IF(OR('Base Encuesta'!P431="",IFERROR(VALUE(LEFT('Base Encuesta'!K431,1)),"")&gt;=3),"",PROPER(TRIM('Base Encuesta'!P431)))</f>
        <v/>
      </c>
      <c r="K457" t="str">
        <f>IF(OR('Base Encuesta'!Q431="",IFERROR(VALUE(LEFT('Base Encuesta'!K431,1)),"")&gt;=3),"",'Base Encuesta'!Q431)</f>
        <v/>
      </c>
      <c r="L457" t="str">
        <f>IF(OR('Base Encuesta'!R431="",IFERROR(VALUE(LEFT('Base Encuesta'!K431,1)),"")&gt;=3),"",VALUE(LEFT('Base Encuesta'!R431,1)))</f>
        <v/>
      </c>
      <c r="M457" t="str">
        <f>IF(OR('Base Encuesta'!S431="",IFERROR(VALUE(LEFT('Base Encuesta'!K431,1)),"")&gt;=3),"",VALUE(LEFT('Base Encuesta'!S431,1)))</f>
        <v/>
      </c>
      <c r="N457" t="str">
        <f>IF(OR('Base Encuesta'!T431="",IFERROR(VALUE(LEFT('Base Encuesta'!K431,1)),"")&gt;=3),"",VALUE(LEFT('Base Encuesta'!T431,1)))</f>
        <v/>
      </c>
      <c r="O457" t="str">
        <f>IF(OR('Base Encuesta'!V431="",IFERROR(VALUE(LEFT('Base Encuesta'!K431,1)),"")&gt;=3),"",VALUE(LEFT('Base Encuesta'!V431,1)))</f>
        <v/>
      </c>
      <c r="P457" t="str">
        <f>IF(OR('Base Encuesta'!W431="",IFERROR(VALUE(LEFT('Base Encuesta'!K431,1)),"")&gt;=3),"",VALUE(LEFT('Base Encuesta'!W431,1)))</f>
        <v/>
      </c>
      <c r="Q457" t="str">
        <f>IF(OR('Base Encuesta'!X431="",IFERROR(VALUE(LEFT('Base Encuesta'!K431,1)),"")&gt;=3),"",VALUE(LEFT('Base Encuesta'!X431,1)))</f>
        <v/>
      </c>
      <c r="R457" t="str">
        <f>IF(OR('Base Encuesta'!Y431="",IFERROR(VALUE(LEFT('Base Encuesta'!K431,1)),"")&gt;=3),"",VALUE(LEFT('Base Encuesta'!Y431,1)))</f>
        <v/>
      </c>
      <c r="S457" t="str">
        <f>IF(OR('Base Encuesta'!Z431="",IFERROR(VALUE(LEFT('Base Encuesta'!K431,1)),"")&gt;=3),"",VALUE(LEFT('Base Encuesta'!Z431,1)))</f>
        <v/>
      </c>
      <c r="T457" t="str">
        <f>IF(OR('Base Encuesta'!AA431="",IFERROR(VALUE(LEFT('Base Encuesta'!K431,1)),"")&gt;=3),"",VALUE(LEFT('Base Encuesta'!AA431,1)))</f>
        <v/>
      </c>
      <c r="U457" t="str">
        <f>IF(OR('Base Encuesta'!AB431="",IFERROR(VALUE(LEFT('Base Encuesta'!K431,1)),"")&gt;=3),"",VALUE(LEFT('Base Encuesta'!AB431,1)))</f>
        <v/>
      </c>
      <c r="V457" t="str">
        <f>IF(OR('Base Encuesta'!AC431="",IFERROR(VALUE(LEFT('Base Encuesta'!K431,1)),"")&gt;=3),"",VALUE(LEFT('Base Encuesta'!AC431,1)))</f>
        <v/>
      </c>
      <c r="W457" t="str">
        <f>IF(OR('Base Encuesta'!AE431="",IFERROR(VALUE(LEFT('Base Encuesta'!K431,1)),"")&gt;=3),"",VALUE(LEFT('Base Encuesta'!AE431,1)))</f>
        <v/>
      </c>
      <c r="X457" t="str">
        <f>IF(OR('Base Encuesta'!AF431="",IFERROR(VALUE(LEFT('Base Encuesta'!K431,1)),"")&gt;=3),"",IF(W457=1,VALUE(LEFT('Base Encuesta'!AF431,1)),""))</f>
        <v/>
      </c>
      <c r="Y457" t="str">
        <f>IF(OR('Base Encuesta'!AG431="",IFERROR(VALUE(LEFT('Base Encuesta'!K431,1)),"")&gt;=3),"",IF(W457=1,VALUE(LEFT('Base Encuesta'!AG431,1)),""))</f>
        <v/>
      </c>
      <c r="Z457" t="str">
        <f>IF(OR('Base Encuesta'!AH431="",IFERROR(VALUE(LEFT('Base Encuesta'!K431,1)),"")&gt;=3),"",IF(W457=1,VALUE(LEFT('Base Encuesta'!AH431,1)),""))</f>
        <v/>
      </c>
      <c r="AA457" t="str">
        <f>IF(OR('Base Encuesta'!AI431="",IFERROR(VALUE(LEFT('Base Encuesta'!K431,1)),"")&gt;=3),"",IF(W457=1,VALUE(LEFT('Base Encuesta'!AI431,1)),""))</f>
        <v/>
      </c>
      <c r="AB457" t="str">
        <f>IF(OR('Base Encuesta'!AJ431="",IFERROR(VALUE(LEFT('Base Encuesta'!K431,1)),"")&gt;=3),"",IF(W457=1,VALUE(LEFT('Base Encuesta'!AJ431,1)),""))</f>
        <v/>
      </c>
      <c r="AC457" t="str">
        <f>IF(OR('Base Encuesta'!AL431="",IFERROR(VALUE(LEFT('Base Encuesta'!K431,1)),"")&gt;=3),"",VALUE(LEFT('Base Encuesta'!AL431,1)))</f>
        <v/>
      </c>
      <c r="AD457" t="str">
        <f>IF(OR('Base Encuesta'!AM431="",IFERROR(VALUE(LEFT('Base Encuesta'!K431,1)),"")&gt;=3),"",VALUE(LEFT('Base Encuesta'!AM431,1)))</f>
        <v/>
      </c>
      <c r="AE457" t="str">
        <f>IF(OR('Base Encuesta'!AN431="",IFERROR(VALUE(LEFT('Base Encuesta'!K431,1)),"")&gt;=3),"",VALUE(LEFT('Base Encuesta'!AN431,1)))</f>
        <v/>
      </c>
      <c r="AF457" t="str">
        <f>IF(OR('Base Encuesta'!AO431="",IFERROR(VALUE(LEFT('Base Encuesta'!K431,1)),"")&gt;=3),"",VALUE(LEFT('Base Encuesta'!AO431,1)))</f>
        <v/>
      </c>
      <c r="AG457" t="str">
        <f>IF(OR('Base Encuesta'!AQ431="",IFERROR(VALUE(LEFT('Base Encuesta'!K431,1)),"")&gt;=3),"",VALUE(LEFT('Base Encuesta'!AQ431,1)))</f>
        <v/>
      </c>
      <c r="AH457" t="str">
        <f>IF(OR('Base Encuesta'!AR431="",IFERROR(VALUE(LEFT('Base Encuesta'!K431,1)),"")&gt;=3),"",VALUE(LEFT('Base Encuesta'!AR431,1)))</f>
        <v/>
      </c>
    </row>
    <row r="458" spans="1:34">
      <c r="A458" t="str">
        <f>IF('Base Encuesta'!C432="","",'Base Encuesta'!C432)</f>
        <v/>
      </c>
      <c r="B458" t="str">
        <f>IF('Base Encuesta'!D432="","",'Base Encuesta'!D432)</f>
        <v/>
      </c>
      <c r="C458" t="str">
        <f>IF('Base Encuesta'!E432="","",'Base Encuesta'!E432)</f>
        <v/>
      </c>
      <c r="D458" t="str">
        <f>IF('Base Encuesta'!F432="","",'Base Encuesta'!F432)</f>
        <v/>
      </c>
      <c r="E458" t="str">
        <f>IF('Base Encuesta'!G432="","",'Base Encuesta'!G432)</f>
        <v/>
      </c>
      <c r="F458" t="str">
        <f>IF('Base Encuesta'!H432="","",'Base Encuesta'!H432)</f>
        <v/>
      </c>
      <c r="G458" t="str">
        <f>IF('Base Encuesta'!I432="","",'Base Encuesta'!I432)</f>
        <v/>
      </c>
      <c r="H458" t="str">
        <f>IF('Base Encuesta'!J432="","",'Base Encuesta'!J432)</f>
        <v/>
      </c>
      <c r="I458" t="str">
        <f>IF('Base Encuesta'!K432="","",'Base Encuesta'!K432)</f>
        <v/>
      </c>
      <c r="J458" t="str">
        <f>IF(OR('Base Encuesta'!P432="",IFERROR(VALUE(LEFT('Base Encuesta'!K432,1)),"")&gt;=3),"",PROPER(TRIM('Base Encuesta'!P432)))</f>
        <v/>
      </c>
      <c r="K458" t="str">
        <f>IF(OR('Base Encuesta'!Q432="",IFERROR(VALUE(LEFT('Base Encuesta'!K432,1)),"")&gt;=3),"",'Base Encuesta'!Q432)</f>
        <v/>
      </c>
      <c r="L458" t="str">
        <f>IF(OR('Base Encuesta'!R432="",IFERROR(VALUE(LEFT('Base Encuesta'!K432,1)),"")&gt;=3),"",VALUE(LEFT('Base Encuesta'!R432,1)))</f>
        <v/>
      </c>
      <c r="M458" t="str">
        <f>IF(OR('Base Encuesta'!S432="",IFERROR(VALUE(LEFT('Base Encuesta'!K432,1)),"")&gt;=3),"",VALUE(LEFT('Base Encuesta'!S432,1)))</f>
        <v/>
      </c>
      <c r="N458" t="str">
        <f>IF(OR('Base Encuesta'!T432="",IFERROR(VALUE(LEFT('Base Encuesta'!K432,1)),"")&gt;=3),"",VALUE(LEFT('Base Encuesta'!T432,1)))</f>
        <v/>
      </c>
      <c r="O458" t="str">
        <f>IF(OR('Base Encuesta'!V432="",IFERROR(VALUE(LEFT('Base Encuesta'!K432,1)),"")&gt;=3),"",VALUE(LEFT('Base Encuesta'!V432,1)))</f>
        <v/>
      </c>
      <c r="P458" t="str">
        <f>IF(OR('Base Encuesta'!W432="",IFERROR(VALUE(LEFT('Base Encuesta'!K432,1)),"")&gt;=3),"",VALUE(LEFT('Base Encuesta'!W432,1)))</f>
        <v/>
      </c>
      <c r="Q458" t="str">
        <f>IF(OR('Base Encuesta'!X432="",IFERROR(VALUE(LEFT('Base Encuesta'!K432,1)),"")&gt;=3),"",VALUE(LEFT('Base Encuesta'!X432,1)))</f>
        <v/>
      </c>
      <c r="R458" t="str">
        <f>IF(OR('Base Encuesta'!Y432="",IFERROR(VALUE(LEFT('Base Encuesta'!K432,1)),"")&gt;=3),"",VALUE(LEFT('Base Encuesta'!Y432,1)))</f>
        <v/>
      </c>
      <c r="S458" t="str">
        <f>IF(OR('Base Encuesta'!Z432="",IFERROR(VALUE(LEFT('Base Encuesta'!K432,1)),"")&gt;=3),"",VALUE(LEFT('Base Encuesta'!Z432,1)))</f>
        <v/>
      </c>
      <c r="T458" t="str">
        <f>IF(OR('Base Encuesta'!AA432="",IFERROR(VALUE(LEFT('Base Encuesta'!K432,1)),"")&gt;=3),"",VALUE(LEFT('Base Encuesta'!AA432,1)))</f>
        <v/>
      </c>
      <c r="U458" t="str">
        <f>IF(OR('Base Encuesta'!AB432="",IFERROR(VALUE(LEFT('Base Encuesta'!K432,1)),"")&gt;=3),"",VALUE(LEFT('Base Encuesta'!AB432,1)))</f>
        <v/>
      </c>
      <c r="V458" t="str">
        <f>IF(OR('Base Encuesta'!AC432="",IFERROR(VALUE(LEFT('Base Encuesta'!K432,1)),"")&gt;=3),"",VALUE(LEFT('Base Encuesta'!AC432,1)))</f>
        <v/>
      </c>
      <c r="W458" t="str">
        <f>IF(OR('Base Encuesta'!AE432="",IFERROR(VALUE(LEFT('Base Encuesta'!K432,1)),"")&gt;=3),"",VALUE(LEFT('Base Encuesta'!AE432,1)))</f>
        <v/>
      </c>
      <c r="X458" t="str">
        <f>IF(OR('Base Encuesta'!AF432="",IFERROR(VALUE(LEFT('Base Encuesta'!K432,1)),"")&gt;=3),"",IF(W458=1,VALUE(LEFT('Base Encuesta'!AF432,1)),""))</f>
        <v/>
      </c>
      <c r="Y458" t="str">
        <f>IF(OR('Base Encuesta'!AG432="",IFERROR(VALUE(LEFT('Base Encuesta'!K432,1)),"")&gt;=3),"",IF(W458=1,VALUE(LEFT('Base Encuesta'!AG432,1)),""))</f>
        <v/>
      </c>
      <c r="Z458" t="str">
        <f>IF(OR('Base Encuesta'!AH432="",IFERROR(VALUE(LEFT('Base Encuesta'!K432,1)),"")&gt;=3),"",IF(W458=1,VALUE(LEFT('Base Encuesta'!AH432,1)),""))</f>
        <v/>
      </c>
      <c r="AA458" t="str">
        <f>IF(OR('Base Encuesta'!AI432="",IFERROR(VALUE(LEFT('Base Encuesta'!K432,1)),"")&gt;=3),"",IF(W458=1,VALUE(LEFT('Base Encuesta'!AI432,1)),""))</f>
        <v/>
      </c>
      <c r="AB458" t="str">
        <f>IF(OR('Base Encuesta'!AJ432="",IFERROR(VALUE(LEFT('Base Encuesta'!K432,1)),"")&gt;=3),"",IF(W458=1,VALUE(LEFT('Base Encuesta'!AJ432,1)),""))</f>
        <v/>
      </c>
      <c r="AC458" t="str">
        <f>IF(OR('Base Encuesta'!AL432="",IFERROR(VALUE(LEFT('Base Encuesta'!K432,1)),"")&gt;=3),"",VALUE(LEFT('Base Encuesta'!AL432,1)))</f>
        <v/>
      </c>
      <c r="AD458" t="str">
        <f>IF(OR('Base Encuesta'!AM432="",IFERROR(VALUE(LEFT('Base Encuesta'!K432,1)),"")&gt;=3),"",VALUE(LEFT('Base Encuesta'!AM432,1)))</f>
        <v/>
      </c>
      <c r="AE458" t="str">
        <f>IF(OR('Base Encuesta'!AN432="",IFERROR(VALUE(LEFT('Base Encuesta'!K432,1)),"")&gt;=3),"",VALUE(LEFT('Base Encuesta'!AN432,1)))</f>
        <v/>
      </c>
      <c r="AF458" t="str">
        <f>IF(OR('Base Encuesta'!AO432="",IFERROR(VALUE(LEFT('Base Encuesta'!K432,1)),"")&gt;=3),"",VALUE(LEFT('Base Encuesta'!AO432,1)))</f>
        <v/>
      </c>
      <c r="AG458" t="str">
        <f>IF(OR('Base Encuesta'!AQ432="",IFERROR(VALUE(LEFT('Base Encuesta'!K432,1)),"")&gt;=3),"",VALUE(LEFT('Base Encuesta'!AQ432,1)))</f>
        <v/>
      </c>
      <c r="AH458" t="str">
        <f>IF(OR('Base Encuesta'!AR432="",IFERROR(VALUE(LEFT('Base Encuesta'!K432,1)),"")&gt;=3),"",VALUE(LEFT('Base Encuesta'!AR432,1)))</f>
        <v/>
      </c>
    </row>
    <row r="459" spans="1:34">
      <c r="A459" t="str">
        <f>IF('Base Encuesta'!C433="","",'Base Encuesta'!C433)</f>
        <v/>
      </c>
      <c r="B459" t="str">
        <f>IF('Base Encuesta'!D433="","",'Base Encuesta'!D433)</f>
        <v/>
      </c>
      <c r="C459" t="str">
        <f>IF('Base Encuesta'!E433="","",'Base Encuesta'!E433)</f>
        <v/>
      </c>
      <c r="D459" t="str">
        <f>IF('Base Encuesta'!F433="","",'Base Encuesta'!F433)</f>
        <v/>
      </c>
      <c r="E459" t="str">
        <f>IF('Base Encuesta'!G433="","",'Base Encuesta'!G433)</f>
        <v/>
      </c>
      <c r="F459" t="str">
        <f>IF('Base Encuesta'!H433="","",'Base Encuesta'!H433)</f>
        <v/>
      </c>
      <c r="G459" t="str">
        <f>IF('Base Encuesta'!I433="","",'Base Encuesta'!I433)</f>
        <v/>
      </c>
      <c r="H459" t="str">
        <f>IF('Base Encuesta'!J433="","",'Base Encuesta'!J433)</f>
        <v/>
      </c>
      <c r="I459" t="str">
        <f>IF('Base Encuesta'!K433="","",'Base Encuesta'!K433)</f>
        <v/>
      </c>
      <c r="J459" t="str">
        <f>IF(OR('Base Encuesta'!P433="",IFERROR(VALUE(LEFT('Base Encuesta'!K433,1)),"")&gt;=3),"",PROPER(TRIM('Base Encuesta'!P433)))</f>
        <v/>
      </c>
      <c r="K459" t="str">
        <f>IF(OR('Base Encuesta'!Q433="",IFERROR(VALUE(LEFT('Base Encuesta'!K433,1)),"")&gt;=3),"",'Base Encuesta'!Q433)</f>
        <v/>
      </c>
      <c r="L459" t="str">
        <f>IF(OR('Base Encuesta'!R433="",IFERROR(VALUE(LEFT('Base Encuesta'!K433,1)),"")&gt;=3),"",VALUE(LEFT('Base Encuesta'!R433,1)))</f>
        <v/>
      </c>
      <c r="M459" t="str">
        <f>IF(OR('Base Encuesta'!S433="",IFERROR(VALUE(LEFT('Base Encuesta'!K433,1)),"")&gt;=3),"",VALUE(LEFT('Base Encuesta'!S433,1)))</f>
        <v/>
      </c>
      <c r="N459" t="str">
        <f>IF(OR('Base Encuesta'!T433="",IFERROR(VALUE(LEFT('Base Encuesta'!K433,1)),"")&gt;=3),"",VALUE(LEFT('Base Encuesta'!T433,1)))</f>
        <v/>
      </c>
      <c r="O459" t="str">
        <f>IF(OR('Base Encuesta'!V433="",IFERROR(VALUE(LEFT('Base Encuesta'!K433,1)),"")&gt;=3),"",VALUE(LEFT('Base Encuesta'!V433,1)))</f>
        <v/>
      </c>
      <c r="P459" t="str">
        <f>IF(OR('Base Encuesta'!W433="",IFERROR(VALUE(LEFT('Base Encuesta'!K433,1)),"")&gt;=3),"",VALUE(LEFT('Base Encuesta'!W433,1)))</f>
        <v/>
      </c>
      <c r="Q459" t="str">
        <f>IF(OR('Base Encuesta'!X433="",IFERROR(VALUE(LEFT('Base Encuesta'!K433,1)),"")&gt;=3),"",VALUE(LEFT('Base Encuesta'!X433,1)))</f>
        <v/>
      </c>
      <c r="R459" t="str">
        <f>IF(OR('Base Encuesta'!Y433="",IFERROR(VALUE(LEFT('Base Encuesta'!K433,1)),"")&gt;=3),"",VALUE(LEFT('Base Encuesta'!Y433,1)))</f>
        <v/>
      </c>
      <c r="S459" t="str">
        <f>IF(OR('Base Encuesta'!Z433="",IFERROR(VALUE(LEFT('Base Encuesta'!K433,1)),"")&gt;=3),"",VALUE(LEFT('Base Encuesta'!Z433,1)))</f>
        <v/>
      </c>
      <c r="T459" t="str">
        <f>IF(OR('Base Encuesta'!AA433="",IFERROR(VALUE(LEFT('Base Encuesta'!K433,1)),"")&gt;=3),"",VALUE(LEFT('Base Encuesta'!AA433,1)))</f>
        <v/>
      </c>
      <c r="U459" t="str">
        <f>IF(OR('Base Encuesta'!AB433="",IFERROR(VALUE(LEFT('Base Encuesta'!K433,1)),"")&gt;=3),"",VALUE(LEFT('Base Encuesta'!AB433,1)))</f>
        <v/>
      </c>
      <c r="V459" t="str">
        <f>IF(OR('Base Encuesta'!AC433="",IFERROR(VALUE(LEFT('Base Encuesta'!K433,1)),"")&gt;=3),"",VALUE(LEFT('Base Encuesta'!AC433,1)))</f>
        <v/>
      </c>
      <c r="W459" t="str">
        <f>IF(OR('Base Encuesta'!AE433="",IFERROR(VALUE(LEFT('Base Encuesta'!K433,1)),"")&gt;=3),"",VALUE(LEFT('Base Encuesta'!AE433,1)))</f>
        <v/>
      </c>
      <c r="X459" t="str">
        <f>IF(OR('Base Encuesta'!AF433="",IFERROR(VALUE(LEFT('Base Encuesta'!K433,1)),"")&gt;=3),"",IF(W459=1,VALUE(LEFT('Base Encuesta'!AF433,1)),""))</f>
        <v/>
      </c>
      <c r="Y459" t="str">
        <f>IF(OR('Base Encuesta'!AG433="",IFERROR(VALUE(LEFT('Base Encuesta'!K433,1)),"")&gt;=3),"",IF(W459=1,VALUE(LEFT('Base Encuesta'!AG433,1)),""))</f>
        <v/>
      </c>
      <c r="Z459" t="str">
        <f>IF(OR('Base Encuesta'!AH433="",IFERROR(VALUE(LEFT('Base Encuesta'!K433,1)),"")&gt;=3),"",IF(W459=1,VALUE(LEFT('Base Encuesta'!AH433,1)),""))</f>
        <v/>
      </c>
      <c r="AA459" t="str">
        <f>IF(OR('Base Encuesta'!AI433="",IFERROR(VALUE(LEFT('Base Encuesta'!K433,1)),"")&gt;=3),"",IF(W459=1,VALUE(LEFT('Base Encuesta'!AI433,1)),""))</f>
        <v/>
      </c>
      <c r="AB459" t="str">
        <f>IF(OR('Base Encuesta'!AJ433="",IFERROR(VALUE(LEFT('Base Encuesta'!K433,1)),"")&gt;=3),"",IF(W459=1,VALUE(LEFT('Base Encuesta'!AJ433,1)),""))</f>
        <v/>
      </c>
      <c r="AC459" t="str">
        <f>IF(OR('Base Encuesta'!AL433="",IFERROR(VALUE(LEFT('Base Encuesta'!K433,1)),"")&gt;=3),"",VALUE(LEFT('Base Encuesta'!AL433,1)))</f>
        <v/>
      </c>
      <c r="AD459" t="str">
        <f>IF(OR('Base Encuesta'!AM433="",IFERROR(VALUE(LEFT('Base Encuesta'!K433,1)),"")&gt;=3),"",VALUE(LEFT('Base Encuesta'!AM433,1)))</f>
        <v/>
      </c>
      <c r="AE459" t="str">
        <f>IF(OR('Base Encuesta'!AN433="",IFERROR(VALUE(LEFT('Base Encuesta'!K433,1)),"")&gt;=3),"",VALUE(LEFT('Base Encuesta'!AN433,1)))</f>
        <v/>
      </c>
      <c r="AF459" t="str">
        <f>IF(OR('Base Encuesta'!AO433="",IFERROR(VALUE(LEFT('Base Encuesta'!K433,1)),"")&gt;=3),"",VALUE(LEFT('Base Encuesta'!AO433,1)))</f>
        <v/>
      </c>
      <c r="AG459" t="str">
        <f>IF(OR('Base Encuesta'!AQ433="",IFERROR(VALUE(LEFT('Base Encuesta'!K433,1)),"")&gt;=3),"",VALUE(LEFT('Base Encuesta'!AQ433,1)))</f>
        <v/>
      </c>
      <c r="AH459" t="str">
        <f>IF(OR('Base Encuesta'!AR433="",IFERROR(VALUE(LEFT('Base Encuesta'!K433,1)),"")&gt;=3),"",VALUE(LEFT('Base Encuesta'!AR433,1)))</f>
        <v/>
      </c>
    </row>
    <row r="460" spans="1:34">
      <c r="A460" t="str">
        <f>IF('Base Encuesta'!C434="","",'Base Encuesta'!C434)</f>
        <v/>
      </c>
      <c r="B460" t="str">
        <f>IF('Base Encuesta'!D434="","",'Base Encuesta'!D434)</f>
        <v/>
      </c>
      <c r="C460" t="str">
        <f>IF('Base Encuesta'!E434="","",'Base Encuesta'!E434)</f>
        <v/>
      </c>
      <c r="D460" t="str">
        <f>IF('Base Encuesta'!F434="","",'Base Encuesta'!F434)</f>
        <v/>
      </c>
      <c r="E460" t="str">
        <f>IF('Base Encuesta'!G434="","",'Base Encuesta'!G434)</f>
        <v/>
      </c>
      <c r="F460" t="str">
        <f>IF('Base Encuesta'!H434="","",'Base Encuesta'!H434)</f>
        <v/>
      </c>
      <c r="G460" t="str">
        <f>IF('Base Encuesta'!I434="","",'Base Encuesta'!I434)</f>
        <v/>
      </c>
      <c r="H460" t="str">
        <f>IF('Base Encuesta'!J434="","",'Base Encuesta'!J434)</f>
        <v/>
      </c>
      <c r="I460" t="str">
        <f>IF('Base Encuesta'!K434="","",'Base Encuesta'!K434)</f>
        <v/>
      </c>
      <c r="J460" t="str">
        <f>IF(OR('Base Encuesta'!P434="",IFERROR(VALUE(LEFT('Base Encuesta'!K434,1)),"")&gt;=3),"",PROPER(TRIM('Base Encuesta'!P434)))</f>
        <v/>
      </c>
      <c r="K460" t="str">
        <f>IF(OR('Base Encuesta'!Q434="",IFERROR(VALUE(LEFT('Base Encuesta'!K434,1)),"")&gt;=3),"",'Base Encuesta'!Q434)</f>
        <v/>
      </c>
      <c r="L460" t="str">
        <f>IF(OR('Base Encuesta'!R434="",IFERROR(VALUE(LEFT('Base Encuesta'!K434,1)),"")&gt;=3),"",VALUE(LEFT('Base Encuesta'!R434,1)))</f>
        <v/>
      </c>
      <c r="M460" t="str">
        <f>IF(OR('Base Encuesta'!S434="",IFERROR(VALUE(LEFT('Base Encuesta'!K434,1)),"")&gt;=3),"",VALUE(LEFT('Base Encuesta'!S434,1)))</f>
        <v/>
      </c>
      <c r="N460" t="str">
        <f>IF(OR('Base Encuesta'!T434="",IFERROR(VALUE(LEFT('Base Encuesta'!K434,1)),"")&gt;=3),"",VALUE(LEFT('Base Encuesta'!T434,1)))</f>
        <v/>
      </c>
      <c r="O460" t="str">
        <f>IF(OR('Base Encuesta'!V434="",IFERROR(VALUE(LEFT('Base Encuesta'!K434,1)),"")&gt;=3),"",VALUE(LEFT('Base Encuesta'!V434,1)))</f>
        <v/>
      </c>
      <c r="P460" t="str">
        <f>IF(OR('Base Encuesta'!W434="",IFERROR(VALUE(LEFT('Base Encuesta'!K434,1)),"")&gt;=3),"",VALUE(LEFT('Base Encuesta'!W434,1)))</f>
        <v/>
      </c>
      <c r="Q460" t="str">
        <f>IF(OR('Base Encuesta'!X434="",IFERROR(VALUE(LEFT('Base Encuesta'!K434,1)),"")&gt;=3),"",VALUE(LEFT('Base Encuesta'!X434,1)))</f>
        <v/>
      </c>
      <c r="R460" t="str">
        <f>IF(OR('Base Encuesta'!Y434="",IFERROR(VALUE(LEFT('Base Encuesta'!K434,1)),"")&gt;=3),"",VALUE(LEFT('Base Encuesta'!Y434,1)))</f>
        <v/>
      </c>
      <c r="S460" t="str">
        <f>IF(OR('Base Encuesta'!Z434="",IFERROR(VALUE(LEFT('Base Encuesta'!K434,1)),"")&gt;=3),"",VALUE(LEFT('Base Encuesta'!Z434,1)))</f>
        <v/>
      </c>
      <c r="T460" t="str">
        <f>IF(OR('Base Encuesta'!AA434="",IFERROR(VALUE(LEFT('Base Encuesta'!K434,1)),"")&gt;=3),"",VALUE(LEFT('Base Encuesta'!AA434,1)))</f>
        <v/>
      </c>
      <c r="U460" t="str">
        <f>IF(OR('Base Encuesta'!AB434="",IFERROR(VALUE(LEFT('Base Encuesta'!K434,1)),"")&gt;=3),"",VALUE(LEFT('Base Encuesta'!AB434,1)))</f>
        <v/>
      </c>
      <c r="V460" t="str">
        <f>IF(OR('Base Encuesta'!AC434="",IFERROR(VALUE(LEFT('Base Encuesta'!K434,1)),"")&gt;=3),"",VALUE(LEFT('Base Encuesta'!AC434,1)))</f>
        <v/>
      </c>
      <c r="W460" t="str">
        <f>IF(OR('Base Encuesta'!AE434="",IFERROR(VALUE(LEFT('Base Encuesta'!K434,1)),"")&gt;=3),"",VALUE(LEFT('Base Encuesta'!AE434,1)))</f>
        <v/>
      </c>
      <c r="X460" t="str">
        <f>IF(OR('Base Encuesta'!AF434="",IFERROR(VALUE(LEFT('Base Encuesta'!K434,1)),"")&gt;=3),"",IF(W460=1,VALUE(LEFT('Base Encuesta'!AF434,1)),""))</f>
        <v/>
      </c>
      <c r="Y460" t="str">
        <f>IF(OR('Base Encuesta'!AG434="",IFERROR(VALUE(LEFT('Base Encuesta'!K434,1)),"")&gt;=3),"",IF(W460=1,VALUE(LEFT('Base Encuesta'!AG434,1)),""))</f>
        <v/>
      </c>
      <c r="Z460" t="str">
        <f>IF(OR('Base Encuesta'!AH434="",IFERROR(VALUE(LEFT('Base Encuesta'!K434,1)),"")&gt;=3),"",IF(W460=1,VALUE(LEFT('Base Encuesta'!AH434,1)),""))</f>
        <v/>
      </c>
      <c r="AA460" t="str">
        <f>IF(OR('Base Encuesta'!AI434="",IFERROR(VALUE(LEFT('Base Encuesta'!K434,1)),"")&gt;=3),"",IF(W460=1,VALUE(LEFT('Base Encuesta'!AI434,1)),""))</f>
        <v/>
      </c>
      <c r="AB460" t="str">
        <f>IF(OR('Base Encuesta'!AJ434="",IFERROR(VALUE(LEFT('Base Encuesta'!K434,1)),"")&gt;=3),"",IF(W460=1,VALUE(LEFT('Base Encuesta'!AJ434,1)),""))</f>
        <v/>
      </c>
      <c r="AC460" t="str">
        <f>IF(OR('Base Encuesta'!AL434="",IFERROR(VALUE(LEFT('Base Encuesta'!K434,1)),"")&gt;=3),"",VALUE(LEFT('Base Encuesta'!AL434,1)))</f>
        <v/>
      </c>
      <c r="AD460" t="str">
        <f>IF(OR('Base Encuesta'!AM434="",IFERROR(VALUE(LEFT('Base Encuesta'!K434,1)),"")&gt;=3),"",VALUE(LEFT('Base Encuesta'!AM434,1)))</f>
        <v/>
      </c>
      <c r="AE460" t="str">
        <f>IF(OR('Base Encuesta'!AN434="",IFERROR(VALUE(LEFT('Base Encuesta'!K434,1)),"")&gt;=3),"",VALUE(LEFT('Base Encuesta'!AN434,1)))</f>
        <v/>
      </c>
      <c r="AF460" t="str">
        <f>IF(OR('Base Encuesta'!AO434="",IFERROR(VALUE(LEFT('Base Encuesta'!K434,1)),"")&gt;=3),"",VALUE(LEFT('Base Encuesta'!AO434,1)))</f>
        <v/>
      </c>
      <c r="AG460" t="str">
        <f>IF(OR('Base Encuesta'!AQ434="",IFERROR(VALUE(LEFT('Base Encuesta'!K434,1)),"")&gt;=3),"",VALUE(LEFT('Base Encuesta'!AQ434,1)))</f>
        <v/>
      </c>
      <c r="AH460" t="str">
        <f>IF(OR('Base Encuesta'!AR434="",IFERROR(VALUE(LEFT('Base Encuesta'!K434,1)),"")&gt;=3),"",VALUE(LEFT('Base Encuesta'!AR434,1)))</f>
        <v/>
      </c>
    </row>
    <row r="461" spans="1:34">
      <c r="A461" t="str">
        <f>IF('Base Encuesta'!C435="","",'Base Encuesta'!C435)</f>
        <v/>
      </c>
      <c r="B461" t="str">
        <f>IF('Base Encuesta'!D435="","",'Base Encuesta'!D435)</f>
        <v/>
      </c>
      <c r="C461" t="str">
        <f>IF('Base Encuesta'!E435="","",'Base Encuesta'!E435)</f>
        <v/>
      </c>
      <c r="D461" t="str">
        <f>IF('Base Encuesta'!F435="","",'Base Encuesta'!F435)</f>
        <v/>
      </c>
      <c r="E461" t="str">
        <f>IF('Base Encuesta'!G435="","",'Base Encuesta'!G435)</f>
        <v/>
      </c>
      <c r="F461" t="str">
        <f>IF('Base Encuesta'!H435="","",'Base Encuesta'!H435)</f>
        <v/>
      </c>
      <c r="G461" t="str">
        <f>IF('Base Encuesta'!I435="","",'Base Encuesta'!I435)</f>
        <v/>
      </c>
      <c r="H461" t="str">
        <f>IF('Base Encuesta'!J435="","",'Base Encuesta'!J435)</f>
        <v/>
      </c>
      <c r="I461" t="str">
        <f>IF('Base Encuesta'!K435="","",'Base Encuesta'!K435)</f>
        <v/>
      </c>
      <c r="J461" t="str">
        <f>IF(OR('Base Encuesta'!P435="",IFERROR(VALUE(LEFT('Base Encuesta'!K435,1)),"")&gt;=3),"",PROPER(TRIM('Base Encuesta'!P435)))</f>
        <v/>
      </c>
      <c r="K461" t="str">
        <f>IF(OR('Base Encuesta'!Q435="",IFERROR(VALUE(LEFT('Base Encuesta'!K435,1)),"")&gt;=3),"",'Base Encuesta'!Q435)</f>
        <v/>
      </c>
      <c r="L461" t="str">
        <f>IF(OR('Base Encuesta'!R435="",IFERROR(VALUE(LEFT('Base Encuesta'!K435,1)),"")&gt;=3),"",VALUE(LEFT('Base Encuesta'!R435,1)))</f>
        <v/>
      </c>
      <c r="M461" t="str">
        <f>IF(OR('Base Encuesta'!S435="",IFERROR(VALUE(LEFT('Base Encuesta'!K435,1)),"")&gt;=3),"",VALUE(LEFT('Base Encuesta'!S435,1)))</f>
        <v/>
      </c>
      <c r="N461" t="str">
        <f>IF(OR('Base Encuesta'!T435="",IFERROR(VALUE(LEFT('Base Encuesta'!K435,1)),"")&gt;=3),"",VALUE(LEFT('Base Encuesta'!T435,1)))</f>
        <v/>
      </c>
      <c r="O461" t="str">
        <f>IF(OR('Base Encuesta'!V435="",IFERROR(VALUE(LEFT('Base Encuesta'!K435,1)),"")&gt;=3),"",VALUE(LEFT('Base Encuesta'!V435,1)))</f>
        <v/>
      </c>
      <c r="P461" t="str">
        <f>IF(OR('Base Encuesta'!W435="",IFERROR(VALUE(LEFT('Base Encuesta'!K435,1)),"")&gt;=3),"",VALUE(LEFT('Base Encuesta'!W435,1)))</f>
        <v/>
      </c>
      <c r="Q461" t="str">
        <f>IF(OR('Base Encuesta'!X435="",IFERROR(VALUE(LEFT('Base Encuesta'!K435,1)),"")&gt;=3),"",VALUE(LEFT('Base Encuesta'!X435,1)))</f>
        <v/>
      </c>
      <c r="R461" t="str">
        <f>IF(OR('Base Encuesta'!Y435="",IFERROR(VALUE(LEFT('Base Encuesta'!K435,1)),"")&gt;=3),"",VALUE(LEFT('Base Encuesta'!Y435,1)))</f>
        <v/>
      </c>
      <c r="S461" t="str">
        <f>IF(OR('Base Encuesta'!Z435="",IFERROR(VALUE(LEFT('Base Encuesta'!K435,1)),"")&gt;=3),"",VALUE(LEFT('Base Encuesta'!Z435,1)))</f>
        <v/>
      </c>
      <c r="T461" t="str">
        <f>IF(OR('Base Encuesta'!AA435="",IFERROR(VALUE(LEFT('Base Encuesta'!K435,1)),"")&gt;=3),"",VALUE(LEFT('Base Encuesta'!AA435,1)))</f>
        <v/>
      </c>
      <c r="U461" t="str">
        <f>IF(OR('Base Encuesta'!AB435="",IFERROR(VALUE(LEFT('Base Encuesta'!K435,1)),"")&gt;=3),"",VALUE(LEFT('Base Encuesta'!AB435,1)))</f>
        <v/>
      </c>
      <c r="V461" t="str">
        <f>IF(OR('Base Encuesta'!AC435="",IFERROR(VALUE(LEFT('Base Encuesta'!K435,1)),"")&gt;=3),"",VALUE(LEFT('Base Encuesta'!AC435,1)))</f>
        <v/>
      </c>
      <c r="W461" t="str">
        <f>IF(OR('Base Encuesta'!AE435="",IFERROR(VALUE(LEFT('Base Encuesta'!K435,1)),"")&gt;=3),"",VALUE(LEFT('Base Encuesta'!AE435,1)))</f>
        <v/>
      </c>
      <c r="X461" t="str">
        <f>IF(OR('Base Encuesta'!AF435="",IFERROR(VALUE(LEFT('Base Encuesta'!K435,1)),"")&gt;=3),"",IF(W461=1,VALUE(LEFT('Base Encuesta'!AF435,1)),""))</f>
        <v/>
      </c>
      <c r="Y461" t="str">
        <f>IF(OR('Base Encuesta'!AG435="",IFERROR(VALUE(LEFT('Base Encuesta'!K435,1)),"")&gt;=3),"",IF(W461=1,VALUE(LEFT('Base Encuesta'!AG435,1)),""))</f>
        <v/>
      </c>
      <c r="Z461" t="str">
        <f>IF(OR('Base Encuesta'!AH435="",IFERROR(VALUE(LEFT('Base Encuesta'!K435,1)),"")&gt;=3),"",IF(W461=1,VALUE(LEFT('Base Encuesta'!AH435,1)),""))</f>
        <v/>
      </c>
      <c r="AA461" t="str">
        <f>IF(OR('Base Encuesta'!AI435="",IFERROR(VALUE(LEFT('Base Encuesta'!K435,1)),"")&gt;=3),"",IF(W461=1,VALUE(LEFT('Base Encuesta'!AI435,1)),""))</f>
        <v/>
      </c>
      <c r="AB461" t="str">
        <f>IF(OR('Base Encuesta'!AJ435="",IFERROR(VALUE(LEFT('Base Encuesta'!K435,1)),"")&gt;=3),"",IF(W461=1,VALUE(LEFT('Base Encuesta'!AJ435,1)),""))</f>
        <v/>
      </c>
      <c r="AC461" t="str">
        <f>IF(OR('Base Encuesta'!AL435="",IFERROR(VALUE(LEFT('Base Encuesta'!K435,1)),"")&gt;=3),"",VALUE(LEFT('Base Encuesta'!AL435,1)))</f>
        <v/>
      </c>
      <c r="AD461" t="str">
        <f>IF(OR('Base Encuesta'!AM435="",IFERROR(VALUE(LEFT('Base Encuesta'!K435,1)),"")&gt;=3),"",VALUE(LEFT('Base Encuesta'!AM435,1)))</f>
        <v/>
      </c>
      <c r="AE461" t="str">
        <f>IF(OR('Base Encuesta'!AN435="",IFERROR(VALUE(LEFT('Base Encuesta'!K435,1)),"")&gt;=3),"",VALUE(LEFT('Base Encuesta'!AN435,1)))</f>
        <v/>
      </c>
      <c r="AF461" t="str">
        <f>IF(OR('Base Encuesta'!AO435="",IFERROR(VALUE(LEFT('Base Encuesta'!K435,1)),"")&gt;=3),"",VALUE(LEFT('Base Encuesta'!AO435,1)))</f>
        <v/>
      </c>
      <c r="AG461" t="str">
        <f>IF(OR('Base Encuesta'!AQ435="",IFERROR(VALUE(LEFT('Base Encuesta'!K435,1)),"")&gt;=3),"",VALUE(LEFT('Base Encuesta'!AQ435,1)))</f>
        <v/>
      </c>
      <c r="AH461" t="str">
        <f>IF(OR('Base Encuesta'!AR435="",IFERROR(VALUE(LEFT('Base Encuesta'!K435,1)),"")&gt;=3),"",VALUE(LEFT('Base Encuesta'!AR435,1)))</f>
        <v/>
      </c>
    </row>
    <row r="462" spans="1:34">
      <c r="A462" t="str">
        <f>IF('Base Encuesta'!C436="","",'Base Encuesta'!C436)</f>
        <v/>
      </c>
      <c r="B462" t="str">
        <f>IF('Base Encuesta'!D436="","",'Base Encuesta'!D436)</f>
        <v/>
      </c>
      <c r="C462" t="str">
        <f>IF('Base Encuesta'!E436="","",'Base Encuesta'!E436)</f>
        <v/>
      </c>
      <c r="D462" t="str">
        <f>IF('Base Encuesta'!F436="","",'Base Encuesta'!F436)</f>
        <v/>
      </c>
      <c r="E462" t="str">
        <f>IF('Base Encuesta'!G436="","",'Base Encuesta'!G436)</f>
        <v/>
      </c>
      <c r="F462" t="str">
        <f>IF('Base Encuesta'!H436="","",'Base Encuesta'!H436)</f>
        <v/>
      </c>
      <c r="G462" t="str">
        <f>IF('Base Encuesta'!I436="","",'Base Encuesta'!I436)</f>
        <v/>
      </c>
      <c r="H462" t="str">
        <f>IF('Base Encuesta'!J436="","",'Base Encuesta'!J436)</f>
        <v/>
      </c>
      <c r="I462" t="str">
        <f>IF('Base Encuesta'!K436="","",'Base Encuesta'!K436)</f>
        <v/>
      </c>
      <c r="J462" t="str">
        <f>IF(OR('Base Encuesta'!P436="",IFERROR(VALUE(LEFT('Base Encuesta'!K436,1)),"")&gt;=3),"",PROPER(TRIM('Base Encuesta'!P436)))</f>
        <v/>
      </c>
      <c r="K462" t="str">
        <f>IF(OR('Base Encuesta'!Q436="",IFERROR(VALUE(LEFT('Base Encuesta'!K436,1)),"")&gt;=3),"",'Base Encuesta'!Q436)</f>
        <v/>
      </c>
      <c r="L462" t="str">
        <f>IF(OR('Base Encuesta'!R436="",IFERROR(VALUE(LEFT('Base Encuesta'!K436,1)),"")&gt;=3),"",VALUE(LEFT('Base Encuesta'!R436,1)))</f>
        <v/>
      </c>
      <c r="M462" t="str">
        <f>IF(OR('Base Encuesta'!S436="",IFERROR(VALUE(LEFT('Base Encuesta'!K436,1)),"")&gt;=3),"",VALUE(LEFT('Base Encuesta'!S436,1)))</f>
        <v/>
      </c>
      <c r="N462" t="str">
        <f>IF(OR('Base Encuesta'!T436="",IFERROR(VALUE(LEFT('Base Encuesta'!K436,1)),"")&gt;=3),"",VALUE(LEFT('Base Encuesta'!T436,1)))</f>
        <v/>
      </c>
      <c r="O462" t="str">
        <f>IF(OR('Base Encuesta'!V436="",IFERROR(VALUE(LEFT('Base Encuesta'!K436,1)),"")&gt;=3),"",VALUE(LEFT('Base Encuesta'!V436,1)))</f>
        <v/>
      </c>
      <c r="P462" t="str">
        <f>IF(OR('Base Encuesta'!W436="",IFERROR(VALUE(LEFT('Base Encuesta'!K436,1)),"")&gt;=3),"",VALUE(LEFT('Base Encuesta'!W436,1)))</f>
        <v/>
      </c>
      <c r="Q462" t="str">
        <f>IF(OR('Base Encuesta'!X436="",IFERROR(VALUE(LEFT('Base Encuesta'!K436,1)),"")&gt;=3),"",VALUE(LEFT('Base Encuesta'!X436,1)))</f>
        <v/>
      </c>
      <c r="R462" t="str">
        <f>IF(OR('Base Encuesta'!Y436="",IFERROR(VALUE(LEFT('Base Encuesta'!K436,1)),"")&gt;=3),"",VALUE(LEFT('Base Encuesta'!Y436,1)))</f>
        <v/>
      </c>
      <c r="S462" t="str">
        <f>IF(OR('Base Encuesta'!Z436="",IFERROR(VALUE(LEFT('Base Encuesta'!K436,1)),"")&gt;=3),"",VALUE(LEFT('Base Encuesta'!Z436,1)))</f>
        <v/>
      </c>
      <c r="T462" t="str">
        <f>IF(OR('Base Encuesta'!AA436="",IFERROR(VALUE(LEFT('Base Encuesta'!K436,1)),"")&gt;=3),"",VALUE(LEFT('Base Encuesta'!AA436,1)))</f>
        <v/>
      </c>
      <c r="U462" t="str">
        <f>IF(OR('Base Encuesta'!AB436="",IFERROR(VALUE(LEFT('Base Encuesta'!K436,1)),"")&gt;=3),"",VALUE(LEFT('Base Encuesta'!AB436,1)))</f>
        <v/>
      </c>
      <c r="V462" t="str">
        <f>IF(OR('Base Encuesta'!AC436="",IFERROR(VALUE(LEFT('Base Encuesta'!K436,1)),"")&gt;=3),"",VALUE(LEFT('Base Encuesta'!AC436,1)))</f>
        <v/>
      </c>
      <c r="W462" t="str">
        <f>IF(OR('Base Encuesta'!AE436="",IFERROR(VALUE(LEFT('Base Encuesta'!K436,1)),"")&gt;=3),"",VALUE(LEFT('Base Encuesta'!AE436,1)))</f>
        <v/>
      </c>
      <c r="X462" t="str">
        <f>IF(OR('Base Encuesta'!AF436="",IFERROR(VALUE(LEFT('Base Encuesta'!K436,1)),"")&gt;=3),"",IF(W462=1,VALUE(LEFT('Base Encuesta'!AF436,1)),""))</f>
        <v/>
      </c>
      <c r="Y462" t="str">
        <f>IF(OR('Base Encuesta'!AG436="",IFERROR(VALUE(LEFT('Base Encuesta'!K436,1)),"")&gt;=3),"",IF(W462=1,VALUE(LEFT('Base Encuesta'!AG436,1)),""))</f>
        <v/>
      </c>
      <c r="Z462" t="str">
        <f>IF(OR('Base Encuesta'!AH436="",IFERROR(VALUE(LEFT('Base Encuesta'!K436,1)),"")&gt;=3),"",IF(W462=1,VALUE(LEFT('Base Encuesta'!AH436,1)),""))</f>
        <v/>
      </c>
      <c r="AA462" t="str">
        <f>IF(OR('Base Encuesta'!AI436="",IFERROR(VALUE(LEFT('Base Encuesta'!K436,1)),"")&gt;=3),"",IF(W462=1,VALUE(LEFT('Base Encuesta'!AI436,1)),""))</f>
        <v/>
      </c>
      <c r="AB462" t="str">
        <f>IF(OR('Base Encuesta'!AJ436="",IFERROR(VALUE(LEFT('Base Encuesta'!K436,1)),"")&gt;=3),"",IF(W462=1,VALUE(LEFT('Base Encuesta'!AJ436,1)),""))</f>
        <v/>
      </c>
      <c r="AC462" t="str">
        <f>IF(OR('Base Encuesta'!AL436="",IFERROR(VALUE(LEFT('Base Encuesta'!K436,1)),"")&gt;=3),"",VALUE(LEFT('Base Encuesta'!AL436,1)))</f>
        <v/>
      </c>
      <c r="AD462" t="str">
        <f>IF(OR('Base Encuesta'!AM436="",IFERROR(VALUE(LEFT('Base Encuesta'!K436,1)),"")&gt;=3),"",VALUE(LEFT('Base Encuesta'!AM436,1)))</f>
        <v/>
      </c>
      <c r="AE462" t="str">
        <f>IF(OR('Base Encuesta'!AN436="",IFERROR(VALUE(LEFT('Base Encuesta'!K436,1)),"")&gt;=3),"",VALUE(LEFT('Base Encuesta'!AN436,1)))</f>
        <v/>
      </c>
      <c r="AF462" t="str">
        <f>IF(OR('Base Encuesta'!AO436="",IFERROR(VALUE(LEFT('Base Encuesta'!K436,1)),"")&gt;=3),"",VALUE(LEFT('Base Encuesta'!AO436,1)))</f>
        <v/>
      </c>
      <c r="AG462" t="str">
        <f>IF(OR('Base Encuesta'!AQ436="",IFERROR(VALUE(LEFT('Base Encuesta'!K436,1)),"")&gt;=3),"",VALUE(LEFT('Base Encuesta'!AQ436,1)))</f>
        <v/>
      </c>
      <c r="AH462" t="str">
        <f>IF(OR('Base Encuesta'!AR436="",IFERROR(VALUE(LEFT('Base Encuesta'!K436,1)),"")&gt;=3),"",VALUE(LEFT('Base Encuesta'!AR436,1)))</f>
        <v/>
      </c>
    </row>
    <row r="463" spans="1:34">
      <c r="A463" t="str">
        <f>IF('Base Encuesta'!C437="","",'Base Encuesta'!C437)</f>
        <v/>
      </c>
      <c r="B463" t="str">
        <f>IF('Base Encuesta'!D437="","",'Base Encuesta'!D437)</f>
        <v/>
      </c>
      <c r="C463" t="str">
        <f>IF('Base Encuesta'!E437="","",'Base Encuesta'!E437)</f>
        <v/>
      </c>
      <c r="D463" t="str">
        <f>IF('Base Encuesta'!F437="","",'Base Encuesta'!F437)</f>
        <v/>
      </c>
      <c r="E463" t="str">
        <f>IF('Base Encuesta'!G437="","",'Base Encuesta'!G437)</f>
        <v/>
      </c>
      <c r="F463" t="str">
        <f>IF('Base Encuesta'!H437="","",'Base Encuesta'!H437)</f>
        <v/>
      </c>
      <c r="G463" t="str">
        <f>IF('Base Encuesta'!I437="","",'Base Encuesta'!I437)</f>
        <v/>
      </c>
      <c r="H463" t="str">
        <f>IF('Base Encuesta'!J437="","",'Base Encuesta'!J437)</f>
        <v/>
      </c>
      <c r="I463" t="str">
        <f>IF('Base Encuesta'!K437="","",'Base Encuesta'!K437)</f>
        <v/>
      </c>
      <c r="J463" t="str">
        <f>IF(OR('Base Encuesta'!P437="",IFERROR(VALUE(LEFT('Base Encuesta'!K437,1)),"")&gt;=3),"",PROPER(TRIM('Base Encuesta'!P437)))</f>
        <v/>
      </c>
      <c r="K463" t="str">
        <f>IF(OR('Base Encuesta'!Q437="",IFERROR(VALUE(LEFT('Base Encuesta'!K437,1)),"")&gt;=3),"",'Base Encuesta'!Q437)</f>
        <v/>
      </c>
      <c r="L463" t="str">
        <f>IF(OR('Base Encuesta'!R437="",IFERROR(VALUE(LEFT('Base Encuesta'!K437,1)),"")&gt;=3),"",VALUE(LEFT('Base Encuesta'!R437,1)))</f>
        <v/>
      </c>
      <c r="M463" t="str">
        <f>IF(OR('Base Encuesta'!S437="",IFERROR(VALUE(LEFT('Base Encuesta'!K437,1)),"")&gt;=3),"",VALUE(LEFT('Base Encuesta'!S437,1)))</f>
        <v/>
      </c>
      <c r="N463" t="str">
        <f>IF(OR('Base Encuesta'!T437="",IFERROR(VALUE(LEFT('Base Encuesta'!K437,1)),"")&gt;=3),"",VALUE(LEFT('Base Encuesta'!T437,1)))</f>
        <v/>
      </c>
      <c r="O463" t="str">
        <f>IF(OR('Base Encuesta'!V437="",IFERROR(VALUE(LEFT('Base Encuesta'!K437,1)),"")&gt;=3),"",VALUE(LEFT('Base Encuesta'!V437,1)))</f>
        <v/>
      </c>
      <c r="P463" t="str">
        <f>IF(OR('Base Encuesta'!W437="",IFERROR(VALUE(LEFT('Base Encuesta'!K437,1)),"")&gt;=3),"",VALUE(LEFT('Base Encuesta'!W437,1)))</f>
        <v/>
      </c>
      <c r="Q463" t="str">
        <f>IF(OR('Base Encuesta'!X437="",IFERROR(VALUE(LEFT('Base Encuesta'!K437,1)),"")&gt;=3),"",VALUE(LEFT('Base Encuesta'!X437,1)))</f>
        <v/>
      </c>
      <c r="R463" t="str">
        <f>IF(OR('Base Encuesta'!Y437="",IFERROR(VALUE(LEFT('Base Encuesta'!K437,1)),"")&gt;=3),"",VALUE(LEFT('Base Encuesta'!Y437,1)))</f>
        <v/>
      </c>
      <c r="S463" t="str">
        <f>IF(OR('Base Encuesta'!Z437="",IFERROR(VALUE(LEFT('Base Encuesta'!K437,1)),"")&gt;=3),"",VALUE(LEFT('Base Encuesta'!Z437,1)))</f>
        <v/>
      </c>
      <c r="T463" t="str">
        <f>IF(OR('Base Encuesta'!AA437="",IFERROR(VALUE(LEFT('Base Encuesta'!K437,1)),"")&gt;=3),"",VALUE(LEFT('Base Encuesta'!AA437,1)))</f>
        <v/>
      </c>
      <c r="U463" t="str">
        <f>IF(OR('Base Encuesta'!AB437="",IFERROR(VALUE(LEFT('Base Encuesta'!K437,1)),"")&gt;=3),"",VALUE(LEFT('Base Encuesta'!AB437,1)))</f>
        <v/>
      </c>
      <c r="V463" t="str">
        <f>IF(OR('Base Encuesta'!AC437="",IFERROR(VALUE(LEFT('Base Encuesta'!K437,1)),"")&gt;=3),"",VALUE(LEFT('Base Encuesta'!AC437,1)))</f>
        <v/>
      </c>
      <c r="W463" t="str">
        <f>IF(OR('Base Encuesta'!AE437="",IFERROR(VALUE(LEFT('Base Encuesta'!K437,1)),"")&gt;=3),"",VALUE(LEFT('Base Encuesta'!AE437,1)))</f>
        <v/>
      </c>
      <c r="X463" t="str">
        <f>IF(OR('Base Encuesta'!AF437="",IFERROR(VALUE(LEFT('Base Encuesta'!K437,1)),"")&gt;=3),"",IF(W463=1,VALUE(LEFT('Base Encuesta'!AF437,1)),""))</f>
        <v/>
      </c>
      <c r="Y463" t="str">
        <f>IF(OR('Base Encuesta'!AG437="",IFERROR(VALUE(LEFT('Base Encuesta'!K437,1)),"")&gt;=3),"",IF(W463=1,VALUE(LEFT('Base Encuesta'!AG437,1)),""))</f>
        <v/>
      </c>
      <c r="Z463" t="str">
        <f>IF(OR('Base Encuesta'!AH437="",IFERROR(VALUE(LEFT('Base Encuesta'!K437,1)),"")&gt;=3),"",IF(W463=1,VALUE(LEFT('Base Encuesta'!AH437,1)),""))</f>
        <v/>
      </c>
      <c r="AA463" t="str">
        <f>IF(OR('Base Encuesta'!AI437="",IFERROR(VALUE(LEFT('Base Encuesta'!K437,1)),"")&gt;=3),"",IF(W463=1,VALUE(LEFT('Base Encuesta'!AI437,1)),""))</f>
        <v/>
      </c>
      <c r="AB463" t="str">
        <f>IF(OR('Base Encuesta'!AJ437="",IFERROR(VALUE(LEFT('Base Encuesta'!K437,1)),"")&gt;=3),"",IF(W463=1,VALUE(LEFT('Base Encuesta'!AJ437,1)),""))</f>
        <v/>
      </c>
      <c r="AC463" t="str">
        <f>IF(OR('Base Encuesta'!AL437="",IFERROR(VALUE(LEFT('Base Encuesta'!K437,1)),"")&gt;=3),"",VALUE(LEFT('Base Encuesta'!AL437,1)))</f>
        <v/>
      </c>
      <c r="AD463" t="str">
        <f>IF(OR('Base Encuesta'!AM437="",IFERROR(VALUE(LEFT('Base Encuesta'!K437,1)),"")&gt;=3),"",VALUE(LEFT('Base Encuesta'!AM437,1)))</f>
        <v/>
      </c>
      <c r="AE463" t="str">
        <f>IF(OR('Base Encuesta'!AN437="",IFERROR(VALUE(LEFT('Base Encuesta'!K437,1)),"")&gt;=3),"",VALUE(LEFT('Base Encuesta'!AN437,1)))</f>
        <v/>
      </c>
      <c r="AF463" t="str">
        <f>IF(OR('Base Encuesta'!AO437="",IFERROR(VALUE(LEFT('Base Encuesta'!K437,1)),"")&gt;=3),"",VALUE(LEFT('Base Encuesta'!AO437,1)))</f>
        <v/>
      </c>
      <c r="AG463" t="str">
        <f>IF(OR('Base Encuesta'!AQ437="",IFERROR(VALUE(LEFT('Base Encuesta'!K437,1)),"")&gt;=3),"",VALUE(LEFT('Base Encuesta'!AQ437,1)))</f>
        <v/>
      </c>
      <c r="AH463" t="str">
        <f>IF(OR('Base Encuesta'!AR437="",IFERROR(VALUE(LEFT('Base Encuesta'!K437,1)),"")&gt;=3),"",VALUE(LEFT('Base Encuesta'!AR437,1)))</f>
        <v/>
      </c>
    </row>
    <row r="464" spans="1:34">
      <c r="A464" t="str">
        <f>IF('Base Encuesta'!C438="","",'Base Encuesta'!C438)</f>
        <v/>
      </c>
      <c r="B464" t="str">
        <f>IF('Base Encuesta'!D438="","",'Base Encuesta'!D438)</f>
        <v/>
      </c>
      <c r="C464" t="str">
        <f>IF('Base Encuesta'!E438="","",'Base Encuesta'!E438)</f>
        <v/>
      </c>
      <c r="D464" t="str">
        <f>IF('Base Encuesta'!F438="","",'Base Encuesta'!F438)</f>
        <v/>
      </c>
      <c r="E464" t="str">
        <f>IF('Base Encuesta'!G438="","",'Base Encuesta'!G438)</f>
        <v/>
      </c>
      <c r="F464" t="str">
        <f>IF('Base Encuesta'!H438="","",'Base Encuesta'!H438)</f>
        <v/>
      </c>
      <c r="G464" t="str">
        <f>IF('Base Encuesta'!I438="","",'Base Encuesta'!I438)</f>
        <v/>
      </c>
      <c r="H464" t="str">
        <f>IF('Base Encuesta'!J438="","",'Base Encuesta'!J438)</f>
        <v/>
      </c>
      <c r="I464" t="str">
        <f>IF('Base Encuesta'!K438="","",'Base Encuesta'!K438)</f>
        <v/>
      </c>
      <c r="J464" t="str">
        <f>IF(OR('Base Encuesta'!P438="",IFERROR(VALUE(LEFT('Base Encuesta'!K438,1)),"")&gt;=3),"",PROPER(TRIM('Base Encuesta'!P438)))</f>
        <v/>
      </c>
      <c r="K464" t="str">
        <f>IF(OR('Base Encuesta'!Q438="",IFERROR(VALUE(LEFT('Base Encuesta'!K438,1)),"")&gt;=3),"",'Base Encuesta'!Q438)</f>
        <v/>
      </c>
      <c r="L464" t="str">
        <f>IF(OR('Base Encuesta'!R438="",IFERROR(VALUE(LEFT('Base Encuesta'!K438,1)),"")&gt;=3),"",VALUE(LEFT('Base Encuesta'!R438,1)))</f>
        <v/>
      </c>
      <c r="M464" t="str">
        <f>IF(OR('Base Encuesta'!S438="",IFERROR(VALUE(LEFT('Base Encuesta'!K438,1)),"")&gt;=3),"",VALUE(LEFT('Base Encuesta'!S438,1)))</f>
        <v/>
      </c>
      <c r="N464" t="str">
        <f>IF(OR('Base Encuesta'!T438="",IFERROR(VALUE(LEFT('Base Encuesta'!K438,1)),"")&gt;=3),"",VALUE(LEFT('Base Encuesta'!T438,1)))</f>
        <v/>
      </c>
      <c r="O464" t="str">
        <f>IF(OR('Base Encuesta'!V438="",IFERROR(VALUE(LEFT('Base Encuesta'!K438,1)),"")&gt;=3),"",VALUE(LEFT('Base Encuesta'!V438,1)))</f>
        <v/>
      </c>
      <c r="P464" t="str">
        <f>IF(OR('Base Encuesta'!W438="",IFERROR(VALUE(LEFT('Base Encuesta'!K438,1)),"")&gt;=3),"",VALUE(LEFT('Base Encuesta'!W438,1)))</f>
        <v/>
      </c>
      <c r="Q464" t="str">
        <f>IF(OR('Base Encuesta'!X438="",IFERROR(VALUE(LEFT('Base Encuesta'!K438,1)),"")&gt;=3),"",VALUE(LEFT('Base Encuesta'!X438,1)))</f>
        <v/>
      </c>
      <c r="R464" t="str">
        <f>IF(OR('Base Encuesta'!Y438="",IFERROR(VALUE(LEFT('Base Encuesta'!K438,1)),"")&gt;=3),"",VALUE(LEFT('Base Encuesta'!Y438,1)))</f>
        <v/>
      </c>
      <c r="S464" t="str">
        <f>IF(OR('Base Encuesta'!Z438="",IFERROR(VALUE(LEFT('Base Encuesta'!K438,1)),"")&gt;=3),"",VALUE(LEFT('Base Encuesta'!Z438,1)))</f>
        <v/>
      </c>
      <c r="T464" t="str">
        <f>IF(OR('Base Encuesta'!AA438="",IFERROR(VALUE(LEFT('Base Encuesta'!K438,1)),"")&gt;=3),"",VALUE(LEFT('Base Encuesta'!AA438,1)))</f>
        <v/>
      </c>
      <c r="U464" t="str">
        <f>IF(OR('Base Encuesta'!AB438="",IFERROR(VALUE(LEFT('Base Encuesta'!K438,1)),"")&gt;=3),"",VALUE(LEFT('Base Encuesta'!AB438,1)))</f>
        <v/>
      </c>
      <c r="V464" t="str">
        <f>IF(OR('Base Encuesta'!AC438="",IFERROR(VALUE(LEFT('Base Encuesta'!K438,1)),"")&gt;=3),"",VALUE(LEFT('Base Encuesta'!AC438,1)))</f>
        <v/>
      </c>
      <c r="W464" t="str">
        <f>IF(OR('Base Encuesta'!AE438="",IFERROR(VALUE(LEFT('Base Encuesta'!K438,1)),"")&gt;=3),"",VALUE(LEFT('Base Encuesta'!AE438,1)))</f>
        <v/>
      </c>
      <c r="X464" t="str">
        <f>IF(OR('Base Encuesta'!AF438="",IFERROR(VALUE(LEFT('Base Encuesta'!K438,1)),"")&gt;=3),"",IF(W464=1,VALUE(LEFT('Base Encuesta'!AF438,1)),""))</f>
        <v/>
      </c>
      <c r="Y464" t="str">
        <f>IF(OR('Base Encuesta'!AG438="",IFERROR(VALUE(LEFT('Base Encuesta'!K438,1)),"")&gt;=3),"",IF(W464=1,VALUE(LEFT('Base Encuesta'!AG438,1)),""))</f>
        <v/>
      </c>
      <c r="Z464" t="str">
        <f>IF(OR('Base Encuesta'!AH438="",IFERROR(VALUE(LEFT('Base Encuesta'!K438,1)),"")&gt;=3),"",IF(W464=1,VALUE(LEFT('Base Encuesta'!AH438,1)),""))</f>
        <v/>
      </c>
      <c r="AA464" t="str">
        <f>IF(OR('Base Encuesta'!AI438="",IFERROR(VALUE(LEFT('Base Encuesta'!K438,1)),"")&gt;=3),"",IF(W464=1,VALUE(LEFT('Base Encuesta'!AI438,1)),""))</f>
        <v/>
      </c>
      <c r="AB464" t="str">
        <f>IF(OR('Base Encuesta'!AJ438="",IFERROR(VALUE(LEFT('Base Encuesta'!K438,1)),"")&gt;=3),"",IF(W464=1,VALUE(LEFT('Base Encuesta'!AJ438,1)),""))</f>
        <v/>
      </c>
      <c r="AC464" t="str">
        <f>IF(OR('Base Encuesta'!AL438="",IFERROR(VALUE(LEFT('Base Encuesta'!K438,1)),"")&gt;=3),"",VALUE(LEFT('Base Encuesta'!AL438,1)))</f>
        <v/>
      </c>
      <c r="AD464" t="str">
        <f>IF(OR('Base Encuesta'!AM438="",IFERROR(VALUE(LEFT('Base Encuesta'!K438,1)),"")&gt;=3),"",VALUE(LEFT('Base Encuesta'!AM438,1)))</f>
        <v/>
      </c>
      <c r="AE464" t="str">
        <f>IF(OR('Base Encuesta'!AN438="",IFERROR(VALUE(LEFT('Base Encuesta'!K438,1)),"")&gt;=3),"",VALUE(LEFT('Base Encuesta'!AN438,1)))</f>
        <v/>
      </c>
      <c r="AF464" t="str">
        <f>IF(OR('Base Encuesta'!AO438="",IFERROR(VALUE(LEFT('Base Encuesta'!K438,1)),"")&gt;=3),"",VALUE(LEFT('Base Encuesta'!AO438,1)))</f>
        <v/>
      </c>
      <c r="AG464" t="str">
        <f>IF(OR('Base Encuesta'!AQ438="",IFERROR(VALUE(LEFT('Base Encuesta'!K438,1)),"")&gt;=3),"",VALUE(LEFT('Base Encuesta'!AQ438,1)))</f>
        <v/>
      </c>
      <c r="AH464" t="str">
        <f>IF(OR('Base Encuesta'!AR438="",IFERROR(VALUE(LEFT('Base Encuesta'!K438,1)),"")&gt;=3),"",VALUE(LEFT('Base Encuesta'!AR438,1)))</f>
        <v/>
      </c>
    </row>
    <row r="465" spans="1:34">
      <c r="A465" t="str">
        <f>IF('Base Encuesta'!C439="","",'Base Encuesta'!C439)</f>
        <v/>
      </c>
      <c r="B465" t="str">
        <f>IF('Base Encuesta'!D439="","",'Base Encuesta'!D439)</f>
        <v/>
      </c>
      <c r="C465" t="str">
        <f>IF('Base Encuesta'!E439="","",'Base Encuesta'!E439)</f>
        <v/>
      </c>
      <c r="D465" t="str">
        <f>IF('Base Encuesta'!F439="","",'Base Encuesta'!F439)</f>
        <v/>
      </c>
      <c r="E465" t="str">
        <f>IF('Base Encuesta'!G439="","",'Base Encuesta'!G439)</f>
        <v/>
      </c>
      <c r="F465" t="str">
        <f>IF('Base Encuesta'!H439="","",'Base Encuesta'!H439)</f>
        <v/>
      </c>
      <c r="G465" t="str">
        <f>IF('Base Encuesta'!I439="","",'Base Encuesta'!I439)</f>
        <v/>
      </c>
      <c r="H465" t="str">
        <f>IF('Base Encuesta'!J439="","",'Base Encuesta'!J439)</f>
        <v/>
      </c>
      <c r="I465" t="str">
        <f>IF('Base Encuesta'!K439="","",'Base Encuesta'!K439)</f>
        <v/>
      </c>
      <c r="J465" t="str">
        <f>IF(OR('Base Encuesta'!P439="",IFERROR(VALUE(LEFT('Base Encuesta'!K439,1)),"")&gt;=3),"",PROPER(TRIM('Base Encuesta'!P439)))</f>
        <v/>
      </c>
      <c r="K465" t="str">
        <f>IF(OR('Base Encuesta'!Q439="",IFERROR(VALUE(LEFT('Base Encuesta'!K439,1)),"")&gt;=3),"",'Base Encuesta'!Q439)</f>
        <v/>
      </c>
      <c r="L465" t="str">
        <f>IF(OR('Base Encuesta'!R439="",IFERROR(VALUE(LEFT('Base Encuesta'!K439,1)),"")&gt;=3),"",VALUE(LEFT('Base Encuesta'!R439,1)))</f>
        <v/>
      </c>
      <c r="M465" t="str">
        <f>IF(OR('Base Encuesta'!S439="",IFERROR(VALUE(LEFT('Base Encuesta'!K439,1)),"")&gt;=3),"",VALUE(LEFT('Base Encuesta'!S439,1)))</f>
        <v/>
      </c>
      <c r="N465" t="str">
        <f>IF(OR('Base Encuesta'!T439="",IFERROR(VALUE(LEFT('Base Encuesta'!K439,1)),"")&gt;=3),"",VALUE(LEFT('Base Encuesta'!T439,1)))</f>
        <v/>
      </c>
      <c r="O465" t="str">
        <f>IF(OR('Base Encuesta'!V439="",IFERROR(VALUE(LEFT('Base Encuesta'!K439,1)),"")&gt;=3),"",VALUE(LEFT('Base Encuesta'!V439,1)))</f>
        <v/>
      </c>
      <c r="P465" t="str">
        <f>IF(OR('Base Encuesta'!W439="",IFERROR(VALUE(LEFT('Base Encuesta'!K439,1)),"")&gt;=3),"",VALUE(LEFT('Base Encuesta'!W439,1)))</f>
        <v/>
      </c>
      <c r="Q465" t="str">
        <f>IF(OR('Base Encuesta'!X439="",IFERROR(VALUE(LEFT('Base Encuesta'!K439,1)),"")&gt;=3),"",VALUE(LEFT('Base Encuesta'!X439,1)))</f>
        <v/>
      </c>
      <c r="R465" t="str">
        <f>IF(OR('Base Encuesta'!Y439="",IFERROR(VALUE(LEFT('Base Encuesta'!K439,1)),"")&gt;=3),"",VALUE(LEFT('Base Encuesta'!Y439,1)))</f>
        <v/>
      </c>
      <c r="S465" t="str">
        <f>IF(OR('Base Encuesta'!Z439="",IFERROR(VALUE(LEFT('Base Encuesta'!K439,1)),"")&gt;=3),"",VALUE(LEFT('Base Encuesta'!Z439,1)))</f>
        <v/>
      </c>
      <c r="T465" t="str">
        <f>IF(OR('Base Encuesta'!AA439="",IFERROR(VALUE(LEFT('Base Encuesta'!K439,1)),"")&gt;=3),"",VALUE(LEFT('Base Encuesta'!AA439,1)))</f>
        <v/>
      </c>
      <c r="U465" t="str">
        <f>IF(OR('Base Encuesta'!AB439="",IFERROR(VALUE(LEFT('Base Encuesta'!K439,1)),"")&gt;=3),"",VALUE(LEFT('Base Encuesta'!AB439,1)))</f>
        <v/>
      </c>
      <c r="V465" t="str">
        <f>IF(OR('Base Encuesta'!AC439="",IFERROR(VALUE(LEFT('Base Encuesta'!K439,1)),"")&gt;=3),"",VALUE(LEFT('Base Encuesta'!AC439,1)))</f>
        <v/>
      </c>
      <c r="W465" t="str">
        <f>IF(OR('Base Encuesta'!AE439="",IFERROR(VALUE(LEFT('Base Encuesta'!K439,1)),"")&gt;=3),"",VALUE(LEFT('Base Encuesta'!AE439,1)))</f>
        <v/>
      </c>
      <c r="X465" t="str">
        <f>IF(OR('Base Encuesta'!AF439="",IFERROR(VALUE(LEFT('Base Encuesta'!K439,1)),"")&gt;=3),"",IF(W465=1,VALUE(LEFT('Base Encuesta'!AF439,1)),""))</f>
        <v/>
      </c>
      <c r="Y465" t="str">
        <f>IF(OR('Base Encuesta'!AG439="",IFERROR(VALUE(LEFT('Base Encuesta'!K439,1)),"")&gt;=3),"",IF(W465=1,VALUE(LEFT('Base Encuesta'!AG439,1)),""))</f>
        <v/>
      </c>
      <c r="Z465" t="str">
        <f>IF(OR('Base Encuesta'!AH439="",IFERROR(VALUE(LEFT('Base Encuesta'!K439,1)),"")&gt;=3),"",IF(W465=1,VALUE(LEFT('Base Encuesta'!AH439,1)),""))</f>
        <v/>
      </c>
      <c r="AA465" t="str">
        <f>IF(OR('Base Encuesta'!AI439="",IFERROR(VALUE(LEFT('Base Encuesta'!K439,1)),"")&gt;=3),"",IF(W465=1,VALUE(LEFT('Base Encuesta'!AI439,1)),""))</f>
        <v/>
      </c>
      <c r="AB465" t="str">
        <f>IF(OR('Base Encuesta'!AJ439="",IFERROR(VALUE(LEFT('Base Encuesta'!K439,1)),"")&gt;=3),"",IF(W465=1,VALUE(LEFT('Base Encuesta'!AJ439,1)),""))</f>
        <v/>
      </c>
      <c r="AC465" t="str">
        <f>IF(OR('Base Encuesta'!AL439="",IFERROR(VALUE(LEFT('Base Encuesta'!K439,1)),"")&gt;=3),"",VALUE(LEFT('Base Encuesta'!AL439,1)))</f>
        <v/>
      </c>
      <c r="AD465" t="str">
        <f>IF(OR('Base Encuesta'!AM439="",IFERROR(VALUE(LEFT('Base Encuesta'!K439,1)),"")&gt;=3),"",VALUE(LEFT('Base Encuesta'!AM439,1)))</f>
        <v/>
      </c>
      <c r="AE465" t="str">
        <f>IF(OR('Base Encuesta'!AN439="",IFERROR(VALUE(LEFT('Base Encuesta'!K439,1)),"")&gt;=3),"",VALUE(LEFT('Base Encuesta'!AN439,1)))</f>
        <v/>
      </c>
      <c r="AF465" t="str">
        <f>IF(OR('Base Encuesta'!AO439="",IFERROR(VALUE(LEFT('Base Encuesta'!K439,1)),"")&gt;=3),"",VALUE(LEFT('Base Encuesta'!AO439,1)))</f>
        <v/>
      </c>
      <c r="AG465" t="str">
        <f>IF(OR('Base Encuesta'!AQ439="",IFERROR(VALUE(LEFT('Base Encuesta'!K439,1)),"")&gt;=3),"",VALUE(LEFT('Base Encuesta'!AQ439,1)))</f>
        <v/>
      </c>
      <c r="AH465" t="str">
        <f>IF(OR('Base Encuesta'!AR439="",IFERROR(VALUE(LEFT('Base Encuesta'!K439,1)),"")&gt;=3),"",VALUE(LEFT('Base Encuesta'!AR439,1)))</f>
        <v/>
      </c>
    </row>
    <row r="466" spans="1:34">
      <c r="A466" t="str">
        <f>IF('Base Encuesta'!C440="","",'Base Encuesta'!C440)</f>
        <v/>
      </c>
      <c r="B466" t="str">
        <f>IF('Base Encuesta'!D440="","",'Base Encuesta'!D440)</f>
        <v/>
      </c>
      <c r="C466" t="str">
        <f>IF('Base Encuesta'!E440="","",'Base Encuesta'!E440)</f>
        <v/>
      </c>
      <c r="D466" t="str">
        <f>IF('Base Encuesta'!F440="","",'Base Encuesta'!F440)</f>
        <v/>
      </c>
      <c r="E466" t="str">
        <f>IF('Base Encuesta'!G440="","",'Base Encuesta'!G440)</f>
        <v/>
      </c>
      <c r="F466" t="str">
        <f>IF('Base Encuesta'!H440="","",'Base Encuesta'!H440)</f>
        <v/>
      </c>
      <c r="G466" t="str">
        <f>IF('Base Encuesta'!I440="","",'Base Encuesta'!I440)</f>
        <v/>
      </c>
      <c r="H466" t="str">
        <f>IF('Base Encuesta'!J440="","",'Base Encuesta'!J440)</f>
        <v/>
      </c>
      <c r="I466" t="str">
        <f>IF('Base Encuesta'!K440="","",'Base Encuesta'!K440)</f>
        <v/>
      </c>
      <c r="J466" t="str">
        <f>IF(OR('Base Encuesta'!P440="",IFERROR(VALUE(LEFT('Base Encuesta'!K440,1)),"")&gt;=3),"",PROPER(TRIM('Base Encuesta'!P440)))</f>
        <v/>
      </c>
      <c r="K466" t="str">
        <f>IF(OR('Base Encuesta'!Q440="",IFERROR(VALUE(LEFT('Base Encuesta'!K440,1)),"")&gt;=3),"",'Base Encuesta'!Q440)</f>
        <v/>
      </c>
      <c r="L466" t="str">
        <f>IF(OR('Base Encuesta'!R440="",IFERROR(VALUE(LEFT('Base Encuesta'!K440,1)),"")&gt;=3),"",VALUE(LEFT('Base Encuesta'!R440,1)))</f>
        <v/>
      </c>
      <c r="M466" t="str">
        <f>IF(OR('Base Encuesta'!S440="",IFERROR(VALUE(LEFT('Base Encuesta'!K440,1)),"")&gt;=3),"",VALUE(LEFT('Base Encuesta'!S440,1)))</f>
        <v/>
      </c>
      <c r="N466" t="str">
        <f>IF(OR('Base Encuesta'!T440="",IFERROR(VALUE(LEFT('Base Encuesta'!K440,1)),"")&gt;=3),"",VALUE(LEFT('Base Encuesta'!T440,1)))</f>
        <v/>
      </c>
      <c r="O466" t="str">
        <f>IF(OR('Base Encuesta'!V440="",IFERROR(VALUE(LEFT('Base Encuesta'!K440,1)),"")&gt;=3),"",VALUE(LEFT('Base Encuesta'!V440,1)))</f>
        <v/>
      </c>
      <c r="P466" t="str">
        <f>IF(OR('Base Encuesta'!W440="",IFERROR(VALUE(LEFT('Base Encuesta'!K440,1)),"")&gt;=3),"",VALUE(LEFT('Base Encuesta'!W440,1)))</f>
        <v/>
      </c>
      <c r="Q466" t="str">
        <f>IF(OR('Base Encuesta'!X440="",IFERROR(VALUE(LEFT('Base Encuesta'!K440,1)),"")&gt;=3),"",VALUE(LEFT('Base Encuesta'!X440,1)))</f>
        <v/>
      </c>
      <c r="R466" t="str">
        <f>IF(OR('Base Encuesta'!Y440="",IFERROR(VALUE(LEFT('Base Encuesta'!K440,1)),"")&gt;=3),"",VALUE(LEFT('Base Encuesta'!Y440,1)))</f>
        <v/>
      </c>
      <c r="S466" t="str">
        <f>IF(OR('Base Encuesta'!Z440="",IFERROR(VALUE(LEFT('Base Encuesta'!K440,1)),"")&gt;=3),"",VALUE(LEFT('Base Encuesta'!Z440,1)))</f>
        <v/>
      </c>
      <c r="T466" t="str">
        <f>IF(OR('Base Encuesta'!AA440="",IFERROR(VALUE(LEFT('Base Encuesta'!K440,1)),"")&gt;=3),"",VALUE(LEFT('Base Encuesta'!AA440,1)))</f>
        <v/>
      </c>
      <c r="U466" t="str">
        <f>IF(OR('Base Encuesta'!AB440="",IFERROR(VALUE(LEFT('Base Encuesta'!K440,1)),"")&gt;=3),"",VALUE(LEFT('Base Encuesta'!AB440,1)))</f>
        <v/>
      </c>
      <c r="V466" t="str">
        <f>IF(OR('Base Encuesta'!AC440="",IFERROR(VALUE(LEFT('Base Encuesta'!K440,1)),"")&gt;=3),"",VALUE(LEFT('Base Encuesta'!AC440,1)))</f>
        <v/>
      </c>
      <c r="W466" t="str">
        <f>IF(OR('Base Encuesta'!AE440="",IFERROR(VALUE(LEFT('Base Encuesta'!K440,1)),"")&gt;=3),"",VALUE(LEFT('Base Encuesta'!AE440,1)))</f>
        <v/>
      </c>
      <c r="X466" t="str">
        <f>IF(OR('Base Encuesta'!AF440="",IFERROR(VALUE(LEFT('Base Encuesta'!K440,1)),"")&gt;=3),"",IF(W466=1,VALUE(LEFT('Base Encuesta'!AF440,1)),""))</f>
        <v/>
      </c>
      <c r="Y466" t="str">
        <f>IF(OR('Base Encuesta'!AG440="",IFERROR(VALUE(LEFT('Base Encuesta'!K440,1)),"")&gt;=3),"",IF(W466=1,VALUE(LEFT('Base Encuesta'!AG440,1)),""))</f>
        <v/>
      </c>
      <c r="Z466" t="str">
        <f>IF(OR('Base Encuesta'!AH440="",IFERROR(VALUE(LEFT('Base Encuesta'!K440,1)),"")&gt;=3),"",IF(W466=1,VALUE(LEFT('Base Encuesta'!AH440,1)),""))</f>
        <v/>
      </c>
      <c r="AA466" t="str">
        <f>IF(OR('Base Encuesta'!AI440="",IFERROR(VALUE(LEFT('Base Encuesta'!K440,1)),"")&gt;=3),"",IF(W466=1,VALUE(LEFT('Base Encuesta'!AI440,1)),""))</f>
        <v/>
      </c>
      <c r="AB466" t="str">
        <f>IF(OR('Base Encuesta'!AJ440="",IFERROR(VALUE(LEFT('Base Encuesta'!K440,1)),"")&gt;=3),"",IF(W466=1,VALUE(LEFT('Base Encuesta'!AJ440,1)),""))</f>
        <v/>
      </c>
      <c r="AC466" t="str">
        <f>IF(OR('Base Encuesta'!AL440="",IFERROR(VALUE(LEFT('Base Encuesta'!K440,1)),"")&gt;=3),"",VALUE(LEFT('Base Encuesta'!AL440,1)))</f>
        <v/>
      </c>
      <c r="AD466" t="str">
        <f>IF(OR('Base Encuesta'!AM440="",IFERROR(VALUE(LEFT('Base Encuesta'!K440,1)),"")&gt;=3),"",VALUE(LEFT('Base Encuesta'!AM440,1)))</f>
        <v/>
      </c>
      <c r="AE466" t="str">
        <f>IF(OR('Base Encuesta'!AN440="",IFERROR(VALUE(LEFT('Base Encuesta'!K440,1)),"")&gt;=3),"",VALUE(LEFT('Base Encuesta'!AN440,1)))</f>
        <v/>
      </c>
      <c r="AF466" t="str">
        <f>IF(OR('Base Encuesta'!AO440="",IFERROR(VALUE(LEFT('Base Encuesta'!K440,1)),"")&gt;=3),"",VALUE(LEFT('Base Encuesta'!AO440,1)))</f>
        <v/>
      </c>
      <c r="AG466" t="str">
        <f>IF(OR('Base Encuesta'!AQ440="",IFERROR(VALUE(LEFT('Base Encuesta'!K440,1)),"")&gt;=3),"",VALUE(LEFT('Base Encuesta'!AQ440,1)))</f>
        <v/>
      </c>
      <c r="AH466" t="str">
        <f>IF(OR('Base Encuesta'!AR440="",IFERROR(VALUE(LEFT('Base Encuesta'!K440,1)),"")&gt;=3),"",VALUE(LEFT('Base Encuesta'!AR440,1)))</f>
        <v/>
      </c>
    </row>
    <row r="467" spans="1:34">
      <c r="A467" t="str">
        <f>IF('Base Encuesta'!C441="","",'Base Encuesta'!C441)</f>
        <v/>
      </c>
      <c r="B467" t="str">
        <f>IF('Base Encuesta'!D441="","",'Base Encuesta'!D441)</f>
        <v/>
      </c>
      <c r="C467" t="str">
        <f>IF('Base Encuesta'!E441="","",'Base Encuesta'!E441)</f>
        <v/>
      </c>
      <c r="D467" t="str">
        <f>IF('Base Encuesta'!F441="","",'Base Encuesta'!F441)</f>
        <v/>
      </c>
      <c r="E467" t="str">
        <f>IF('Base Encuesta'!G441="","",'Base Encuesta'!G441)</f>
        <v/>
      </c>
      <c r="F467" t="str">
        <f>IF('Base Encuesta'!H441="","",'Base Encuesta'!H441)</f>
        <v/>
      </c>
      <c r="G467" t="str">
        <f>IF('Base Encuesta'!I441="","",'Base Encuesta'!I441)</f>
        <v/>
      </c>
      <c r="H467" t="str">
        <f>IF('Base Encuesta'!J441="","",'Base Encuesta'!J441)</f>
        <v/>
      </c>
      <c r="I467" t="str">
        <f>IF('Base Encuesta'!K441="","",'Base Encuesta'!K441)</f>
        <v/>
      </c>
      <c r="J467" t="str">
        <f>IF(OR('Base Encuesta'!P441="",IFERROR(VALUE(LEFT('Base Encuesta'!K441,1)),"")&gt;=3),"",PROPER(TRIM('Base Encuesta'!P441)))</f>
        <v/>
      </c>
      <c r="K467" t="str">
        <f>IF(OR('Base Encuesta'!Q441="",IFERROR(VALUE(LEFT('Base Encuesta'!K441,1)),"")&gt;=3),"",'Base Encuesta'!Q441)</f>
        <v/>
      </c>
      <c r="L467" t="str">
        <f>IF(OR('Base Encuesta'!R441="",IFERROR(VALUE(LEFT('Base Encuesta'!K441,1)),"")&gt;=3),"",VALUE(LEFT('Base Encuesta'!R441,1)))</f>
        <v/>
      </c>
      <c r="M467" t="str">
        <f>IF(OR('Base Encuesta'!S441="",IFERROR(VALUE(LEFT('Base Encuesta'!K441,1)),"")&gt;=3),"",VALUE(LEFT('Base Encuesta'!S441,1)))</f>
        <v/>
      </c>
      <c r="N467" t="str">
        <f>IF(OR('Base Encuesta'!T441="",IFERROR(VALUE(LEFT('Base Encuesta'!K441,1)),"")&gt;=3),"",VALUE(LEFT('Base Encuesta'!T441,1)))</f>
        <v/>
      </c>
      <c r="O467" t="str">
        <f>IF(OR('Base Encuesta'!V441="",IFERROR(VALUE(LEFT('Base Encuesta'!K441,1)),"")&gt;=3),"",VALUE(LEFT('Base Encuesta'!V441,1)))</f>
        <v/>
      </c>
      <c r="P467" t="str">
        <f>IF(OR('Base Encuesta'!W441="",IFERROR(VALUE(LEFT('Base Encuesta'!K441,1)),"")&gt;=3),"",VALUE(LEFT('Base Encuesta'!W441,1)))</f>
        <v/>
      </c>
      <c r="Q467" t="str">
        <f>IF(OR('Base Encuesta'!X441="",IFERROR(VALUE(LEFT('Base Encuesta'!K441,1)),"")&gt;=3),"",VALUE(LEFT('Base Encuesta'!X441,1)))</f>
        <v/>
      </c>
      <c r="R467" t="str">
        <f>IF(OR('Base Encuesta'!Y441="",IFERROR(VALUE(LEFT('Base Encuesta'!K441,1)),"")&gt;=3),"",VALUE(LEFT('Base Encuesta'!Y441,1)))</f>
        <v/>
      </c>
      <c r="S467" t="str">
        <f>IF(OR('Base Encuesta'!Z441="",IFERROR(VALUE(LEFT('Base Encuesta'!K441,1)),"")&gt;=3),"",VALUE(LEFT('Base Encuesta'!Z441,1)))</f>
        <v/>
      </c>
      <c r="T467" t="str">
        <f>IF(OR('Base Encuesta'!AA441="",IFERROR(VALUE(LEFT('Base Encuesta'!K441,1)),"")&gt;=3),"",VALUE(LEFT('Base Encuesta'!AA441,1)))</f>
        <v/>
      </c>
      <c r="U467" t="str">
        <f>IF(OR('Base Encuesta'!AB441="",IFERROR(VALUE(LEFT('Base Encuesta'!K441,1)),"")&gt;=3),"",VALUE(LEFT('Base Encuesta'!AB441,1)))</f>
        <v/>
      </c>
      <c r="V467" t="str">
        <f>IF(OR('Base Encuesta'!AC441="",IFERROR(VALUE(LEFT('Base Encuesta'!K441,1)),"")&gt;=3),"",VALUE(LEFT('Base Encuesta'!AC441,1)))</f>
        <v/>
      </c>
      <c r="W467" t="str">
        <f>IF(OR('Base Encuesta'!AE441="",IFERROR(VALUE(LEFT('Base Encuesta'!K441,1)),"")&gt;=3),"",VALUE(LEFT('Base Encuesta'!AE441,1)))</f>
        <v/>
      </c>
      <c r="X467" t="str">
        <f>IF(OR('Base Encuesta'!AF441="",IFERROR(VALUE(LEFT('Base Encuesta'!K441,1)),"")&gt;=3),"",IF(W467=1,VALUE(LEFT('Base Encuesta'!AF441,1)),""))</f>
        <v/>
      </c>
      <c r="Y467" t="str">
        <f>IF(OR('Base Encuesta'!AG441="",IFERROR(VALUE(LEFT('Base Encuesta'!K441,1)),"")&gt;=3),"",IF(W467=1,VALUE(LEFT('Base Encuesta'!AG441,1)),""))</f>
        <v/>
      </c>
      <c r="Z467" t="str">
        <f>IF(OR('Base Encuesta'!AH441="",IFERROR(VALUE(LEFT('Base Encuesta'!K441,1)),"")&gt;=3),"",IF(W467=1,VALUE(LEFT('Base Encuesta'!AH441,1)),""))</f>
        <v/>
      </c>
      <c r="AA467" t="str">
        <f>IF(OR('Base Encuesta'!AI441="",IFERROR(VALUE(LEFT('Base Encuesta'!K441,1)),"")&gt;=3),"",IF(W467=1,VALUE(LEFT('Base Encuesta'!AI441,1)),""))</f>
        <v/>
      </c>
      <c r="AB467" t="str">
        <f>IF(OR('Base Encuesta'!AJ441="",IFERROR(VALUE(LEFT('Base Encuesta'!K441,1)),"")&gt;=3),"",IF(W467=1,VALUE(LEFT('Base Encuesta'!AJ441,1)),""))</f>
        <v/>
      </c>
      <c r="AC467" t="str">
        <f>IF(OR('Base Encuesta'!AL441="",IFERROR(VALUE(LEFT('Base Encuesta'!K441,1)),"")&gt;=3),"",VALUE(LEFT('Base Encuesta'!AL441,1)))</f>
        <v/>
      </c>
      <c r="AD467" t="str">
        <f>IF(OR('Base Encuesta'!AM441="",IFERROR(VALUE(LEFT('Base Encuesta'!K441,1)),"")&gt;=3),"",VALUE(LEFT('Base Encuesta'!AM441,1)))</f>
        <v/>
      </c>
      <c r="AE467" t="str">
        <f>IF(OR('Base Encuesta'!AN441="",IFERROR(VALUE(LEFT('Base Encuesta'!K441,1)),"")&gt;=3),"",VALUE(LEFT('Base Encuesta'!AN441,1)))</f>
        <v/>
      </c>
      <c r="AF467" t="str">
        <f>IF(OR('Base Encuesta'!AO441="",IFERROR(VALUE(LEFT('Base Encuesta'!K441,1)),"")&gt;=3),"",VALUE(LEFT('Base Encuesta'!AO441,1)))</f>
        <v/>
      </c>
      <c r="AG467" t="str">
        <f>IF(OR('Base Encuesta'!AQ441="",IFERROR(VALUE(LEFT('Base Encuesta'!K441,1)),"")&gt;=3),"",VALUE(LEFT('Base Encuesta'!AQ441,1)))</f>
        <v/>
      </c>
      <c r="AH467" t="str">
        <f>IF(OR('Base Encuesta'!AR441="",IFERROR(VALUE(LEFT('Base Encuesta'!K441,1)),"")&gt;=3),"",VALUE(LEFT('Base Encuesta'!AR441,1)))</f>
        <v/>
      </c>
    </row>
    <row r="468" spans="1:34">
      <c r="A468" t="str">
        <f>IF('Base Encuesta'!C442="","",'Base Encuesta'!C442)</f>
        <v/>
      </c>
      <c r="B468" t="str">
        <f>IF('Base Encuesta'!D442="","",'Base Encuesta'!D442)</f>
        <v/>
      </c>
      <c r="C468" t="str">
        <f>IF('Base Encuesta'!E442="","",'Base Encuesta'!E442)</f>
        <v/>
      </c>
      <c r="D468" t="str">
        <f>IF('Base Encuesta'!F442="","",'Base Encuesta'!F442)</f>
        <v/>
      </c>
      <c r="E468" t="str">
        <f>IF('Base Encuesta'!G442="","",'Base Encuesta'!G442)</f>
        <v/>
      </c>
      <c r="F468" t="str">
        <f>IF('Base Encuesta'!H442="","",'Base Encuesta'!H442)</f>
        <v/>
      </c>
      <c r="G468" t="str">
        <f>IF('Base Encuesta'!I442="","",'Base Encuesta'!I442)</f>
        <v/>
      </c>
      <c r="H468" t="str">
        <f>IF('Base Encuesta'!J442="","",'Base Encuesta'!J442)</f>
        <v/>
      </c>
      <c r="I468" t="str">
        <f>IF('Base Encuesta'!K442="","",'Base Encuesta'!K442)</f>
        <v/>
      </c>
      <c r="J468" t="str">
        <f>IF(OR('Base Encuesta'!P442="",IFERROR(VALUE(LEFT('Base Encuesta'!K442,1)),"")&gt;=3),"",PROPER(TRIM('Base Encuesta'!P442)))</f>
        <v/>
      </c>
      <c r="K468" t="str">
        <f>IF(OR('Base Encuesta'!Q442="",IFERROR(VALUE(LEFT('Base Encuesta'!K442,1)),"")&gt;=3),"",'Base Encuesta'!Q442)</f>
        <v/>
      </c>
      <c r="L468" t="str">
        <f>IF(OR('Base Encuesta'!R442="",IFERROR(VALUE(LEFT('Base Encuesta'!K442,1)),"")&gt;=3),"",VALUE(LEFT('Base Encuesta'!R442,1)))</f>
        <v/>
      </c>
      <c r="M468" t="str">
        <f>IF(OR('Base Encuesta'!S442="",IFERROR(VALUE(LEFT('Base Encuesta'!K442,1)),"")&gt;=3),"",VALUE(LEFT('Base Encuesta'!S442,1)))</f>
        <v/>
      </c>
      <c r="N468" t="str">
        <f>IF(OR('Base Encuesta'!T442="",IFERROR(VALUE(LEFT('Base Encuesta'!K442,1)),"")&gt;=3),"",VALUE(LEFT('Base Encuesta'!T442,1)))</f>
        <v/>
      </c>
      <c r="O468" t="str">
        <f>IF(OR('Base Encuesta'!V442="",IFERROR(VALUE(LEFT('Base Encuesta'!K442,1)),"")&gt;=3),"",VALUE(LEFT('Base Encuesta'!V442,1)))</f>
        <v/>
      </c>
      <c r="P468" t="str">
        <f>IF(OR('Base Encuesta'!W442="",IFERROR(VALUE(LEFT('Base Encuesta'!K442,1)),"")&gt;=3),"",VALUE(LEFT('Base Encuesta'!W442,1)))</f>
        <v/>
      </c>
      <c r="Q468" t="str">
        <f>IF(OR('Base Encuesta'!X442="",IFERROR(VALUE(LEFT('Base Encuesta'!K442,1)),"")&gt;=3),"",VALUE(LEFT('Base Encuesta'!X442,1)))</f>
        <v/>
      </c>
      <c r="R468" t="str">
        <f>IF(OR('Base Encuesta'!Y442="",IFERROR(VALUE(LEFT('Base Encuesta'!K442,1)),"")&gt;=3),"",VALUE(LEFT('Base Encuesta'!Y442,1)))</f>
        <v/>
      </c>
      <c r="S468" t="str">
        <f>IF(OR('Base Encuesta'!Z442="",IFERROR(VALUE(LEFT('Base Encuesta'!K442,1)),"")&gt;=3),"",VALUE(LEFT('Base Encuesta'!Z442,1)))</f>
        <v/>
      </c>
      <c r="T468" t="str">
        <f>IF(OR('Base Encuesta'!AA442="",IFERROR(VALUE(LEFT('Base Encuesta'!K442,1)),"")&gt;=3),"",VALUE(LEFT('Base Encuesta'!AA442,1)))</f>
        <v/>
      </c>
      <c r="U468" t="str">
        <f>IF(OR('Base Encuesta'!AB442="",IFERROR(VALUE(LEFT('Base Encuesta'!K442,1)),"")&gt;=3),"",VALUE(LEFT('Base Encuesta'!AB442,1)))</f>
        <v/>
      </c>
      <c r="V468" t="str">
        <f>IF(OR('Base Encuesta'!AC442="",IFERROR(VALUE(LEFT('Base Encuesta'!K442,1)),"")&gt;=3),"",VALUE(LEFT('Base Encuesta'!AC442,1)))</f>
        <v/>
      </c>
      <c r="W468" t="str">
        <f>IF(OR('Base Encuesta'!AE442="",IFERROR(VALUE(LEFT('Base Encuesta'!K442,1)),"")&gt;=3),"",VALUE(LEFT('Base Encuesta'!AE442,1)))</f>
        <v/>
      </c>
      <c r="X468" t="str">
        <f>IF(OR('Base Encuesta'!AF442="",IFERROR(VALUE(LEFT('Base Encuesta'!K442,1)),"")&gt;=3),"",IF(W468=1,VALUE(LEFT('Base Encuesta'!AF442,1)),""))</f>
        <v/>
      </c>
      <c r="Y468" t="str">
        <f>IF(OR('Base Encuesta'!AG442="",IFERROR(VALUE(LEFT('Base Encuesta'!K442,1)),"")&gt;=3),"",IF(W468=1,VALUE(LEFT('Base Encuesta'!AG442,1)),""))</f>
        <v/>
      </c>
      <c r="Z468" t="str">
        <f>IF(OR('Base Encuesta'!AH442="",IFERROR(VALUE(LEFT('Base Encuesta'!K442,1)),"")&gt;=3),"",IF(W468=1,VALUE(LEFT('Base Encuesta'!AH442,1)),""))</f>
        <v/>
      </c>
      <c r="AA468" t="str">
        <f>IF(OR('Base Encuesta'!AI442="",IFERROR(VALUE(LEFT('Base Encuesta'!K442,1)),"")&gt;=3),"",IF(W468=1,VALUE(LEFT('Base Encuesta'!AI442,1)),""))</f>
        <v/>
      </c>
      <c r="AB468" t="str">
        <f>IF(OR('Base Encuesta'!AJ442="",IFERROR(VALUE(LEFT('Base Encuesta'!K442,1)),"")&gt;=3),"",IF(W468=1,VALUE(LEFT('Base Encuesta'!AJ442,1)),""))</f>
        <v/>
      </c>
      <c r="AC468" t="str">
        <f>IF(OR('Base Encuesta'!AL442="",IFERROR(VALUE(LEFT('Base Encuesta'!K442,1)),"")&gt;=3),"",VALUE(LEFT('Base Encuesta'!AL442,1)))</f>
        <v/>
      </c>
      <c r="AD468" t="str">
        <f>IF(OR('Base Encuesta'!AM442="",IFERROR(VALUE(LEFT('Base Encuesta'!K442,1)),"")&gt;=3),"",VALUE(LEFT('Base Encuesta'!AM442,1)))</f>
        <v/>
      </c>
      <c r="AE468" t="str">
        <f>IF(OR('Base Encuesta'!AN442="",IFERROR(VALUE(LEFT('Base Encuesta'!K442,1)),"")&gt;=3),"",VALUE(LEFT('Base Encuesta'!AN442,1)))</f>
        <v/>
      </c>
      <c r="AF468" t="str">
        <f>IF(OR('Base Encuesta'!AO442="",IFERROR(VALUE(LEFT('Base Encuesta'!K442,1)),"")&gt;=3),"",VALUE(LEFT('Base Encuesta'!AO442,1)))</f>
        <v/>
      </c>
      <c r="AG468" t="str">
        <f>IF(OR('Base Encuesta'!AQ442="",IFERROR(VALUE(LEFT('Base Encuesta'!K442,1)),"")&gt;=3),"",VALUE(LEFT('Base Encuesta'!AQ442,1)))</f>
        <v/>
      </c>
      <c r="AH468" t="str">
        <f>IF(OR('Base Encuesta'!AR442="",IFERROR(VALUE(LEFT('Base Encuesta'!K442,1)),"")&gt;=3),"",VALUE(LEFT('Base Encuesta'!AR442,1)))</f>
        <v/>
      </c>
    </row>
    <row r="469" spans="1:34">
      <c r="A469" t="str">
        <f>IF('Base Encuesta'!C443="","",'Base Encuesta'!C443)</f>
        <v/>
      </c>
      <c r="B469" t="str">
        <f>IF('Base Encuesta'!D443="","",'Base Encuesta'!D443)</f>
        <v/>
      </c>
      <c r="C469" t="str">
        <f>IF('Base Encuesta'!E443="","",'Base Encuesta'!E443)</f>
        <v/>
      </c>
      <c r="D469" t="str">
        <f>IF('Base Encuesta'!F443="","",'Base Encuesta'!F443)</f>
        <v/>
      </c>
      <c r="E469" t="str">
        <f>IF('Base Encuesta'!G443="","",'Base Encuesta'!G443)</f>
        <v/>
      </c>
      <c r="F469" t="str">
        <f>IF('Base Encuesta'!H443="","",'Base Encuesta'!H443)</f>
        <v/>
      </c>
      <c r="G469" t="str">
        <f>IF('Base Encuesta'!I443="","",'Base Encuesta'!I443)</f>
        <v/>
      </c>
      <c r="H469" t="str">
        <f>IF('Base Encuesta'!J443="","",'Base Encuesta'!J443)</f>
        <v/>
      </c>
      <c r="I469" t="str">
        <f>IF('Base Encuesta'!K443="","",'Base Encuesta'!K443)</f>
        <v/>
      </c>
      <c r="J469" t="str">
        <f>IF(OR('Base Encuesta'!P443="",IFERROR(VALUE(LEFT('Base Encuesta'!K443,1)),"")&gt;=3),"",PROPER(TRIM('Base Encuesta'!P443)))</f>
        <v/>
      </c>
      <c r="K469" t="str">
        <f>IF(OR('Base Encuesta'!Q443="",IFERROR(VALUE(LEFT('Base Encuesta'!K443,1)),"")&gt;=3),"",'Base Encuesta'!Q443)</f>
        <v/>
      </c>
      <c r="L469" t="str">
        <f>IF(OR('Base Encuesta'!R443="",IFERROR(VALUE(LEFT('Base Encuesta'!K443,1)),"")&gt;=3),"",VALUE(LEFT('Base Encuesta'!R443,1)))</f>
        <v/>
      </c>
      <c r="M469" t="str">
        <f>IF(OR('Base Encuesta'!S443="",IFERROR(VALUE(LEFT('Base Encuesta'!K443,1)),"")&gt;=3),"",VALUE(LEFT('Base Encuesta'!S443,1)))</f>
        <v/>
      </c>
      <c r="N469" t="str">
        <f>IF(OR('Base Encuesta'!T443="",IFERROR(VALUE(LEFT('Base Encuesta'!K443,1)),"")&gt;=3),"",VALUE(LEFT('Base Encuesta'!T443,1)))</f>
        <v/>
      </c>
      <c r="O469" t="str">
        <f>IF(OR('Base Encuesta'!V443="",IFERROR(VALUE(LEFT('Base Encuesta'!K443,1)),"")&gt;=3),"",VALUE(LEFT('Base Encuesta'!V443,1)))</f>
        <v/>
      </c>
      <c r="P469" t="str">
        <f>IF(OR('Base Encuesta'!W443="",IFERROR(VALUE(LEFT('Base Encuesta'!K443,1)),"")&gt;=3),"",VALUE(LEFT('Base Encuesta'!W443,1)))</f>
        <v/>
      </c>
      <c r="Q469" t="str">
        <f>IF(OR('Base Encuesta'!X443="",IFERROR(VALUE(LEFT('Base Encuesta'!K443,1)),"")&gt;=3),"",VALUE(LEFT('Base Encuesta'!X443,1)))</f>
        <v/>
      </c>
      <c r="R469" t="str">
        <f>IF(OR('Base Encuesta'!Y443="",IFERROR(VALUE(LEFT('Base Encuesta'!K443,1)),"")&gt;=3),"",VALUE(LEFT('Base Encuesta'!Y443,1)))</f>
        <v/>
      </c>
      <c r="S469" t="str">
        <f>IF(OR('Base Encuesta'!Z443="",IFERROR(VALUE(LEFT('Base Encuesta'!K443,1)),"")&gt;=3),"",VALUE(LEFT('Base Encuesta'!Z443,1)))</f>
        <v/>
      </c>
      <c r="T469" t="str">
        <f>IF(OR('Base Encuesta'!AA443="",IFERROR(VALUE(LEFT('Base Encuesta'!K443,1)),"")&gt;=3),"",VALUE(LEFT('Base Encuesta'!AA443,1)))</f>
        <v/>
      </c>
      <c r="U469" t="str">
        <f>IF(OR('Base Encuesta'!AB443="",IFERROR(VALUE(LEFT('Base Encuesta'!K443,1)),"")&gt;=3),"",VALUE(LEFT('Base Encuesta'!AB443,1)))</f>
        <v/>
      </c>
      <c r="V469" t="str">
        <f>IF(OR('Base Encuesta'!AC443="",IFERROR(VALUE(LEFT('Base Encuesta'!K443,1)),"")&gt;=3),"",VALUE(LEFT('Base Encuesta'!AC443,1)))</f>
        <v/>
      </c>
      <c r="W469" t="str">
        <f>IF(OR('Base Encuesta'!AE443="",IFERROR(VALUE(LEFT('Base Encuesta'!K443,1)),"")&gt;=3),"",VALUE(LEFT('Base Encuesta'!AE443,1)))</f>
        <v/>
      </c>
      <c r="X469" t="str">
        <f>IF(OR('Base Encuesta'!AF443="",IFERROR(VALUE(LEFT('Base Encuesta'!K443,1)),"")&gt;=3),"",IF(W469=1,VALUE(LEFT('Base Encuesta'!AF443,1)),""))</f>
        <v/>
      </c>
      <c r="Y469" t="str">
        <f>IF(OR('Base Encuesta'!AG443="",IFERROR(VALUE(LEFT('Base Encuesta'!K443,1)),"")&gt;=3),"",IF(W469=1,VALUE(LEFT('Base Encuesta'!AG443,1)),""))</f>
        <v/>
      </c>
      <c r="Z469" t="str">
        <f>IF(OR('Base Encuesta'!AH443="",IFERROR(VALUE(LEFT('Base Encuesta'!K443,1)),"")&gt;=3),"",IF(W469=1,VALUE(LEFT('Base Encuesta'!AH443,1)),""))</f>
        <v/>
      </c>
      <c r="AA469" t="str">
        <f>IF(OR('Base Encuesta'!AI443="",IFERROR(VALUE(LEFT('Base Encuesta'!K443,1)),"")&gt;=3),"",IF(W469=1,VALUE(LEFT('Base Encuesta'!AI443,1)),""))</f>
        <v/>
      </c>
      <c r="AB469" t="str">
        <f>IF(OR('Base Encuesta'!AJ443="",IFERROR(VALUE(LEFT('Base Encuesta'!K443,1)),"")&gt;=3),"",IF(W469=1,VALUE(LEFT('Base Encuesta'!AJ443,1)),""))</f>
        <v/>
      </c>
      <c r="AC469" t="str">
        <f>IF(OR('Base Encuesta'!AL443="",IFERROR(VALUE(LEFT('Base Encuesta'!K443,1)),"")&gt;=3),"",VALUE(LEFT('Base Encuesta'!AL443,1)))</f>
        <v/>
      </c>
      <c r="AD469" t="str">
        <f>IF(OR('Base Encuesta'!AM443="",IFERROR(VALUE(LEFT('Base Encuesta'!K443,1)),"")&gt;=3),"",VALUE(LEFT('Base Encuesta'!AM443,1)))</f>
        <v/>
      </c>
      <c r="AE469" t="str">
        <f>IF(OR('Base Encuesta'!AN443="",IFERROR(VALUE(LEFT('Base Encuesta'!K443,1)),"")&gt;=3),"",VALUE(LEFT('Base Encuesta'!AN443,1)))</f>
        <v/>
      </c>
      <c r="AF469" t="str">
        <f>IF(OR('Base Encuesta'!AO443="",IFERROR(VALUE(LEFT('Base Encuesta'!K443,1)),"")&gt;=3),"",VALUE(LEFT('Base Encuesta'!AO443,1)))</f>
        <v/>
      </c>
      <c r="AG469" t="str">
        <f>IF(OR('Base Encuesta'!AQ443="",IFERROR(VALUE(LEFT('Base Encuesta'!K443,1)),"")&gt;=3),"",VALUE(LEFT('Base Encuesta'!AQ443,1)))</f>
        <v/>
      </c>
      <c r="AH469" t="str">
        <f>IF(OR('Base Encuesta'!AR443="",IFERROR(VALUE(LEFT('Base Encuesta'!K443,1)),"")&gt;=3),"",VALUE(LEFT('Base Encuesta'!AR443,1)))</f>
        <v/>
      </c>
    </row>
    <row r="470" spans="1:34">
      <c r="A470" t="str">
        <f>IF('Base Encuesta'!C444="","",'Base Encuesta'!C444)</f>
        <v/>
      </c>
      <c r="B470" t="str">
        <f>IF('Base Encuesta'!D444="","",'Base Encuesta'!D444)</f>
        <v/>
      </c>
      <c r="C470" t="str">
        <f>IF('Base Encuesta'!E444="","",'Base Encuesta'!E444)</f>
        <v/>
      </c>
      <c r="D470" t="str">
        <f>IF('Base Encuesta'!F444="","",'Base Encuesta'!F444)</f>
        <v/>
      </c>
      <c r="E470" t="str">
        <f>IF('Base Encuesta'!G444="","",'Base Encuesta'!G444)</f>
        <v/>
      </c>
      <c r="F470" t="str">
        <f>IF('Base Encuesta'!H444="","",'Base Encuesta'!H444)</f>
        <v/>
      </c>
      <c r="G470" t="str">
        <f>IF('Base Encuesta'!I444="","",'Base Encuesta'!I444)</f>
        <v/>
      </c>
      <c r="H470" t="str">
        <f>IF('Base Encuesta'!J444="","",'Base Encuesta'!J444)</f>
        <v/>
      </c>
      <c r="I470" t="str">
        <f>IF('Base Encuesta'!K444="","",'Base Encuesta'!K444)</f>
        <v/>
      </c>
      <c r="J470" t="str">
        <f>IF(OR('Base Encuesta'!P444="",IFERROR(VALUE(LEFT('Base Encuesta'!K444,1)),"")&gt;=3),"",PROPER(TRIM('Base Encuesta'!P444)))</f>
        <v/>
      </c>
      <c r="K470" t="str">
        <f>IF(OR('Base Encuesta'!Q444="",IFERROR(VALUE(LEFT('Base Encuesta'!K444,1)),"")&gt;=3),"",'Base Encuesta'!Q444)</f>
        <v/>
      </c>
      <c r="L470" t="str">
        <f>IF(OR('Base Encuesta'!R444="",IFERROR(VALUE(LEFT('Base Encuesta'!K444,1)),"")&gt;=3),"",VALUE(LEFT('Base Encuesta'!R444,1)))</f>
        <v/>
      </c>
      <c r="M470" t="str">
        <f>IF(OR('Base Encuesta'!S444="",IFERROR(VALUE(LEFT('Base Encuesta'!K444,1)),"")&gt;=3),"",VALUE(LEFT('Base Encuesta'!S444,1)))</f>
        <v/>
      </c>
      <c r="N470" t="str">
        <f>IF(OR('Base Encuesta'!T444="",IFERROR(VALUE(LEFT('Base Encuesta'!K444,1)),"")&gt;=3),"",VALUE(LEFT('Base Encuesta'!T444,1)))</f>
        <v/>
      </c>
      <c r="O470" t="str">
        <f>IF(OR('Base Encuesta'!V444="",IFERROR(VALUE(LEFT('Base Encuesta'!K444,1)),"")&gt;=3),"",VALUE(LEFT('Base Encuesta'!V444,1)))</f>
        <v/>
      </c>
      <c r="P470" t="str">
        <f>IF(OR('Base Encuesta'!W444="",IFERROR(VALUE(LEFT('Base Encuesta'!K444,1)),"")&gt;=3),"",VALUE(LEFT('Base Encuesta'!W444,1)))</f>
        <v/>
      </c>
      <c r="Q470" t="str">
        <f>IF(OR('Base Encuesta'!X444="",IFERROR(VALUE(LEFT('Base Encuesta'!K444,1)),"")&gt;=3),"",VALUE(LEFT('Base Encuesta'!X444,1)))</f>
        <v/>
      </c>
      <c r="R470" t="str">
        <f>IF(OR('Base Encuesta'!Y444="",IFERROR(VALUE(LEFT('Base Encuesta'!K444,1)),"")&gt;=3),"",VALUE(LEFT('Base Encuesta'!Y444,1)))</f>
        <v/>
      </c>
      <c r="S470" t="str">
        <f>IF(OR('Base Encuesta'!Z444="",IFERROR(VALUE(LEFT('Base Encuesta'!K444,1)),"")&gt;=3),"",VALUE(LEFT('Base Encuesta'!Z444,1)))</f>
        <v/>
      </c>
      <c r="T470" t="str">
        <f>IF(OR('Base Encuesta'!AA444="",IFERROR(VALUE(LEFT('Base Encuesta'!K444,1)),"")&gt;=3),"",VALUE(LEFT('Base Encuesta'!AA444,1)))</f>
        <v/>
      </c>
      <c r="U470" t="str">
        <f>IF(OR('Base Encuesta'!AB444="",IFERROR(VALUE(LEFT('Base Encuesta'!K444,1)),"")&gt;=3),"",VALUE(LEFT('Base Encuesta'!AB444,1)))</f>
        <v/>
      </c>
      <c r="V470" t="str">
        <f>IF(OR('Base Encuesta'!AC444="",IFERROR(VALUE(LEFT('Base Encuesta'!K444,1)),"")&gt;=3),"",VALUE(LEFT('Base Encuesta'!AC444,1)))</f>
        <v/>
      </c>
      <c r="W470" t="str">
        <f>IF(OR('Base Encuesta'!AE444="",IFERROR(VALUE(LEFT('Base Encuesta'!K444,1)),"")&gt;=3),"",VALUE(LEFT('Base Encuesta'!AE444,1)))</f>
        <v/>
      </c>
      <c r="X470" t="str">
        <f>IF(OR('Base Encuesta'!AF444="",IFERROR(VALUE(LEFT('Base Encuesta'!K444,1)),"")&gt;=3),"",IF(W470=1,VALUE(LEFT('Base Encuesta'!AF444,1)),""))</f>
        <v/>
      </c>
      <c r="Y470" t="str">
        <f>IF(OR('Base Encuesta'!AG444="",IFERROR(VALUE(LEFT('Base Encuesta'!K444,1)),"")&gt;=3),"",IF(W470=1,VALUE(LEFT('Base Encuesta'!AG444,1)),""))</f>
        <v/>
      </c>
      <c r="Z470" t="str">
        <f>IF(OR('Base Encuesta'!AH444="",IFERROR(VALUE(LEFT('Base Encuesta'!K444,1)),"")&gt;=3),"",IF(W470=1,VALUE(LEFT('Base Encuesta'!AH444,1)),""))</f>
        <v/>
      </c>
      <c r="AA470" t="str">
        <f>IF(OR('Base Encuesta'!AI444="",IFERROR(VALUE(LEFT('Base Encuesta'!K444,1)),"")&gt;=3),"",IF(W470=1,VALUE(LEFT('Base Encuesta'!AI444,1)),""))</f>
        <v/>
      </c>
      <c r="AB470" t="str">
        <f>IF(OR('Base Encuesta'!AJ444="",IFERROR(VALUE(LEFT('Base Encuesta'!K444,1)),"")&gt;=3),"",IF(W470=1,VALUE(LEFT('Base Encuesta'!AJ444,1)),""))</f>
        <v/>
      </c>
      <c r="AC470" t="str">
        <f>IF(OR('Base Encuesta'!AL444="",IFERROR(VALUE(LEFT('Base Encuesta'!K444,1)),"")&gt;=3),"",VALUE(LEFT('Base Encuesta'!AL444,1)))</f>
        <v/>
      </c>
      <c r="AD470" t="str">
        <f>IF(OR('Base Encuesta'!AM444="",IFERROR(VALUE(LEFT('Base Encuesta'!K444,1)),"")&gt;=3),"",VALUE(LEFT('Base Encuesta'!AM444,1)))</f>
        <v/>
      </c>
      <c r="AE470" t="str">
        <f>IF(OR('Base Encuesta'!AN444="",IFERROR(VALUE(LEFT('Base Encuesta'!K444,1)),"")&gt;=3),"",VALUE(LEFT('Base Encuesta'!AN444,1)))</f>
        <v/>
      </c>
      <c r="AF470" t="str">
        <f>IF(OR('Base Encuesta'!AO444="",IFERROR(VALUE(LEFT('Base Encuesta'!K444,1)),"")&gt;=3),"",VALUE(LEFT('Base Encuesta'!AO444,1)))</f>
        <v/>
      </c>
      <c r="AG470" t="str">
        <f>IF(OR('Base Encuesta'!AQ444="",IFERROR(VALUE(LEFT('Base Encuesta'!K444,1)),"")&gt;=3),"",VALUE(LEFT('Base Encuesta'!AQ444,1)))</f>
        <v/>
      </c>
      <c r="AH470" t="str">
        <f>IF(OR('Base Encuesta'!AR444="",IFERROR(VALUE(LEFT('Base Encuesta'!K444,1)),"")&gt;=3),"",VALUE(LEFT('Base Encuesta'!AR444,1)))</f>
        <v/>
      </c>
    </row>
    <row r="471" spans="1:34">
      <c r="A471" t="str">
        <f>IF('Base Encuesta'!C445="","",'Base Encuesta'!C445)</f>
        <v/>
      </c>
      <c r="B471" t="str">
        <f>IF('Base Encuesta'!D445="","",'Base Encuesta'!D445)</f>
        <v/>
      </c>
      <c r="C471" t="str">
        <f>IF('Base Encuesta'!E445="","",'Base Encuesta'!E445)</f>
        <v/>
      </c>
      <c r="D471" t="str">
        <f>IF('Base Encuesta'!F445="","",'Base Encuesta'!F445)</f>
        <v/>
      </c>
      <c r="E471" t="str">
        <f>IF('Base Encuesta'!G445="","",'Base Encuesta'!G445)</f>
        <v/>
      </c>
      <c r="F471" t="str">
        <f>IF('Base Encuesta'!H445="","",'Base Encuesta'!H445)</f>
        <v/>
      </c>
      <c r="G471" t="str">
        <f>IF('Base Encuesta'!I445="","",'Base Encuesta'!I445)</f>
        <v/>
      </c>
      <c r="H471" t="str">
        <f>IF('Base Encuesta'!J445="","",'Base Encuesta'!J445)</f>
        <v/>
      </c>
      <c r="I471" t="str">
        <f>IF('Base Encuesta'!K445="","",'Base Encuesta'!K445)</f>
        <v/>
      </c>
      <c r="J471" t="str">
        <f>IF(OR('Base Encuesta'!P445="",IFERROR(VALUE(LEFT('Base Encuesta'!K445,1)),"")&gt;=3),"",PROPER(TRIM('Base Encuesta'!P445)))</f>
        <v/>
      </c>
      <c r="K471" t="str">
        <f>IF(OR('Base Encuesta'!Q445="",IFERROR(VALUE(LEFT('Base Encuesta'!K445,1)),"")&gt;=3),"",'Base Encuesta'!Q445)</f>
        <v/>
      </c>
      <c r="L471" t="str">
        <f>IF(OR('Base Encuesta'!R445="",IFERROR(VALUE(LEFT('Base Encuesta'!K445,1)),"")&gt;=3),"",VALUE(LEFT('Base Encuesta'!R445,1)))</f>
        <v/>
      </c>
      <c r="M471" t="str">
        <f>IF(OR('Base Encuesta'!S445="",IFERROR(VALUE(LEFT('Base Encuesta'!K445,1)),"")&gt;=3),"",VALUE(LEFT('Base Encuesta'!S445,1)))</f>
        <v/>
      </c>
      <c r="N471" t="str">
        <f>IF(OR('Base Encuesta'!T445="",IFERROR(VALUE(LEFT('Base Encuesta'!K445,1)),"")&gt;=3),"",VALUE(LEFT('Base Encuesta'!T445,1)))</f>
        <v/>
      </c>
      <c r="O471" t="str">
        <f>IF(OR('Base Encuesta'!V445="",IFERROR(VALUE(LEFT('Base Encuesta'!K445,1)),"")&gt;=3),"",VALUE(LEFT('Base Encuesta'!V445,1)))</f>
        <v/>
      </c>
      <c r="P471" t="str">
        <f>IF(OR('Base Encuesta'!W445="",IFERROR(VALUE(LEFT('Base Encuesta'!K445,1)),"")&gt;=3),"",VALUE(LEFT('Base Encuesta'!W445,1)))</f>
        <v/>
      </c>
      <c r="Q471" t="str">
        <f>IF(OR('Base Encuesta'!X445="",IFERROR(VALUE(LEFT('Base Encuesta'!K445,1)),"")&gt;=3),"",VALUE(LEFT('Base Encuesta'!X445,1)))</f>
        <v/>
      </c>
      <c r="R471" t="str">
        <f>IF(OR('Base Encuesta'!Y445="",IFERROR(VALUE(LEFT('Base Encuesta'!K445,1)),"")&gt;=3),"",VALUE(LEFT('Base Encuesta'!Y445,1)))</f>
        <v/>
      </c>
      <c r="S471" t="str">
        <f>IF(OR('Base Encuesta'!Z445="",IFERROR(VALUE(LEFT('Base Encuesta'!K445,1)),"")&gt;=3),"",VALUE(LEFT('Base Encuesta'!Z445,1)))</f>
        <v/>
      </c>
      <c r="T471" t="str">
        <f>IF(OR('Base Encuesta'!AA445="",IFERROR(VALUE(LEFT('Base Encuesta'!K445,1)),"")&gt;=3),"",VALUE(LEFT('Base Encuesta'!AA445,1)))</f>
        <v/>
      </c>
      <c r="U471" t="str">
        <f>IF(OR('Base Encuesta'!AB445="",IFERROR(VALUE(LEFT('Base Encuesta'!K445,1)),"")&gt;=3),"",VALUE(LEFT('Base Encuesta'!AB445,1)))</f>
        <v/>
      </c>
      <c r="V471" t="str">
        <f>IF(OR('Base Encuesta'!AC445="",IFERROR(VALUE(LEFT('Base Encuesta'!K445,1)),"")&gt;=3),"",VALUE(LEFT('Base Encuesta'!AC445,1)))</f>
        <v/>
      </c>
      <c r="W471" t="str">
        <f>IF(OR('Base Encuesta'!AE445="",IFERROR(VALUE(LEFT('Base Encuesta'!K445,1)),"")&gt;=3),"",VALUE(LEFT('Base Encuesta'!AE445,1)))</f>
        <v/>
      </c>
      <c r="X471" t="str">
        <f>IF(OR('Base Encuesta'!AF445="",IFERROR(VALUE(LEFT('Base Encuesta'!K445,1)),"")&gt;=3),"",IF(W471=1,VALUE(LEFT('Base Encuesta'!AF445,1)),""))</f>
        <v/>
      </c>
      <c r="Y471" t="str">
        <f>IF(OR('Base Encuesta'!AG445="",IFERROR(VALUE(LEFT('Base Encuesta'!K445,1)),"")&gt;=3),"",IF(W471=1,VALUE(LEFT('Base Encuesta'!AG445,1)),""))</f>
        <v/>
      </c>
      <c r="Z471" t="str">
        <f>IF(OR('Base Encuesta'!AH445="",IFERROR(VALUE(LEFT('Base Encuesta'!K445,1)),"")&gt;=3),"",IF(W471=1,VALUE(LEFT('Base Encuesta'!AH445,1)),""))</f>
        <v/>
      </c>
      <c r="AA471" t="str">
        <f>IF(OR('Base Encuesta'!AI445="",IFERROR(VALUE(LEFT('Base Encuesta'!K445,1)),"")&gt;=3),"",IF(W471=1,VALUE(LEFT('Base Encuesta'!AI445,1)),""))</f>
        <v/>
      </c>
      <c r="AB471" t="str">
        <f>IF(OR('Base Encuesta'!AJ445="",IFERROR(VALUE(LEFT('Base Encuesta'!K445,1)),"")&gt;=3),"",IF(W471=1,VALUE(LEFT('Base Encuesta'!AJ445,1)),""))</f>
        <v/>
      </c>
      <c r="AC471" t="str">
        <f>IF(OR('Base Encuesta'!AL445="",IFERROR(VALUE(LEFT('Base Encuesta'!K445,1)),"")&gt;=3),"",VALUE(LEFT('Base Encuesta'!AL445,1)))</f>
        <v/>
      </c>
      <c r="AD471" t="str">
        <f>IF(OR('Base Encuesta'!AM445="",IFERROR(VALUE(LEFT('Base Encuesta'!K445,1)),"")&gt;=3),"",VALUE(LEFT('Base Encuesta'!AM445,1)))</f>
        <v/>
      </c>
      <c r="AE471" t="str">
        <f>IF(OR('Base Encuesta'!AN445="",IFERROR(VALUE(LEFT('Base Encuesta'!K445,1)),"")&gt;=3),"",VALUE(LEFT('Base Encuesta'!AN445,1)))</f>
        <v/>
      </c>
      <c r="AF471" t="str">
        <f>IF(OR('Base Encuesta'!AO445="",IFERROR(VALUE(LEFT('Base Encuesta'!K445,1)),"")&gt;=3),"",VALUE(LEFT('Base Encuesta'!AO445,1)))</f>
        <v/>
      </c>
      <c r="AG471" t="str">
        <f>IF(OR('Base Encuesta'!AQ445="",IFERROR(VALUE(LEFT('Base Encuesta'!K445,1)),"")&gt;=3),"",VALUE(LEFT('Base Encuesta'!AQ445,1)))</f>
        <v/>
      </c>
      <c r="AH471" t="str">
        <f>IF(OR('Base Encuesta'!AR445="",IFERROR(VALUE(LEFT('Base Encuesta'!K445,1)),"")&gt;=3),"",VALUE(LEFT('Base Encuesta'!AR445,1)))</f>
        <v/>
      </c>
    </row>
    <row r="472" spans="1:34">
      <c r="A472" t="str">
        <f>IF('Base Encuesta'!C446="","",'Base Encuesta'!C446)</f>
        <v/>
      </c>
      <c r="B472" t="str">
        <f>IF('Base Encuesta'!D446="","",'Base Encuesta'!D446)</f>
        <v/>
      </c>
      <c r="C472" t="str">
        <f>IF('Base Encuesta'!E446="","",'Base Encuesta'!E446)</f>
        <v/>
      </c>
      <c r="D472" t="str">
        <f>IF('Base Encuesta'!F446="","",'Base Encuesta'!F446)</f>
        <v/>
      </c>
      <c r="E472" t="str">
        <f>IF('Base Encuesta'!G446="","",'Base Encuesta'!G446)</f>
        <v/>
      </c>
      <c r="F472" t="str">
        <f>IF('Base Encuesta'!H446="","",'Base Encuesta'!H446)</f>
        <v/>
      </c>
      <c r="G472" t="str">
        <f>IF('Base Encuesta'!I446="","",'Base Encuesta'!I446)</f>
        <v/>
      </c>
      <c r="H472" t="str">
        <f>IF('Base Encuesta'!J446="","",'Base Encuesta'!J446)</f>
        <v/>
      </c>
      <c r="I472" t="str">
        <f>IF('Base Encuesta'!K446="","",'Base Encuesta'!K446)</f>
        <v/>
      </c>
      <c r="J472" t="str">
        <f>IF(OR('Base Encuesta'!P446="",IFERROR(VALUE(LEFT('Base Encuesta'!K446,1)),"")&gt;=3),"",PROPER(TRIM('Base Encuesta'!P446)))</f>
        <v/>
      </c>
      <c r="K472" t="str">
        <f>IF(OR('Base Encuesta'!Q446="",IFERROR(VALUE(LEFT('Base Encuesta'!K446,1)),"")&gt;=3),"",'Base Encuesta'!Q446)</f>
        <v/>
      </c>
      <c r="L472" t="str">
        <f>IF(OR('Base Encuesta'!R446="",IFERROR(VALUE(LEFT('Base Encuesta'!K446,1)),"")&gt;=3),"",VALUE(LEFT('Base Encuesta'!R446,1)))</f>
        <v/>
      </c>
      <c r="M472" t="str">
        <f>IF(OR('Base Encuesta'!S446="",IFERROR(VALUE(LEFT('Base Encuesta'!K446,1)),"")&gt;=3),"",VALUE(LEFT('Base Encuesta'!S446,1)))</f>
        <v/>
      </c>
      <c r="N472" t="str">
        <f>IF(OR('Base Encuesta'!T446="",IFERROR(VALUE(LEFT('Base Encuesta'!K446,1)),"")&gt;=3),"",VALUE(LEFT('Base Encuesta'!T446,1)))</f>
        <v/>
      </c>
      <c r="O472" t="str">
        <f>IF(OR('Base Encuesta'!V446="",IFERROR(VALUE(LEFT('Base Encuesta'!K446,1)),"")&gt;=3),"",VALUE(LEFT('Base Encuesta'!V446,1)))</f>
        <v/>
      </c>
      <c r="P472" t="str">
        <f>IF(OR('Base Encuesta'!W446="",IFERROR(VALUE(LEFT('Base Encuesta'!K446,1)),"")&gt;=3),"",VALUE(LEFT('Base Encuesta'!W446,1)))</f>
        <v/>
      </c>
      <c r="Q472" t="str">
        <f>IF(OR('Base Encuesta'!X446="",IFERROR(VALUE(LEFT('Base Encuesta'!K446,1)),"")&gt;=3),"",VALUE(LEFT('Base Encuesta'!X446,1)))</f>
        <v/>
      </c>
      <c r="R472" t="str">
        <f>IF(OR('Base Encuesta'!Y446="",IFERROR(VALUE(LEFT('Base Encuesta'!K446,1)),"")&gt;=3),"",VALUE(LEFT('Base Encuesta'!Y446,1)))</f>
        <v/>
      </c>
      <c r="S472" t="str">
        <f>IF(OR('Base Encuesta'!Z446="",IFERROR(VALUE(LEFT('Base Encuesta'!K446,1)),"")&gt;=3),"",VALUE(LEFT('Base Encuesta'!Z446,1)))</f>
        <v/>
      </c>
      <c r="T472" t="str">
        <f>IF(OR('Base Encuesta'!AA446="",IFERROR(VALUE(LEFT('Base Encuesta'!K446,1)),"")&gt;=3),"",VALUE(LEFT('Base Encuesta'!AA446,1)))</f>
        <v/>
      </c>
      <c r="U472" t="str">
        <f>IF(OR('Base Encuesta'!AB446="",IFERROR(VALUE(LEFT('Base Encuesta'!K446,1)),"")&gt;=3),"",VALUE(LEFT('Base Encuesta'!AB446,1)))</f>
        <v/>
      </c>
      <c r="V472" t="str">
        <f>IF(OR('Base Encuesta'!AC446="",IFERROR(VALUE(LEFT('Base Encuesta'!K446,1)),"")&gt;=3),"",VALUE(LEFT('Base Encuesta'!AC446,1)))</f>
        <v/>
      </c>
      <c r="W472" t="str">
        <f>IF(OR('Base Encuesta'!AE446="",IFERROR(VALUE(LEFT('Base Encuesta'!K446,1)),"")&gt;=3),"",VALUE(LEFT('Base Encuesta'!AE446,1)))</f>
        <v/>
      </c>
      <c r="X472" t="str">
        <f>IF(OR('Base Encuesta'!AF446="",IFERROR(VALUE(LEFT('Base Encuesta'!K446,1)),"")&gt;=3),"",IF(W472=1,VALUE(LEFT('Base Encuesta'!AF446,1)),""))</f>
        <v/>
      </c>
      <c r="Y472" t="str">
        <f>IF(OR('Base Encuesta'!AG446="",IFERROR(VALUE(LEFT('Base Encuesta'!K446,1)),"")&gt;=3),"",IF(W472=1,VALUE(LEFT('Base Encuesta'!AG446,1)),""))</f>
        <v/>
      </c>
      <c r="Z472" t="str">
        <f>IF(OR('Base Encuesta'!AH446="",IFERROR(VALUE(LEFT('Base Encuesta'!K446,1)),"")&gt;=3),"",IF(W472=1,VALUE(LEFT('Base Encuesta'!AH446,1)),""))</f>
        <v/>
      </c>
      <c r="AA472" t="str">
        <f>IF(OR('Base Encuesta'!AI446="",IFERROR(VALUE(LEFT('Base Encuesta'!K446,1)),"")&gt;=3),"",IF(W472=1,VALUE(LEFT('Base Encuesta'!AI446,1)),""))</f>
        <v/>
      </c>
      <c r="AB472" t="str">
        <f>IF(OR('Base Encuesta'!AJ446="",IFERROR(VALUE(LEFT('Base Encuesta'!K446,1)),"")&gt;=3),"",IF(W472=1,VALUE(LEFT('Base Encuesta'!AJ446,1)),""))</f>
        <v/>
      </c>
      <c r="AC472" t="str">
        <f>IF(OR('Base Encuesta'!AL446="",IFERROR(VALUE(LEFT('Base Encuesta'!K446,1)),"")&gt;=3),"",VALUE(LEFT('Base Encuesta'!AL446,1)))</f>
        <v/>
      </c>
      <c r="AD472" t="str">
        <f>IF(OR('Base Encuesta'!AM446="",IFERROR(VALUE(LEFT('Base Encuesta'!K446,1)),"")&gt;=3),"",VALUE(LEFT('Base Encuesta'!AM446,1)))</f>
        <v/>
      </c>
      <c r="AE472" t="str">
        <f>IF(OR('Base Encuesta'!AN446="",IFERROR(VALUE(LEFT('Base Encuesta'!K446,1)),"")&gt;=3),"",VALUE(LEFT('Base Encuesta'!AN446,1)))</f>
        <v/>
      </c>
      <c r="AF472" t="str">
        <f>IF(OR('Base Encuesta'!AO446="",IFERROR(VALUE(LEFT('Base Encuesta'!K446,1)),"")&gt;=3),"",VALUE(LEFT('Base Encuesta'!AO446,1)))</f>
        <v/>
      </c>
      <c r="AG472" t="str">
        <f>IF(OR('Base Encuesta'!AQ446="",IFERROR(VALUE(LEFT('Base Encuesta'!K446,1)),"")&gt;=3),"",VALUE(LEFT('Base Encuesta'!AQ446,1)))</f>
        <v/>
      </c>
      <c r="AH472" t="str">
        <f>IF(OR('Base Encuesta'!AR446="",IFERROR(VALUE(LEFT('Base Encuesta'!K446,1)),"")&gt;=3),"",VALUE(LEFT('Base Encuesta'!AR446,1)))</f>
        <v/>
      </c>
    </row>
    <row r="473" spans="1:34">
      <c r="A473" t="str">
        <f>IF('Base Encuesta'!C447="","",'Base Encuesta'!C447)</f>
        <v/>
      </c>
      <c r="B473" t="str">
        <f>IF('Base Encuesta'!D447="","",'Base Encuesta'!D447)</f>
        <v/>
      </c>
      <c r="C473" t="str">
        <f>IF('Base Encuesta'!E447="","",'Base Encuesta'!E447)</f>
        <v/>
      </c>
      <c r="D473" t="str">
        <f>IF('Base Encuesta'!F447="","",'Base Encuesta'!F447)</f>
        <v/>
      </c>
      <c r="E473" t="str">
        <f>IF('Base Encuesta'!G447="","",'Base Encuesta'!G447)</f>
        <v/>
      </c>
      <c r="F473" t="str">
        <f>IF('Base Encuesta'!H447="","",'Base Encuesta'!H447)</f>
        <v/>
      </c>
      <c r="G473" t="str">
        <f>IF('Base Encuesta'!I447="","",'Base Encuesta'!I447)</f>
        <v/>
      </c>
      <c r="H473" t="str">
        <f>IF('Base Encuesta'!J447="","",'Base Encuesta'!J447)</f>
        <v/>
      </c>
      <c r="I473" t="str">
        <f>IF('Base Encuesta'!K447="","",'Base Encuesta'!K447)</f>
        <v/>
      </c>
      <c r="J473" t="str">
        <f>IF(OR('Base Encuesta'!P447="",IFERROR(VALUE(LEFT('Base Encuesta'!K447,1)),"")&gt;=3),"",PROPER(TRIM('Base Encuesta'!P447)))</f>
        <v/>
      </c>
      <c r="K473" t="str">
        <f>IF(OR('Base Encuesta'!Q447="",IFERROR(VALUE(LEFT('Base Encuesta'!K447,1)),"")&gt;=3),"",'Base Encuesta'!Q447)</f>
        <v/>
      </c>
      <c r="L473" t="str">
        <f>IF(OR('Base Encuesta'!R447="",IFERROR(VALUE(LEFT('Base Encuesta'!K447,1)),"")&gt;=3),"",VALUE(LEFT('Base Encuesta'!R447,1)))</f>
        <v/>
      </c>
      <c r="M473" t="str">
        <f>IF(OR('Base Encuesta'!S447="",IFERROR(VALUE(LEFT('Base Encuesta'!K447,1)),"")&gt;=3),"",VALUE(LEFT('Base Encuesta'!S447,1)))</f>
        <v/>
      </c>
      <c r="N473" t="str">
        <f>IF(OR('Base Encuesta'!T447="",IFERROR(VALUE(LEFT('Base Encuesta'!K447,1)),"")&gt;=3),"",VALUE(LEFT('Base Encuesta'!T447,1)))</f>
        <v/>
      </c>
      <c r="O473" t="str">
        <f>IF(OR('Base Encuesta'!V447="",IFERROR(VALUE(LEFT('Base Encuesta'!K447,1)),"")&gt;=3),"",VALUE(LEFT('Base Encuesta'!V447,1)))</f>
        <v/>
      </c>
      <c r="P473" t="str">
        <f>IF(OR('Base Encuesta'!W447="",IFERROR(VALUE(LEFT('Base Encuesta'!K447,1)),"")&gt;=3),"",VALUE(LEFT('Base Encuesta'!W447,1)))</f>
        <v/>
      </c>
      <c r="Q473" t="str">
        <f>IF(OR('Base Encuesta'!X447="",IFERROR(VALUE(LEFT('Base Encuesta'!K447,1)),"")&gt;=3),"",VALUE(LEFT('Base Encuesta'!X447,1)))</f>
        <v/>
      </c>
      <c r="R473" t="str">
        <f>IF(OR('Base Encuesta'!Y447="",IFERROR(VALUE(LEFT('Base Encuesta'!K447,1)),"")&gt;=3),"",VALUE(LEFT('Base Encuesta'!Y447,1)))</f>
        <v/>
      </c>
      <c r="S473" t="str">
        <f>IF(OR('Base Encuesta'!Z447="",IFERROR(VALUE(LEFT('Base Encuesta'!K447,1)),"")&gt;=3),"",VALUE(LEFT('Base Encuesta'!Z447,1)))</f>
        <v/>
      </c>
      <c r="T473" t="str">
        <f>IF(OR('Base Encuesta'!AA447="",IFERROR(VALUE(LEFT('Base Encuesta'!K447,1)),"")&gt;=3),"",VALUE(LEFT('Base Encuesta'!AA447,1)))</f>
        <v/>
      </c>
      <c r="U473" t="str">
        <f>IF(OR('Base Encuesta'!AB447="",IFERROR(VALUE(LEFT('Base Encuesta'!K447,1)),"")&gt;=3),"",VALUE(LEFT('Base Encuesta'!AB447,1)))</f>
        <v/>
      </c>
      <c r="V473" t="str">
        <f>IF(OR('Base Encuesta'!AC447="",IFERROR(VALUE(LEFT('Base Encuesta'!K447,1)),"")&gt;=3),"",VALUE(LEFT('Base Encuesta'!AC447,1)))</f>
        <v/>
      </c>
      <c r="W473" t="str">
        <f>IF(OR('Base Encuesta'!AE447="",IFERROR(VALUE(LEFT('Base Encuesta'!K447,1)),"")&gt;=3),"",VALUE(LEFT('Base Encuesta'!AE447,1)))</f>
        <v/>
      </c>
      <c r="X473" t="str">
        <f>IF(OR('Base Encuesta'!AF447="",IFERROR(VALUE(LEFT('Base Encuesta'!K447,1)),"")&gt;=3),"",IF(W473=1,VALUE(LEFT('Base Encuesta'!AF447,1)),""))</f>
        <v/>
      </c>
      <c r="Y473" t="str">
        <f>IF(OR('Base Encuesta'!AG447="",IFERROR(VALUE(LEFT('Base Encuesta'!K447,1)),"")&gt;=3),"",IF(W473=1,VALUE(LEFT('Base Encuesta'!AG447,1)),""))</f>
        <v/>
      </c>
      <c r="Z473" t="str">
        <f>IF(OR('Base Encuesta'!AH447="",IFERROR(VALUE(LEFT('Base Encuesta'!K447,1)),"")&gt;=3),"",IF(W473=1,VALUE(LEFT('Base Encuesta'!AH447,1)),""))</f>
        <v/>
      </c>
      <c r="AA473" t="str">
        <f>IF(OR('Base Encuesta'!AI447="",IFERROR(VALUE(LEFT('Base Encuesta'!K447,1)),"")&gt;=3),"",IF(W473=1,VALUE(LEFT('Base Encuesta'!AI447,1)),""))</f>
        <v/>
      </c>
      <c r="AB473" t="str">
        <f>IF(OR('Base Encuesta'!AJ447="",IFERROR(VALUE(LEFT('Base Encuesta'!K447,1)),"")&gt;=3),"",IF(W473=1,VALUE(LEFT('Base Encuesta'!AJ447,1)),""))</f>
        <v/>
      </c>
      <c r="AC473" t="str">
        <f>IF(OR('Base Encuesta'!AL447="",IFERROR(VALUE(LEFT('Base Encuesta'!K447,1)),"")&gt;=3),"",VALUE(LEFT('Base Encuesta'!AL447,1)))</f>
        <v/>
      </c>
      <c r="AD473" t="str">
        <f>IF(OR('Base Encuesta'!AM447="",IFERROR(VALUE(LEFT('Base Encuesta'!K447,1)),"")&gt;=3),"",VALUE(LEFT('Base Encuesta'!AM447,1)))</f>
        <v/>
      </c>
      <c r="AE473" t="str">
        <f>IF(OR('Base Encuesta'!AN447="",IFERROR(VALUE(LEFT('Base Encuesta'!K447,1)),"")&gt;=3),"",VALUE(LEFT('Base Encuesta'!AN447,1)))</f>
        <v/>
      </c>
      <c r="AF473" t="str">
        <f>IF(OR('Base Encuesta'!AO447="",IFERROR(VALUE(LEFT('Base Encuesta'!K447,1)),"")&gt;=3),"",VALUE(LEFT('Base Encuesta'!AO447,1)))</f>
        <v/>
      </c>
      <c r="AG473" t="str">
        <f>IF(OR('Base Encuesta'!AQ447="",IFERROR(VALUE(LEFT('Base Encuesta'!K447,1)),"")&gt;=3),"",VALUE(LEFT('Base Encuesta'!AQ447,1)))</f>
        <v/>
      </c>
      <c r="AH473" t="str">
        <f>IF(OR('Base Encuesta'!AR447="",IFERROR(VALUE(LEFT('Base Encuesta'!K447,1)),"")&gt;=3),"",VALUE(LEFT('Base Encuesta'!AR447,1)))</f>
        <v/>
      </c>
    </row>
    <row r="474" spans="1:34">
      <c r="A474" t="str">
        <f>IF('Base Encuesta'!C448="","",'Base Encuesta'!C448)</f>
        <v/>
      </c>
      <c r="B474" t="str">
        <f>IF('Base Encuesta'!D448="","",'Base Encuesta'!D448)</f>
        <v/>
      </c>
      <c r="C474" t="str">
        <f>IF('Base Encuesta'!E448="","",'Base Encuesta'!E448)</f>
        <v/>
      </c>
      <c r="D474" t="str">
        <f>IF('Base Encuesta'!F448="","",'Base Encuesta'!F448)</f>
        <v/>
      </c>
      <c r="E474" t="str">
        <f>IF('Base Encuesta'!G448="","",'Base Encuesta'!G448)</f>
        <v/>
      </c>
      <c r="F474" t="str">
        <f>IF('Base Encuesta'!H448="","",'Base Encuesta'!H448)</f>
        <v/>
      </c>
      <c r="G474" t="str">
        <f>IF('Base Encuesta'!I448="","",'Base Encuesta'!I448)</f>
        <v/>
      </c>
      <c r="H474" t="str">
        <f>IF('Base Encuesta'!J448="","",'Base Encuesta'!J448)</f>
        <v/>
      </c>
      <c r="I474" t="str">
        <f>IF('Base Encuesta'!K448="","",'Base Encuesta'!K448)</f>
        <v/>
      </c>
      <c r="J474" t="str">
        <f>IF(OR('Base Encuesta'!P448="",IFERROR(VALUE(LEFT('Base Encuesta'!K448,1)),"")&gt;=3),"",PROPER(TRIM('Base Encuesta'!P448)))</f>
        <v/>
      </c>
      <c r="K474" t="str">
        <f>IF(OR('Base Encuesta'!Q448="",IFERROR(VALUE(LEFT('Base Encuesta'!K448,1)),"")&gt;=3),"",'Base Encuesta'!Q448)</f>
        <v/>
      </c>
      <c r="L474" t="str">
        <f>IF(OR('Base Encuesta'!R448="",IFERROR(VALUE(LEFT('Base Encuesta'!K448,1)),"")&gt;=3),"",VALUE(LEFT('Base Encuesta'!R448,1)))</f>
        <v/>
      </c>
      <c r="M474" t="str">
        <f>IF(OR('Base Encuesta'!S448="",IFERROR(VALUE(LEFT('Base Encuesta'!K448,1)),"")&gt;=3),"",VALUE(LEFT('Base Encuesta'!S448,1)))</f>
        <v/>
      </c>
      <c r="N474" t="str">
        <f>IF(OR('Base Encuesta'!T448="",IFERROR(VALUE(LEFT('Base Encuesta'!K448,1)),"")&gt;=3),"",VALUE(LEFT('Base Encuesta'!T448,1)))</f>
        <v/>
      </c>
      <c r="O474" t="str">
        <f>IF(OR('Base Encuesta'!V448="",IFERROR(VALUE(LEFT('Base Encuesta'!K448,1)),"")&gt;=3),"",VALUE(LEFT('Base Encuesta'!V448,1)))</f>
        <v/>
      </c>
      <c r="P474" t="str">
        <f>IF(OR('Base Encuesta'!W448="",IFERROR(VALUE(LEFT('Base Encuesta'!K448,1)),"")&gt;=3),"",VALUE(LEFT('Base Encuesta'!W448,1)))</f>
        <v/>
      </c>
      <c r="Q474" t="str">
        <f>IF(OR('Base Encuesta'!X448="",IFERROR(VALUE(LEFT('Base Encuesta'!K448,1)),"")&gt;=3),"",VALUE(LEFT('Base Encuesta'!X448,1)))</f>
        <v/>
      </c>
      <c r="R474" t="str">
        <f>IF(OR('Base Encuesta'!Y448="",IFERROR(VALUE(LEFT('Base Encuesta'!K448,1)),"")&gt;=3),"",VALUE(LEFT('Base Encuesta'!Y448,1)))</f>
        <v/>
      </c>
      <c r="S474" t="str">
        <f>IF(OR('Base Encuesta'!Z448="",IFERROR(VALUE(LEFT('Base Encuesta'!K448,1)),"")&gt;=3),"",VALUE(LEFT('Base Encuesta'!Z448,1)))</f>
        <v/>
      </c>
      <c r="T474" t="str">
        <f>IF(OR('Base Encuesta'!AA448="",IFERROR(VALUE(LEFT('Base Encuesta'!K448,1)),"")&gt;=3),"",VALUE(LEFT('Base Encuesta'!AA448,1)))</f>
        <v/>
      </c>
      <c r="U474" t="str">
        <f>IF(OR('Base Encuesta'!AB448="",IFERROR(VALUE(LEFT('Base Encuesta'!K448,1)),"")&gt;=3),"",VALUE(LEFT('Base Encuesta'!AB448,1)))</f>
        <v/>
      </c>
      <c r="V474" t="str">
        <f>IF(OR('Base Encuesta'!AC448="",IFERROR(VALUE(LEFT('Base Encuesta'!K448,1)),"")&gt;=3),"",VALUE(LEFT('Base Encuesta'!AC448,1)))</f>
        <v/>
      </c>
      <c r="W474" t="str">
        <f>IF(OR('Base Encuesta'!AE448="",IFERROR(VALUE(LEFT('Base Encuesta'!K448,1)),"")&gt;=3),"",VALUE(LEFT('Base Encuesta'!AE448,1)))</f>
        <v/>
      </c>
      <c r="X474" t="str">
        <f>IF(OR('Base Encuesta'!AF448="",IFERROR(VALUE(LEFT('Base Encuesta'!K448,1)),"")&gt;=3),"",IF(W474=1,VALUE(LEFT('Base Encuesta'!AF448,1)),""))</f>
        <v/>
      </c>
      <c r="Y474" t="str">
        <f>IF(OR('Base Encuesta'!AG448="",IFERROR(VALUE(LEFT('Base Encuesta'!K448,1)),"")&gt;=3),"",IF(W474=1,VALUE(LEFT('Base Encuesta'!AG448,1)),""))</f>
        <v/>
      </c>
      <c r="Z474" t="str">
        <f>IF(OR('Base Encuesta'!AH448="",IFERROR(VALUE(LEFT('Base Encuesta'!K448,1)),"")&gt;=3),"",IF(W474=1,VALUE(LEFT('Base Encuesta'!AH448,1)),""))</f>
        <v/>
      </c>
      <c r="AA474" t="str">
        <f>IF(OR('Base Encuesta'!AI448="",IFERROR(VALUE(LEFT('Base Encuesta'!K448,1)),"")&gt;=3),"",IF(W474=1,VALUE(LEFT('Base Encuesta'!AI448,1)),""))</f>
        <v/>
      </c>
      <c r="AB474" t="str">
        <f>IF(OR('Base Encuesta'!AJ448="",IFERROR(VALUE(LEFT('Base Encuesta'!K448,1)),"")&gt;=3),"",IF(W474=1,VALUE(LEFT('Base Encuesta'!AJ448,1)),""))</f>
        <v/>
      </c>
      <c r="AC474" t="str">
        <f>IF(OR('Base Encuesta'!AL448="",IFERROR(VALUE(LEFT('Base Encuesta'!K448,1)),"")&gt;=3),"",VALUE(LEFT('Base Encuesta'!AL448,1)))</f>
        <v/>
      </c>
      <c r="AD474" t="str">
        <f>IF(OR('Base Encuesta'!AM448="",IFERROR(VALUE(LEFT('Base Encuesta'!K448,1)),"")&gt;=3),"",VALUE(LEFT('Base Encuesta'!AM448,1)))</f>
        <v/>
      </c>
      <c r="AE474" t="str">
        <f>IF(OR('Base Encuesta'!AN448="",IFERROR(VALUE(LEFT('Base Encuesta'!K448,1)),"")&gt;=3),"",VALUE(LEFT('Base Encuesta'!AN448,1)))</f>
        <v/>
      </c>
      <c r="AF474" t="str">
        <f>IF(OR('Base Encuesta'!AO448="",IFERROR(VALUE(LEFT('Base Encuesta'!K448,1)),"")&gt;=3),"",VALUE(LEFT('Base Encuesta'!AO448,1)))</f>
        <v/>
      </c>
      <c r="AG474" t="str">
        <f>IF(OR('Base Encuesta'!AQ448="",IFERROR(VALUE(LEFT('Base Encuesta'!K448,1)),"")&gt;=3),"",VALUE(LEFT('Base Encuesta'!AQ448,1)))</f>
        <v/>
      </c>
      <c r="AH474" t="str">
        <f>IF(OR('Base Encuesta'!AR448="",IFERROR(VALUE(LEFT('Base Encuesta'!K448,1)),"")&gt;=3),"",VALUE(LEFT('Base Encuesta'!AR448,1)))</f>
        <v/>
      </c>
    </row>
    <row r="475" spans="1:34">
      <c r="A475" t="str">
        <f>IF('Base Encuesta'!C449="","",'Base Encuesta'!C449)</f>
        <v/>
      </c>
      <c r="B475" t="str">
        <f>IF('Base Encuesta'!D449="","",'Base Encuesta'!D449)</f>
        <v/>
      </c>
      <c r="C475" t="str">
        <f>IF('Base Encuesta'!E449="","",'Base Encuesta'!E449)</f>
        <v/>
      </c>
      <c r="D475" t="str">
        <f>IF('Base Encuesta'!F449="","",'Base Encuesta'!F449)</f>
        <v/>
      </c>
      <c r="E475" t="str">
        <f>IF('Base Encuesta'!G449="","",'Base Encuesta'!G449)</f>
        <v/>
      </c>
      <c r="F475" t="str">
        <f>IF('Base Encuesta'!H449="","",'Base Encuesta'!H449)</f>
        <v/>
      </c>
      <c r="G475" t="str">
        <f>IF('Base Encuesta'!I449="","",'Base Encuesta'!I449)</f>
        <v/>
      </c>
      <c r="H475" t="str">
        <f>IF('Base Encuesta'!J449="","",'Base Encuesta'!J449)</f>
        <v/>
      </c>
      <c r="I475" t="str">
        <f>IF('Base Encuesta'!K449="","",'Base Encuesta'!K449)</f>
        <v/>
      </c>
      <c r="J475" t="str">
        <f>IF(OR('Base Encuesta'!P449="",IFERROR(VALUE(LEFT('Base Encuesta'!K449,1)),"")&gt;=3),"",PROPER(TRIM('Base Encuesta'!P449)))</f>
        <v/>
      </c>
      <c r="K475" t="str">
        <f>IF(OR('Base Encuesta'!Q449="",IFERROR(VALUE(LEFT('Base Encuesta'!K449,1)),"")&gt;=3),"",'Base Encuesta'!Q449)</f>
        <v/>
      </c>
      <c r="L475" t="str">
        <f>IF(OR('Base Encuesta'!R449="",IFERROR(VALUE(LEFT('Base Encuesta'!K449,1)),"")&gt;=3),"",VALUE(LEFT('Base Encuesta'!R449,1)))</f>
        <v/>
      </c>
      <c r="M475" t="str">
        <f>IF(OR('Base Encuesta'!S449="",IFERROR(VALUE(LEFT('Base Encuesta'!K449,1)),"")&gt;=3),"",VALUE(LEFT('Base Encuesta'!S449,1)))</f>
        <v/>
      </c>
      <c r="N475" t="str">
        <f>IF(OR('Base Encuesta'!T449="",IFERROR(VALUE(LEFT('Base Encuesta'!K449,1)),"")&gt;=3),"",VALUE(LEFT('Base Encuesta'!T449,1)))</f>
        <v/>
      </c>
      <c r="O475" t="str">
        <f>IF(OR('Base Encuesta'!V449="",IFERROR(VALUE(LEFT('Base Encuesta'!K449,1)),"")&gt;=3),"",VALUE(LEFT('Base Encuesta'!V449,1)))</f>
        <v/>
      </c>
      <c r="P475" t="str">
        <f>IF(OR('Base Encuesta'!W449="",IFERROR(VALUE(LEFT('Base Encuesta'!K449,1)),"")&gt;=3),"",VALUE(LEFT('Base Encuesta'!W449,1)))</f>
        <v/>
      </c>
      <c r="Q475" t="str">
        <f>IF(OR('Base Encuesta'!X449="",IFERROR(VALUE(LEFT('Base Encuesta'!K449,1)),"")&gt;=3),"",VALUE(LEFT('Base Encuesta'!X449,1)))</f>
        <v/>
      </c>
      <c r="R475" t="str">
        <f>IF(OR('Base Encuesta'!Y449="",IFERROR(VALUE(LEFT('Base Encuesta'!K449,1)),"")&gt;=3),"",VALUE(LEFT('Base Encuesta'!Y449,1)))</f>
        <v/>
      </c>
      <c r="S475" t="str">
        <f>IF(OR('Base Encuesta'!Z449="",IFERROR(VALUE(LEFT('Base Encuesta'!K449,1)),"")&gt;=3),"",VALUE(LEFT('Base Encuesta'!Z449,1)))</f>
        <v/>
      </c>
      <c r="T475" t="str">
        <f>IF(OR('Base Encuesta'!AA449="",IFERROR(VALUE(LEFT('Base Encuesta'!K449,1)),"")&gt;=3),"",VALUE(LEFT('Base Encuesta'!AA449,1)))</f>
        <v/>
      </c>
      <c r="U475" t="str">
        <f>IF(OR('Base Encuesta'!AB449="",IFERROR(VALUE(LEFT('Base Encuesta'!K449,1)),"")&gt;=3),"",VALUE(LEFT('Base Encuesta'!AB449,1)))</f>
        <v/>
      </c>
      <c r="V475" t="str">
        <f>IF(OR('Base Encuesta'!AC449="",IFERROR(VALUE(LEFT('Base Encuesta'!K449,1)),"")&gt;=3),"",VALUE(LEFT('Base Encuesta'!AC449,1)))</f>
        <v/>
      </c>
      <c r="W475" t="str">
        <f>IF(OR('Base Encuesta'!AE449="",IFERROR(VALUE(LEFT('Base Encuesta'!K449,1)),"")&gt;=3),"",VALUE(LEFT('Base Encuesta'!AE449,1)))</f>
        <v/>
      </c>
      <c r="X475" t="str">
        <f>IF(OR('Base Encuesta'!AF449="",IFERROR(VALUE(LEFT('Base Encuesta'!K449,1)),"")&gt;=3),"",IF(W475=1,VALUE(LEFT('Base Encuesta'!AF449,1)),""))</f>
        <v/>
      </c>
      <c r="Y475" t="str">
        <f>IF(OR('Base Encuesta'!AG449="",IFERROR(VALUE(LEFT('Base Encuesta'!K449,1)),"")&gt;=3),"",IF(W475=1,VALUE(LEFT('Base Encuesta'!AG449,1)),""))</f>
        <v/>
      </c>
      <c r="Z475" t="str">
        <f>IF(OR('Base Encuesta'!AH449="",IFERROR(VALUE(LEFT('Base Encuesta'!K449,1)),"")&gt;=3),"",IF(W475=1,VALUE(LEFT('Base Encuesta'!AH449,1)),""))</f>
        <v/>
      </c>
      <c r="AA475" t="str">
        <f>IF(OR('Base Encuesta'!AI449="",IFERROR(VALUE(LEFT('Base Encuesta'!K449,1)),"")&gt;=3),"",IF(W475=1,VALUE(LEFT('Base Encuesta'!AI449,1)),""))</f>
        <v/>
      </c>
      <c r="AB475" t="str">
        <f>IF(OR('Base Encuesta'!AJ449="",IFERROR(VALUE(LEFT('Base Encuesta'!K449,1)),"")&gt;=3),"",IF(W475=1,VALUE(LEFT('Base Encuesta'!AJ449,1)),""))</f>
        <v/>
      </c>
      <c r="AC475" t="str">
        <f>IF(OR('Base Encuesta'!AL449="",IFERROR(VALUE(LEFT('Base Encuesta'!K449,1)),"")&gt;=3),"",VALUE(LEFT('Base Encuesta'!AL449,1)))</f>
        <v/>
      </c>
      <c r="AD475" t="str">
        <f>IF(OR('Base Encuesta'!AM449="",IFERROR(VALUE(LEFT('Base Encuesta'!K449,1)),"")&gt;=3),"",VALUE(LEFT('Base Encuesta'!AM449,1)))</f>
        <v/>
      </c>
      <c r="AE475" t="str">
        <f>IF(OR('Base Encuesta'!AN449="",IFERROR(VALUE(LEFT('Base Encuesta'!K449,1)),"")&gt;=3),"",VALUE(LEFT('Base Encuesta'!AN449,1)))</f>
        <v/>
      </c>
      <c r="AF475" t="str">
        <f>IF(OR('Base Encuesta'!AO449="",IFERROR(VALUE(LEFT('Base Encuesta'!K449,1)),"")&gt;=3),"",VALUE(LEFT('Base Encuesta'!AO449,1)))</f>
        <v/>
      </c>
      <c r="AG475" t="str">
        <f>IF(OR('Base Encuesta'!AQ449="",IFERROR(VALUE(LEFT('Base Encuesta'!K449,1)),"")&gt;=3),"",VALUE(LEFT('Base Encuesta'!AQ449,1)))</f>
        <v/>
      </c>
      <c r="AH475" t="str">
        <f>IF(OR('Base Encuesta'!AR449="",IFERROR(VALUE(LEFT('Base Encuesta'!K449,1)),"")&gt;=3),"",VALUE(LEFT('Base Encuesta'!AR449,1)))</f>
        <v/>
      </c>
    </row>
    <row r="476" spans="1:34">
      <c r="A476" t="str">
        <f>IF('Base Encuesta'!C450="","",'Base Encuesta'!C450)</f>
        <v/>
      </c>
      <c r="B476" t="str">
        <f>IF('Base Encuesta'!D450="","",'Base Encuesta'!D450)</f>
        <v/>
      </c>
      <c r="C476" t="str">
        <f>IF('Base Encuesta'!E450="","",'Base Encuesta'!E450)</f>
        <v/>
      </c>
      <c r="D476" t="str">
        <f>IF('Base Encuesta'!F450="","",'Base Encuesta'!F450)</f>
        <v/>
      </c>
      <c r="E476" t="str">
        <f>IF('Base Encuesta'!G450="","",'Base Encuesta'!G450)</f>
        <v/>
      </c>
      <c r="F476" t="str">
        <f>IF('Base Encuesta'!H450="","",'Base Encuesta'!H450)</f>
        <v/>
      </c>
      <c r="G476" t="str">
        <f>IF('Base Encuesta'!I450="","",'Base Encuesta'!I450)</f>
        <v/>
      </c>
      <c r="H476" t="str">
        <f>IF('Base Encuesta'!J450="","",'Base Encuesta'!J450)</f>
        <v/>
      </c>
      <c r="I476" t="str">
        <f>IF('Base Encuesta'!K450="","",'Base Encuesta'!K450)</f>
        <v/>
      </c>
      <c r="J476" t="str">
        <f>IF(OR('Base Encuesta'!P450="",IFERROR(VALUE(LEFT('Base Encuesta'!K450,1)),"")&gt;=3),"",PROPER(TRIM('Base Encuesta'!P450)))</f>
        <v/>
      </c>
      <c r="K476" t="str">
        <f>IF(OR('Base Encuesta'!Q450="",IFERROR(VALUE(LEFT('Base Encuesta'!K450,1)),"")&gt;=3),"",'Base Encuesta'!Q450)</f>
        <v/>
      </c>
      <c r="L476" t="str">
        <f>IF(OR('Base Encuesta'!R450="",IFERROR(VALUE(LEFT('Base Encuesta'!K450,1)),"")&gt;=3),"",VALUE(LEFT('Base Encuesta'!R450,1)))</f>
        <v/>
      </c>
      <c r="M476" t="str">
        <f>IF(OR('Base Encuesta'!S450="",IFERROR(VALUE(LEFT('Base Encuesta'!K450,1)),"")&gt;=3),"",VALUE(LEFT('Base Encuesta'!S450,1)))</f>
        <v/>
      </c>
      <c r="N476" t="str">
        <f>IF(OR('Base Encuesta'!T450="",IFERROR(VALUE(LEFT('Base Encuesta'!K450,1)),"")&gt;=3),"",VALUE(LEFT('Base Encuesta'!T450,1)))</f>
        <v/>
      </c>
      <c r="O476" t="str">
        <f>IF(OR('Base Encuesta'!V450="",IFERROR(VALUE(LEFT('Base Encuesta'!K450,1)),"")&gt;=3),"",VALUE(LEFT('Base Encuesta'!V450,1)))</f>
        <v/>
      </c>
      <c r="P476" t="str">
        <f>IF(OR('Base Encuesta'!W450="",IFERROR(VALUE(LEFT('Base Encuesta'!K450,1)),"")&gt;=3),"",VALUE(LEFT('Base Encuesta'!W450,1)))</f>
        <v/>
      </c>
      <c r="Q476" t="str">
        <f>IF(OR('Base Encuesta'!X450="",IFERROR(VALUE(LEFT('Base Encuesta'!K450,1)),"")&gt;=3),"",VALUE(LEFT('Base Encuesta'!X450,1)))</f>
        <v/>
      </c>
      <c r="R476" t="str">
        <f>IF(OR('Base Encuesta'!Y450="",IFERROR(VALUE(LEFT('Base Encuesta'!K450,1)),"")&gt;=3),"",VALUE(LEFT('Base Encuesta'!Y450,1)))</f>
        <v/>
      </c>
      <c r="S476" t="str">
        <f>IF(OR('Base Encuesta'!Z450="",IFERROR(VALUE(LEFT('Base Encuesta'!K450,1)),"")&gt;=3),"",VALUE(LEFT('Base Encuesta'!Z450,1)))</f>
        <v/>
      </c>
      <c r="T476" t="str">
        <f>IF(OR('Base Encuesta'!AA450="",IFERROR(VALUE(LEFT('Base Encuesta'!K450,1)),"")&gt;=3),"",VALUE(LEFT('Base Encuesta'!AA450,1)))</f>
        <v/>
      </c>
      <c r="U476" t="str">
        <f>IF(OR('Base Encuesta'!AB450="",IFERROR(VALUE(LEFT('Base Encuesta'!K450,1)),"")&gt;=3),"",VALUE(LEFT('Base Encuesta'!AB450,1)))</f>
        <v/>
      </c>
      <c r="V476" t="str">
        <f>IF(OR('Base Encuesta'!AC450="",IFERROR(VALUE(LEFT('Base Encuesta'!K450,1)),"")&gt;=3),"",VALUE(LEFT('Base Encuesta'!AC450,1)))</f>
        <v/>
      </c>
      <c r="W476" t="str">
        <f>IF(OR('Base Encuesta'!AE450="",IFERROR(VALUE(LEFT('Base Encuesta'!K450,1)),"")&gt;=3),"",VALUE(LEFT('Base Encuesta'!AE450,1)))</f>
        <v/>
      </c>
      <c r="X476" t="str">
        <f>IF(OR('Base Encuesta'!AF450="",IFERROR(VALUE(LEFT('Base Encuesta'!K450,1)),"")&gt;=3),"",IF(W476=1,VALUE(LEFT('Base Encuesta'!AF450,1)),""))</f>
        <v/>
      </c>
      <c r="Y476" t="str">
        <f>IF(OR('Base Encuesta'!AG450="",IFERROR(VALUE(LEFT('Base Encuesta'!K450,1)),"")&gt;=3),"",IF(W476=1,VALUE(LEFT('Base Encuesta'!AG450,1)),""))</f>
        <v/>
      </c>
      <c r="Z476" t="str">
        <f>IF(OR('Base Encuesta'!AH450="",IFERROR(VALUE(LEFT('Base Encuesta'!K450,1)),"")&gt;=3),"",IF(W476=1,VALUE(LEFT('Base Encuesta'!AH450,1)),""))</f>
        <v/>
      </c>
      <c r="AA476" t="str">
        <f>IF(OR('Base Encuesta'!AI450="",IFERROR(VALUE(LEFT('Base Encuesta'!K450,1)),"")&gt;=3),"",IF(W476=1,VALUE(LEFT('Base Encuesta'!AI450,1)),""))</f>
        <v/>
      </c>
      <c r="AB476" t="str">
        <f>IF(OR('Base Encuesta'!AJ450="",IFERROR(VALUE(LEFT('Base Encuesta'!K450,1)),"")&gt;=3),"",IF(W476=1,VALUE(LEFT('Base Encuesta'!AJ450,1)),""))</f>
        <v/>
      </c>
      <c r="AC476" t="str">
        <f>IF(OR('Base Encuesta'!AL450="",IFERROR(VALUE(LEFT('Base Encuesta'!K450,1)),"")&gt;=3),"",VALUE(LEFT('Base Encuesta'!AL450,1)))</f>
        <v/>
      </c>
      <c r="AD476" t="str">
        <f>IF(OR('Base Encuesta'!AM450="",IFERROR(VALUE(LEFT('Base Encuesta'!K450,1)),"")&gt;=3),"",VALUE(LEFT('Base Encuesta'!AM450,1)))</f>
        <v/>
      </c>
      <c r="AE476" t="str">
        <f>IF(OR('Base Encuesta'!AN450="",IFERROR(VALUE(LEFT('Base Encuesta'!K450,1)),"")&gt;=3),"",VALUE(LEFT('Base Encuesta'!AN450,1)))</f>
        <v/>
      </c>
      <c r="AF476" t="str">
        <f>IF(OR('Base Encuesta'!AO450="",IFERROR(VALUE(LEFT('Base Encuesta'!K450,1)),"")&gt;=3),"",VALUE(LEFT('Base Encuesta'!AO450,1)))</f>
        <v/>
      </c>
      <c r="AG476" t="str">
        <f>IF(OR('Base Encuesta'!AQ450="",IFERROR(VALUE(LEFT('Base Encuesta'!K450,1)),"")&gt;=3),"",VALUE(LEFT('Base Encuesta'!AQ450,1)))</f>
        <v/>
      </c>
      <c r="AH476" t="str">
        <f>IF(OR('Base Encuesta'!AR450="",IFERROR(VALUE(LEFT('Base Encuesta'!K450,1)),"")&gt;=3),"",VALUE(LEFT('Base Encuesta'!AR450,1)))</f>
        <v/>
      </c>
    </row>
    <row r="477" spans="1:34">
      <c r="A477" t="str">
        <f>IF('Base Encuesta'!C451="","",'Base Encuesta'!C451)</f>
        <v/>
      </c>
      <c r="B477" t="str">
        <f>IF('Base Encuesta'!D451="","",'Base Encuesta'!D451)</f>
        <v/>
      </c>
      <c r="C477" t="str">
        <f>IF('Base Encuesta'!E451="","",'Base Encuesta'!E451)</f>
        <v/>
      </c>
      <c r="D477" t="str">
        <f>IF('Base Encuesta'!F451="","",'Base Encuesta'!F451)</f>
        <v/>
      </c>
      <c r="E477" t="str">
        <f>IF('Base Encuesta'!G451="","",'Base Encuesta'!G451)</f>
        <v/>
      </c>
      <c r="F477" t="str">
        <f>IF('Base Encuesta'!H451="","",'Base Encuesta'!H451)</f>
        <v/>
      </c>
      <c r="G477" t="str">
        <f>IF('Base Encuesta'!I451="","",'Base Encuesta'!I451)</f>
        <v/>
      </c>
      <c r="H477" t="str">
        <f>IF('Base Encuesta'!J451="","",'Base Encuesta'!J451)</f>
        <v/>
      </c>
      <c r="I477" t="str">
        <f>IF('Base Encuesta'!K451="","",'Base Encuesta'!K451)</f>
        <v/>
      </c>
      <c r="J477" t="str">
        <f>IF(OR('Base Encuesta'!P451="",IFERROR(VALUE(LEFT('Base Encuesta'!K451,1)),"")&gt;=3),"",PROPER(TRIM('Base Encuesta'!P451)))</f>
        <v/>
      </c>
      <c r="K477" t="str">
        <f>IF(OR('Base Encuesta'!Q451="",IFERROR(VALUE(LEFT('Base Encuesta'!K451,1)),"")&gt;=3),"",'Base Encuesta'!Q451)</f>
        <v/>
      </c>
      <c r="L477" t="str">
        <f>IF(OR('Base Encuesta'!R451="",IFERROR(VALUE(LEFT('Base Encuesta'!K451,1)),"")&gt;=3),"",VALUE(LEFT('Base Encuesta'!R451,1)))</f>
        <v/>
      </c>
      <c r="M477" t="str">
        <f>IF(OR('Base Encuesta'!S451="",IFERROR(VALUE(LEFT('Base Encuesta'!K451,1)),"")&gt;=3),"",VALUE(LEFT('Base Encuesta'!S451,1)))</f>
        <v/>
      </c>
      <c r="N477" t="str">
        <f>IF(OR('Base Encuesta'!T451="",IFERROR(VALUE(LEFT('Base Encuesta'!K451,1)),"")&gt;=3),"",VALUE(LEFT('Base Encuesta'!T451,1)))</f>
        <v/>
      </c>
      <c r="O477" t="str">
        <f>IF(OR('Base Encuesta'!V451="",IFERROR(VALUE(LEFT('Base Encuesta'!K451,1)),"")&gt;=3),"",VALUE(LEFT('Base Encuesta'!V451,1)))</f>
        <v/>
      </c>
      <c r="P477" t="str">
        <f>IF(OR('Base Encuesta'!W451="",IFERROR(VALUE(LEFT('Base Encuesta'!K451,1)),"")&gt;=3),"",VALUE(LEFT('Base Encuesta'!W451,1)))</f>
        <v/>
      </c>
      <c r="Q477" t="str">
        <f>IF(OR('Base Encuesta'!X451="",IFERROR(VALUE(LEFT('Base Encuesta'!K451,1)),"")&gt;=3),"",VALUE(LEFT('Base Encuesta'!X451,1)))</f>
        <v/>
      </c>
      <c r="R477" t="str">
        <f>IF(OR('Base Encuesta'!Y451="",IFERROR(VALUE(LEFT('Base Encuesta'!K451,1)),"")&gt;=3),"",VALUE(LEFT('Base Encuesta'!Y451,1)))</f>
        <v/>
      </c>
      <c r="S477" t="str">
        <f>IF(OR('Base Encuesta'!Z451="",IFERROR(VALUE(LEFT('Base Encuesta'!K451,1)),"")&gt;=3),"",VALUE(LEFT('Base Encuesta'!Z451,1)))</f>
        <v/>
      </c>
      <c r="T477" t="str">
        <f>IF(OR('Base Encuesta'!AA451="",IFERROR(VALUE(LEFT('Base Encuesta'!K451,1)),"")&gt;=3),"",VALUE(LEFT('Base Encuesta'!AA451,1)))</f>
        <v/>
      </c>
      <c r="U477" t="str">
        <f>IF(OR('Base Encuesta'!AB451="",IFERROR(VALUE(LEFT('Base Encuesta'!K451,1)),"")&gt;=3),"",VALUE(LEFT('Base Encuesta'!AB451,1)))</f>
        <v/>
      </c>
      <c r="V477" t="str">
        <f>IF(OR('Base Encuesta'!AC451="",IFERROR(VALUE(LEFT('Base Encuesta'!K451,1)),"")&gt;=3),"",VALUE(LEFT('Base Encuesta'!AC451,1)))</f>
        <v/>
      </c>
      <c r="W477" t="str">
        <f>IF(OR('Base Encuesta'!AE451="",IFERROR(VALUE(LEFT('Base Encuesta'!K451,1)),"")&gt;=3),"",VALUE(LEFT('Base Encuesta'!AE451,1)))</f>
        <v/>
      </c>
      <c r="X477" t="str">
        <f>IF(OR('Base Encuesta'!AF451="",IFERROR(VALUE(LEFT('Base Encuesta'!K451,1)),"")&gt;=3),"",IF(W477=1,VALUE(LEFT('Base Encuesta'!AF451,1)),""))</f>
        <v/>
      </c>
      <c r="Y477" t="str">
        <f>IF(OR('Base Encuesta'!AG451="",IFERROR(VALUE(LEFT('Base Encuesta'!K451,1)),"")&gt;=3),"",IF(W477=1,VALUE(LEFT('Base Encuesta'!AG451,1)),""))</f>
        <v/>
      </c>
      <c r="Z477" t="str">
        <f>IF(OR('Base Encuesta'!AH451="",IFERROR(VALUE(LEFT('Base Encuesta'!K451,1)),"")&gt;=3),"",IF(W477=1,VALUE(LEFT('Base Encuesta'!AH451,1)),""))</f>
        <v/>
      </c>
      <c r="AA477" t="str">
        <f>IF(OR('Base Encuesta'!AI451="",IFERROR(VALUE(LEFT('Base Encuesta'!K451,1)),"")&gt;=3),"",IF(W477=1,VALUE(LEFT('Base Encuesta'!AI451,1)),""))</f>
        <v/>
      </c>
      <c r="AB477" t="str">
        <f>IF(OR('Base Encuesta'!AJ451="",IFERROR(VALUE(LEFT('Base Encuesta'!K451,1)),"")&gt;=3),"",IF(W477=1,VALUE(LEFT('Base Encuesta'!AJ451,1)),""))</f>
        <v/>
      </c>
      <c r="AC477" t="str">
        <f>IF(OR('Base Encuesta'!AL451="",IFERROR(VALUE(LEFT('Base Encuesta'!K451,1)),"")&gt;=3),"",VALUE(LEFT('Base Encuesta'!AL451,1)))</f>
        <v/>
      </c>
      <c r="AD477" t="str">
        <f>IF(OR('Base Encuesta'!AM451="",IFERROR(VALUE(LEFT('Base Encuesta'!K451,1)),"")&gt;=3),"",VALUE(LEFT('Base Encuesta'!AM451,1)))</f>
        <v/>
      </c>
      <c r="AE477" t="str">
        <f>IF(OR('Base Encuesta'!AN451="",IFERROR(VALUE(LEFT('Base Encuesta'!K451,1)),"")&gt;=3),"",VALUE(LEFT('Base Encuesta'!AN451,1)))</f>
        <v/>
      </c>
      <c r="AF477" t="str">
        <f>IF(OR('Base Encuesta'!AO451="",IFERROR(VALUE(LEFT('Base Encuesta'!K451,1)),"")&gt;=3),"",VALUE(LEFT('Base Encuesta'!AO451,1)))</f>
        <v/>
      </c>
      <c r="AG477" t="str">
        <f>IF(OR('Base Encuesta'!AQ451="",IFERROR(VALUE(LEFT('Base Encuesta'!K451,1)),"")&gt;=3),"",VALUE(LEFT('Base Encuesta'!AQ451,1)))</f>
        <v/>
      </c>
      <c r="AH477" t="str">
        <f>IF(OR('Base Encuesta'!AR451="",IFERROR(VALUE(LEFT('Base Encuesta'!K451,1)),"")&gt;=3),"",VALUE(LEFT('Base Encuesta'!AR451,1)))</f>
        <v/>
      </c>
    </row>
    <row r="478" spans="1:34">
      <c r="A478" t="str">
        <f>IF('Base Encuesta'!C452="","",'Base Encuesta'!C452)</f>
        <v/>
      </c>
      <c r="B478" t="str">
        <f>IF('Base Encuesta'!D452="","",'Base Encuesta'!D452)</f>
        <v/>
      </c>
      <c r="C478" t="str">
        <f>IF('Base Encuesta'!E452="","",'Base Encuesta'!E452)</f>
        <v/>
      </c>
      <c r="D478" t="str">
        <f>IF('Base Encuesta'!F452="","",'Base Encuesta'!F452)</f>
        <v/>
      </c>
      <c r="E478" t="str">
        <f>IF('Base Encuesta'!G452="","",'Base Encuesta'!G452)</f>
        <v/>
      </c>
      <c r="F478" t="str">
        <f>IF('Base Encuesta'!H452="","",'Base Encuesta'!H452)</f>
        <v/>
      </c>
      <c r="G478" t="str">
        <f>IF('Base Encuesta'!I452="","",'Base Encuesta'!I452)</f>
        <v/>
      </c>
      <c r="H478" t="str">
        <f>IF('Base Encuesta'!J452="","",'Base Encuesta'!J452)</f>
        <v/>
      </c>
      <c r="I478" t="str">
        <f>IF('Base Encuesta'!K452="","",'Base Encuesta'!K452)</f>
        <v/>
      </c>
      <c r="J478" t="str">
        <f>IF(OR('Base Encuesta'!P452="",IFERROR(VALUE(LEFT('Base Encuesta'!K452,1)),"")&gt;=3),"",PROPER(TRIM('Base Encuesta'!P452)))</f>
        <v/>
      </c>
      <c r="K478" t="str">
        <f>IF(OR('Base Encuesta'!Q452="",IFERROR(VALUE(LEFT('Base Encuesta'!K452,1)),"")&gt;=3),"",'Base Encuesta'!Q452)</f>
        <v/>
      </c>
      <c r="L478" t="str">
        <f>IF(OR('Base Encuesta'!R452="",IFERROR(VALUE(LEFT('Base Encuesta'!K452,1)),"")&gt;=3),"",VALUE(LEFT('Base Encuesta'!R452,1)))</f>
        <v/>
      </c>
      <c r="M478" t="str">
        <f>IF(OR('Base Encuesta'!S452="",IFERROR(VALUE(LEFT('Base Encuesta'!K452,1)),"")&gt;=3),"",VALUE(LEFT('Base Encuesta'!S452,1)))</f>
        <v/>
      </c>
      <c r="N478" t="str">
        <f>IF(OR('Base Encuesta'!T452="",IFERROR(VALUE(LEFT('Base Encuesta'!K452,1)),"")&gt;=3),"",VALUE(LEFT('Base Encuesta'!T452,1)))</f>
        <v/>
      </c>
      <c r="O478" t="str">
        <f>IF(OR('Base Encuesta'!V452="",IFERROR(VALUE(LEFT('Base Encuesta'!K452,1)),"")&gt;=3),"",VALUE(LEFT('Base Encuesta'!V452,1)))</f>
        <v/>
      </c>
      <c r="P478" t="str">
        <f>IF(OR('Base Encuesta'!W452="",IFERROR(VALUE(LEFT('Base Encuesta'!K452,1)),"")&gt;=3),"",VALUE(LEFT('Base Encuesta'!W452,1)))</f>
        <v/>
      </c>
      <c r="Q478" t="str">
        <f>IF(OR('Base Encuesta'!X452="",IFERROR(VALUE(LEFT('Base Encuesta'!K452,1)),"")&gt;=3),"",VALUE(LEFT('Base Encuesta'!X452,1)))</f>
        <v/>
      </c>
      <c r="R478" t="str">
        <f>IF(OR('Base Encuesta'!Y452="",IFERROR(VALUE(LEFT('Base Encuesta'!K452,1)),"")&gt;=3),"",VALUE(LEFT('Base Encuesta'!Y452,1)))</f>
        <v/>
      </c>
      <c r="S478" t="str">
        <f>IF(OR('Base Encuesta'!Z452="",IFERROR(VALUE(LEFT('Base Encuesta'!K452,1)),"")&gt;=3),"",VALUE(LEFT('Base Encuesta'!Z452,1)))</f>
        <v/>
      </c>
      <c r="T478" t="str">
        <f>IF(OR('Base Encuesta'!AA452="",IFERROR(VALUE(LEFT('Base Encuesta'!K452,1)),"")&gt;=3),"",VALUE(LEFT('Base Encuesta'!AA452,1)))</f>
        <v/>
      </c>
      <c r="U478" t="str">
        <f>IF(OR('Base Encuesta'!AB452="",IFERROR(VALUE(LEFT('Base Encuesta'!K452,1)),"")&gt;=3),"",VALUE(LEFT('Base Encuesta'!AB452,1)))</f>
        <v/>
      </c>
      <c r="V478" t="str">
        <f>IF(OR('Base Encuesta'!AC452="",IFERROR(VALUE(LEFT('Base Encuesta'!K452,1)),"")&gt;=3),"",VALUE(LEFT('Base Encuesta'!AC452,1)))</f>
        <v/>
      </c>
      <c r="W478" t="str">
        <f>IF(OR('Base Encuesta'!AE452="",IFERROR(VALUE(LEFT('Base Encuesta'!K452,1)),"")&gt;=3),"",VALUE(LEFT('Base Encuesta'!AE452,1)))</f>
        <v/>
      </c>
      <c r="X478" t="str">
        <f>IF(OR('Base Encuesta'!AF452="",IFERROR(VALUE(LEFT('Base Encuesta'!K452,1)),"")&gt;=3),"",IF(W478=1,VALUE(LEFT('Base Encuesta'!AF452,1)),""))</f>
        <v/>
      </c>
      <c r="Y478" t="str">
        <f>IF(OR('Base Encuesta'!AG452="",IFERROR(VALUE(LEFT('Base Encuesta'!K452,1)),"")&gt;=3),"",IF(W478=1,VALUE(LEFT('Base Encuesta'!AG452,1)),""))</f>
        <v/>
      </c>
      <c r="Z478" t="str">
        <f>IF(OR('Base Encuesta'!AH452="",IFERROR(VALUE(LEFT('Base Encuesta'!K452,1)),"")&gt;=3),"",IF(W478=1,VALUE(LEFT('Base Encuesta'!AH452,1)),""))</f>
        <v/>
      </c>
      <c r="AA478" t="str">
        <f>IF(OR('Base Encuesta'!AI452="",IFERROR(VALUE(LEFT('Base Encuesta'!K452,1)),"")&gt;=3),"",IF(W478=1,VALUE(LEFT('Base Encuesta'!AI452,1)),""))</f>
        <v/>
      </c>
      <c r="AB478" t="str">
        <f>IF(OR('Base Encuesta'!AJ452="",IFERROR(VALUE(LEFT('Base Encuesta'!K452,1)),"")&gt;=3),"",IF(W478=1,VALUE(LEFT('Base Encuesta'!AJ452,1)),""))</f>
        <v/>
      </c>
      <c r="AC478" t="str">
        <f>IF(OR('Base Encuesta'!AL452="",IFERROR(VALUE(LEFT('Base Encuesta'!K452,1)),"")&gt;=3),"",VALUE(LEFT('Base Encuesta'!AL452,1)))</f>
        <v/>
      </c>
      <c r="AD478" t="str">
        <f>IF(OR('Base Encuesta'!AM452="",IFERROR(VALUE(LEFT('Base Encuesta'!K452,1)),"")&gt;=3),"",VALUE(LEFT('Base Encuesta'!AM452,1)))</f>
        <v/>
      </c>
      <c r="AE478" t="str">
        <f>IF(OR('Base Encuesta'!AN452="",IFERROR(VALUE(LEFT('Base Encuesta'!K452,1)),"")&gt;=3),"",VALUE(LEFT('Base Encuesta'!AN452,1)))</f>
        <v/>
      </c>
      <c r="AF478" t="str">
        <f>IF(OR('Base Encuesta'!AO452="",IFERROR(VALUE(LEFT('Base Encuesta'!K452,1)),"")&gt;=3),"",VALUE(LEFT('Base Encuesta'!AO452,1)))</f>
        <v/>
      </c>
      <c r="AG478" t="str">
        <f>IF(OR('Base Encuesta'!AQ452="",IFERROR(VALUE(LEFT('Base Encuesta'!K452,1)),"")&gt;=3),"",VALUE(LEFT('Base Encuesta'!AQ452,1)))</f>
        <v/>
      </c>
      <c r="AH478" t="str">
        <f>IF(OR('Base Encuesta'!AR452="",IFERROR(VALUE(LEFT('Base Encuesta'!K452,1)),"")&gt;=3),"",VALUE(LEFT('Base Encuesta'!AR452,1)))</f>
        <v/>
      </c>
    </row>
    <row r="479" spans="1:34">
      <c r="A479" t="str">
        <f>IF('Base Encuesta'!C453="","",'Base Encuesta'!C453)</f>
        <v/>
      </c>
      <c r="B479" t="str">
        <f>IF('Base Encuesta'!D453="","",'Base Encuesta'!D453)</f>
        <v/>
      </c>
      <c r="C479" t="str">
        <f>IF('Base Encuesta'!E453="","",'Base Encuesta'!E453)</f>
        <v/>
      </c>
      <c r="D479" t="str">
        <f>IF('Base Encuesta'!F453="","",'Base Encuesta'!F453)</f>
        <v/>
      </c>
      <c r="E479" t="str">
        <f>IF('Base Encuesta'!G453="","",'Base Encuesta'!G453)</f>
        <v/>
      </c>
      <c r="F479" t="str">
        <f>IF('Base Encuesta'!H453="","",'Base Encuesta'!H453)</f>
        <v/>
      </c>
      <c r="G479" t="str">
        <f>IF('Base Encuesta'!I453="","",'Base Encuesta'!I453)</f>
        <v/>
      </c>
      <c r="H479" t="str">
        <f>IF('Base Encuesta'!J453="","",'Base Encuesta'!J453)</f>
        <v/>
      </c>
      <c r="I479" t="str">
        <f>IF('Base Encuesta'!K453="","",'Base Encuesta'!K453)</f>
        <v/>
      </c>
      <c r="J479" t="str">
        <f>IF(OR('Base Encuesta'!P453="",IFERROR(VALUE(LEFT('Base Encuesta'!K453,1)),"")&gt;=3),"",PROPER(TRIM('Base Encuesta'!P453)))</f>
        <v/>
      </c>
      <c r="K479" t="str">
        <f>IF(OR('Base Encuesta'!Q453="",IFERROR(VALUE(LEFT('Base Encuesta'!K453,1)),"")&gt;=3),"",'Base Encuesta'!Q453)</f>
        <v/>
      </c>
      <c r="L479" t="str">
        <f>IF(OR('Base Encuesta'!R453="",IFERROR(VALUE(LEFT('Base Encuesta'!K453,1)),"")&gt;=3),"",VALUE(LEFT('Base Encuesta'!R453,1)))</f>
        <v/>
      </c>
      <c r="M479" t="str">
        <f>IF(OR('Base Encuesta'!S453="",IFERROR(VALUE(LEFT('Base Encuesta'!K453,1)),"")&gt;=3),"",VALUE(LEFT('Base Encuesta'!S453,1)))</f>
        <v/>
      </c>
      <c r="N479" t="str">
        <f>IF(OR('Base Encuesta'!T453="",IFERROR(VALUE(LEFT('Base Encuesta'!K453,1)),"")&gt;=3),"",VALUE(LEFT('Base Encuesta'!T453,1)))</f>
        <v/>
      </c>
      <c r="O479" t="str">
        <f>IF(OR('Base Encuesta'!V453="",IFERROR(VALUE(LEFT('Base Encuesta'!K453,1)),"")&gt;=3),"",VALUE(LEFT('Base Encuesta'!V453,1)))</f>
        <v/>
      </c>
      <c r="P479" t="str">
        <f>IF(OR('Base Encuesta'!W453="",IFERROR(VALUE(LEFT('Base Encuesta'!K453,1)),"")&gt;=3),"",VALUE(LEFT('Base Encuesta'!W453,1)))</f>
        <v/>
      </c>
      <c r="Q479" t="str">
        <f>IF(OR('Base Encuesta'!X453="",IFERROR(VALUE(LEFT('Base Encuesta'!K453,1)),"")&gt;=3),"",VALUE(LEFT('Base Encuesta'!X453,1)))</f>
        <v/>
      </c>
      <c r="R479" t="str">
        <f>IF(OR('Base Encuesta'!Y453="",IFERROR(VALUE(LEFT('Base Encuesta'!K453,1)),"")&gt;=3),"",VALUE(LEFT('Base Encuesta'!Y453,1)))</f>
        <v/>
      </c>
      <c r="S479" t="str">
        <f>IF(OR('Base Encuesta'!Z453="",IFERROR(VALUE(LEFT('Base Encuesta'!K453,1)),"")&gt;=3),"",VALUE(LEFT('Base Encuesta'!Z453,1)))</f>
        <v/>
      </c>
      <c r="T479" t="str">
        <f>IF(OR('Base Encuesta'!AA453="",IFERROR(VALUE(LEFT('Base Encuesta'!K453,1)),"")&gt;=3),"",VALUE(LEFT('Base Encuesta'!AA453,1)))</f>
        <v/>
      </c>
      <c r="U479" t="str">
        <f>IF(OR('Base Encuesta'!AB453="",IFERROR(VALUE(LEFT('Base Encuesta'!K453,1)),"")&gt;=3),"",VALUE(LEFT('Base Encuesta'!AB453,1)))</f>
        <v/>
      </c>
      <c r="V479" t="str">
        <f>IF(OR('Base Encuesta'!AC453="",IFERROR(VALUE(LEFT('Base Encuesta'!K453,1)),"")&gt;=3),"",VALUE(LEFT('Base Encuesta'!AC453,1)))</f>
        <v/>
      </c>
      <c r="W479" t="str">
        <f>IF(OR('Base Encuesta'!AE453="",IFERROR(VALUE(LEFT('Base Encuesta'!K453,1)),"")&gt;=3),"",VALUE(LEFT('Base Encuesta'!AE453,1)))</f>
        <v/>
      </c>
      <c r="X479" t="str">
        <f>IF(OR('Base Encuesta'!AF453="",IFERROR(VALUE(LEFT('Base Encuesta'!K453,1)),"")&gt;=3),"",IF(W479=1,VALUE(LEFT('Base Encuesta'!AF453,1)),""))</f>
        <v/>
      </c>
      <c r="Y479" t="str">
        <f>IF(OR('Base Encuesta'!AG453="",IFERROR(VALUE(LEFT('Base Encuesta'!K453,1)),"")&gt;=3),"",IF(W479=1,VALUE(LEFT('Base Encuesta'!AG453,1)),""))</f>
        <v/>
      </c>
      <c r="Z479" t="str">
        <f>IF(OR('Base Encuesta'!AH453="",IFERROR(VALUE(LEFT('Base Encuesta'!K453,1)),"")&gt;=3),"",IF(W479=1,VALUE(LEFT('Base Encuesta'!AH453,1)),""))</f>
        <v/>
      </c>
      <c r="AA479" t="str">
        <f>IF(OR('Base Encuesta'!AI453="",IFERROR(VALUE(LEFT('Base Encuesta'!K453,1)),"")&gt;=3),"",IF(W479=1,VALUE(LEFT('Base Encuesta'!AI453,1)),""))</f>
        <v/>
      </c>
      <c r="AB479" t="str">
        <f>IF(OR('Base Encuesta'!AJ453="",IFERROR(VALUE(LEFT('Base Encuesta'!K453,1)),"")&gt;=3),"",IF(W479=1,VALUE(LEFT('Base Encuesta'!AJ453,1)),""))</f>
        <v/>
      </c>
      <c r="AC479" t="str">
        <f>IF(OR('Base Encuesta'!AL453="",IFERROR(VALUE(LEFT('Base Encuesta'!K453,1)),"")&gt;=3),"",VALUE(LEFT('Base Encuesta'!AL453,1)))</f>
        <v/>
      </c>
      <c r="AD479" t="str">
        <f>IF(OR('Base Encuesta'!AM453="",IFERROR(VALUE(LEFT('Base Encuesta'!K453,1)),"")&gt;=3),"",VALUE(LEFT('Base Encuesta'!AM453,1)))</f>
        <v/>
      </c>
      <c r="AE479" t="str">
        <f>IF(OR('Base Encuesta'!AN453="",IFERROR(VALUE(LEFT('Base Encuesta'!K453,1)),"")&gt;=3),"",VALUE(LEFT('Base Encuesta'!AN453,1)))</f>
        <v/>
      </c>
      <c r="AF479" t="str">
        <f>IF(OR('Base Encuesta'!AO453="",IFERROR(VALUE(LEFT('Base Encuesta'!K453,1)),"")&gt;=3),"",VALUE(LEFT('Base Encuesta'!AO453,1)))</f>
        <v/>
      </c>
      <c r="AG479" t="str">
        <f>IF(OR('Base Encuesta'!AQ453="",IFERROR(VALUE(LEFT('Base Encuesta'!K453,1)),"")&gt;=3),"",VALUE(LEFT('Base Encuesta'!AQ453,1)))</f>
        <v/>
      </c>
      <c r="AH479" t="str">
        <f>IF(OR('Base Encuesta'!AR453="",IFERROR(VALUE(LEFT('Base Encuesta'!K453,1)),"")&gt;=3),"",VALUE(LEFT('Base Encuesta'!AR453,1)))</f>
        <v/>
      </c>
    </row>
    <row r="480" spans="1:34">
      <c r="A480" t="str">
        <f>IF('Base Encuesta'!C454="","",'Base Encuesta'!C454)</f>
        <v/>
      </c>
      <c r="B480" t="str">
        <f>IF('Base Encuesta'!D454="","",'Base Encuesta'!D454)</f>
        <v/>
      </c>
      <c r="C480" t="str">
        <f>IF('Base Encuesta'!E454="","",'Base Encuesta'!E454)</f>
        <v/>
      </c>
      <c r="D480" t="str">
        <f>IF('Base Encuesta'!F454="","",'Base Encuesta'!F454)</f>
        <v/>
      </c>
      <c r="E480" t="str">
        <f>IF('Base Encuesta'!G454="","",'Base Encuesta'!G454)</f>
        <v/>
      </c>
      <c r="F480" t="str">
        <f>IF('Base Encuesta'!H454="","",'Base Encuesta'!H454)</f>
        <v/>
      </c>
      <c r="G480" t="str">
        <f>IF('Base Encuesta'!I454="","",'Base Encuesta'!I454)</f>
        <v/>
      </c>
      <c r="H480" t="str">
        <f>IF('Base Encuesta'!J454="","",'Base Encuesta'!J454)</f>
        <v/>
      </c>
      <c r="I480" t="str">
        <f>IF('Base Encuesta'!K454="","",'Base Encuesta'!K454)</f>
        <v/>
      </c>
      <c r="J480" t="str">
        <f>IF(OR('Base Encuesta'!P454="",IFERROR(VALUE(LEFT('Base Encuesta'!K454,1)),"")&gt;=3),"",PROPER(TRIM('Base Encuesta'!P454)))</f>
        <v/>
      </c>
      <c r="K480" t="str">
        <f>IF(OR('Base Encuesta'!Q454="",IFERROR(VALUE(LEFT('Base Encuesta'!K454,1)),"")&gt;=3),"",'Base Encuesta'!Q454)</f>
        <v/>
      </c>
      <c r="L480" t="str">
        <f>IF(OR('Base Encuesta'!R454="",IFERROR(VALUE(LEFT('Base Encuesta'!K454,1)),"")&gt;=3),"",VALUE(LEFT('Base Encuesta'!R454,1)))</f>
        <v/>
      </c>
      <c r="M480" t="str">
        <f>IF(OR('Base Encuesta'!S454="",IFERROR(VALUE(LEFT('Base Encuesta'!K454,1)),"")&gt;=3),"",VALUE(LEFT('Base Encuesta'!S454,1)))</f>
        <v/>
      </c>
      <c r="N480" t="str">
        <f>IF(OR('Base Encuesta'!T454="",IFERROR(VALUE(LEFT('Base Encuesta'!K454,1)),"")&gt;=3),"",VALUE(LEFT('Base Encuesta'!T454,1)))</f>
        <v/>
      </c>
      <c r="O480" t="str">
        <f>IF(OR('Base Encuesta'!V454="",IFERROR(VALUE(LEFT('Base Encuesta'!K454,1)),"")&gt;=3),"",VALUE(LEFT('Base Encuesta'!V454,1)))</f>
        <v/>
      </c>
      <c r="P480" t="str">
        <f>IF(OR('Base Encuesta'!W454="",IFERROR(VALUE(LEFT('Base Encuesta'!K454,1)),"")&gt;=3),"",VALUE(LEFT('Base Encuesta'!W454,1)))</f>
        <v/>
      </c>
      <c r="Q480" t="str">
        <f>IF(OR('Base Encuesta'!X454="",IFERROR(VALUE(LEFT('Base Encuesta'!K454,1)),"")&gt;=3),"",VALUE(LEFT('Base Encuesta'!X454,1)))</f>
        <v/>
      </c>
      <c r="R480" t="str">
        <f>IF(OR('Base Encuesta'!Y454="",IFERROR(VALUE(LEFT('Base Encuesta'!K454,1)),"")&gt;=3),"",VALUE(LEFT('Base Encuesta'!Y454,1)))</f>
        <v/>
      </c>
      <c r="S480" t="str">
        <f>IF(OR('Base Encuesta'!Z454="",IFERROR(VALUE(LEFT('Base Encuesta'!K454,1)),"")&gt;=3),"",VALUE(LEFT('Base Encuesta'!Z454,1)))</f>
        <v/>
      </c>
      <c r="T480" t="str">
        <f>IF(OR('Base Encuesta'!AA454="",IFERROR(VALUE(LEFT('Base Encuesta'!K454,1)),"")&gt;=3),"",VALUE(LEFT('Base Encuesta'!AA454,1)))</f>
        <v/>
      </c>
      <c r="U480" t="str">
        <f>IF(OR('Base Encuesta'!AB454="",IFERROR(VALUE(LEFT('Base Encuesta'!K454,1)),"")&gt;=3),"",VALUE(LEFT('Base Encuesta'!AB454,1)))</f>
        <v/>
      </c>
      <c r="V480" t="str">
        <f>IF(OR('Base Encuesta'!AC454="",IFERROR(VALUE(LEFT('Base Encuesta'!K454,1)),"")&gt;=3),"",VALUE(LEFT('Base Encuesta'!AC454,1)))</f>
        <v/>
      </c>
      <c r="W480" t="str">
        <f>IF(OR('Base Encuesta'!AE454="",IFERROR(VALUE(LEFT('Base Encuesta'!K454,1)),"")&gt;=3),"",VALUE(LEFT('Base Encuesta'!AE454,1)))</f>
        <v/>
      </c>
      <c r="X480" t="str">
        <f>IF(OR('Base Encuesta'!AF454="",IFERROR(VALUE(LEFT('Base Encuesta'!K454,1)),"")&gt;=3),"",IF(W480=1,VALUE(LEFT('Base Encuesta'!AF454,1)),""))</f>
        <v/>
      </c>
      <c r="Y480" t="str">
        <f>IF(OR('Base Encuesta'!AG454="",IFERROR(VALUE(LEFT('Base Encuesta'!K454,1)),"")&gt;=3),"",IF(W480=1,VALUE(LEFT('Base Encuesta'!AG454,1)),""))</f>
        <v/>
      </c>
      <c r="Z480" t="str">
        <f>IF(OR('Base Encuesta'!AH454="",IFERROR(VALUE(LEFT('Base Encuesta'!K454,1)),"")&gt;=3),"",IF(W480=1,VALUE(LEFT('Base Encuesta'!AH454,1)),""))</f>
        <v/>
      </c>
      <c r="AA480" t="str">
        <f>IF(OR('Base Encuesta'!AI454="",IFERROR(VALUE(LEFT('Base Encuesta'!K454,1)),"")&gt;=3),"",IF(W480=1,VALUE(LEFT('Base Encuesta'!AI454,1)),""))</f>
        <v/>
      </c>
      <c r="AB480" t="str">
        <f>IF(OR('Base Encuesta'!AJ454="",IFERROR(VALUE(LEFT('Base Encuesta'!K454,1)),"")&gt;=3),"",IF(W480=1,VALUE(LEFT('Base Encuesta'!AJ454,1)),""))</f>
        <v/>
      </c>
      <c r="AC480" t="str">
        <f>IF(OR('Base Encuesta'!AL454="",IFERROR(VALUE(LEFT('Base Encuesta'!K454,1)),"")&gt;=3),"",VALUE(LEFT('Base Encuesta'!AL454,1)))</f>
        <v/>
      </c>
      <c r="AD480" t="str">
        <f>IF(OR('Base Encuesta'!AM454="",IFERROR(VALUE(LEFT('Base Encuesta'!K454,1)),"")&gt;=3),"",VALUE(LEFT('Base Encuesta'!AM454,1)))</f>
        <v/>
      </c>
      <c r="AE480" t="str">
        <f>IF(OR('Base Encuesta'!AN454="",IFERROR(VALUE(LEFT('Base Encuesta'!K454,1)),"")&gt;=3),"",VALUE(LEFT('Base Encuesta'!AN454,1)))</f>
        <v/>
      </c>
      <c r="AF480" t="str">
        <f>IF(OR('Base Encuesta'!AO454="",IFERROR(VALUE(LEFT('Base Encuesta'!K454,1)),"")&gt;=3),"",VALUE(LEFT('Base Encuesta'!AO454,1)))</f>
        <v/>
      </c>
      <c r="AG480" t="str">
        <f>IF(OR('Base Encuesta'!AQ454="",IFERROR(VALUE(LEFT('Base Encuesta'!K454,1)),"")&gt;=3),"",VALUE(LEFT('Base Encuesta'!AQ454,1)))</f>
        <v/>
      </c>
      <c r="AH480" t="str">
        <f>IF(OR('Base Encuesta'!AR454="",IFERROR(VALUE(LEFT('Base Encuesta'!K454,1)),"")&gt;=3),"",VALUE(LEFT('Base Encuesta'!AR454,1)))</f>
        <v/>
      </c>
    </row>
    <row r="481" spans="1:34">
      <c r="A481" t="str">
        <f>IF('Base Encuesta'!C455="","",'Base Encuesta'!C455)</f>
        <v/>
      </c>
      <c r="B481" t="str">
        <f>IF('Base Encuesta'!D455="","",'Base Encuesta'!D455)</f>
        <v/>
      </c>
      <c r="C481" t="str">
        <f>IF('Base Encuesta'!E455="","",'Base Encuesta'!E455)</f>
        <v/>
      </c>
      <c r="D481" t="str">
        <f>IF('Base Encuesta'!F455="","",'Base Encuesta'!F455)</f>
        <v/>
      </c>
      <c r="E481" t="str">
        <f>IF('Base Encuesta'!G455="","",'Base Encuesta'!G455)</f>
        <v/>
      </c>
      <c r="F481" t="str">
        <f>IF('Base Encuesta'!H455="","",'Base Encuesta'!H455)</f>
        <v/>
      </c>
      <c r="G481" t="str">
        <f>IF('Base Encuesta'!I455="","",'Base Encuesta'!I455)</f>
        <v/>
      </c>
      <c r="H481" t="str">
        <f>IF('Base Encuesta'!J455="","",'Base Encuesta'!J455)</f>
        <v/>
      </c>
      <c r="I481" t="str">
        <f>IF('Base Encuesta'!K455="","",'Base Encuesta'!K455)</f>
        <v/>
      </c>
      <c r="J481" t="str">
        <f>IF(OR('Base Encuesta'!P455="",IFERROR(VALUE(LEFT('Base Encuesta'!K455,1)),"")&gt;=3),"",PROPER(TRIM('Base Encuesta'!P455)))</f>
        <v/>
      </c>
      <c r="K481" t="str">
        <f>IF(OR('Base Encuesta'!Q455="",IFERROR(VALUE(LEFT('Base Encuesta'!K455,1)),"")&gt;=3),"",'Base Encuesta'!Q455)</f>
        <v/>
      </c>
      <c r="L481" t="str">
        <f>IF(OR('Base Encuesta'!R455="",IFERROR(VALUE(LEFT('Base Encuesta'!K455,1)),"")&gt;=3),"",VALUE(LEFT('Base Encuesta'!R455,1)))</f>
        <v/>
      </c>
      <c r="M481" t="str">
        <f>IF(OR('Base Encuesta'!S455="",IFERROR(VALUE(LEFT('Base Encuesta'!K455,1)),"")&gt;=3),"",VALUE(LEFT('Base Encuesta'!S455,1)))</f>
        <v/>
      </c>
      <c r="N481" t="str">
        <f>IF(OR('Base Encuesta'!T455="",IFERROR(VALUE(LEFT('Base Encuesta'!K455,1)),"")&gt;=3),"",VALUE(LEFT('Base Encuesta'!T455,1)))</f>
        <v/>
      </c>
      <c r="O481" t="str">
        <f>IF(OR('Base Encuesta'!V455="",IFERROR(VALUE(LEFT('Base Encuesta'!K455,1)),"")&gt;=3),"",VALUE(LEFT('Base Encuesta'!V455,1)))</f>
        <v/>
      </c>
      <c r="P481" t="str">
        <f>IF(OR('Base Encuesta'!W455="",IFERROR(VALUE(LEFT('Base Encuesta'!K455,1)),"")&gt;=3),"",VALUE(LEFT('Base Encuesta'!W455,1)))</f>
        <v/>
      </c>
      <c r="Q481" t="str">
        <f>IF(OR('Base Encuesta'!X455="",IFERROR(VALUE(LEFT('Base Encuesta'!K455,1)),"")&gt;=3),"",VALUE(LEFT('Base Encuesta'!X455,1)))</f>
        <v/>
      </c>
      <c r="R481" t="str">
        <f>IF(OR('Base Encuesta'!Y455="",IFERROR(VALUE(LEFT('Base Encuesta'!K455,1)),"")&gt;=3),"",VALUE(LEFT('Base Encuesta'!Y455,1)))</f>
        <v/>
      </c>
      <c r="S481" t="str">
        <f>IF(OR('Base Encuesta'!Z455="",IFERROR(VALUE(LEFT('Base Encuesta'!K455,1)),"")&gt;=3),"",VALUE(LEFT('Base Encuesta'!Z455,1)))</f>
        <v/>
      </c>
      <c r="T481" t="str">
        <f>IF(OR('Base Encuesta'!AA455="",IFERROR(VALUE(LEFT('Base Encuesta'!K455,1)),"")&gt;=3),"",VALUE(LEFT('Base Encuesta'!AA455,1)))</f>
        <v/>
      </c>
      <c r="U481" t="str">
        <f>IF(OR('Base Encuesta'!AB455="",IFERROR(VALUE(LEFT('Base Encuesta'!K455,1)),"")&gt;=3),"",VALUE(LEFT('Base Encuesta'!AB455,1)))</f>
        <v/>
      </c>
      <c r="V481" t="str">
        <f>IF(OR('Base Encuesta'!AC455="",IFERROR(VALUE(LEFT('Base Encuesta'!K455,1)),"")&gt;=3),"",VALUE(LEFT('Base Encuesta'!AC455,1)))</f>
        <v/>
      </c>
      <c r="W481" t="str">
        <f>IF(OR('Base Encuesta'!AE455="",IFERROR(VALUE(LEFT('Base Encuesta'!K455,1)),"")&gt;=3),"",VALUE(LEFT('Base Encuesta'!AE455,1)))</f>
        <v/>
      </c>
      <c r="X481" t="str">
        <f>IF(OR('Base Encuesta'!AF455="",IFERROR(VALUE(LEFT('Base Encuesta'!K455,1)),"")&gt;=3),"",IF(W481=1,VALUE(LEFT('Base Encuesta'!AF455,1)),""))</f>
        <v/>
      </c>
      <c r="Y481" t="str">
        <f>IF(OR('Base Encuesta'!AG455="",IFERROR(VALUE(LEFT('Base Encuesta'!K455,1)),"")&gt;=3),"",IF(W481=1,VALUE(LEFT('Base Encuesta'!AG455,1)),""))</f>
        <v/>
      </c>
      <c r="Z481" t="str">
        <f>IF(OR('Base Encuesta'!AH455="",IFERROR(VALUE(LEFT('Base Encuesta'!K455,1)),"")&gt;=3),"",IF(W481=1,VALUE(LEFT('Base Encuesta'!AH455,1)),""))</f>
        <v/>
      </c>
      <c r="AA481" t="str">
        <f>IF(OR('Base Encuesta'!AI455="",IFERROR(VALUE(LEFT('Base Encuesta'!K455,1)),"")&gt;=3),"",IF(W481=1,VALUE(LEFT('Base Encuesta'!AI455,1)),""))</f>
        <v/>
      </c>
      <c r="AB481" t="str">
        <f>IF(OR('Base Encuesta'!AJ455="",IFERROR(VALUE(LEFT('Base Encuesta'!K455,1)),"")&gt;=3),"",IF(W481=1,VALUE(LEFT('Base Encuesta'!AJ455,1)),""))</f>
        <v/>
      </c>
      <c r="AC481" t="str">
        <f>IF(OR('Base Encuesta'!AL455="",IFERROR(VALUE(LEFT('Base Encuesta'!K455,1)),"")&gt;=3),"",VALUE(LEFT('Base Encuesta'!AL455,1)))</f>
        <v/>
      </c>
      <c r="AD481" t="str">
        <f>IF(OR('Base Encuesta'!AM455="",IFERROR(VALUE(LEFT('Base Encuesta'!K455,1)),"")&gt;=3),"",VALUE(LEFT('Base Encuesta'!AM455,1)))</f>
        <v/>
      </c>
      <c r="AE481" t="str">
        <f>IF(OR('Base Encuesta'!AN455="",IFERROR(VALUE(LEFT('Base Encuesta'!K455,1)),"")&gt;=3),"",VALUE(LEFT('Base Encuesta'!AN455,1)))</f>
        <v/>
      </c>
      <c r="AF481" t="str">
        <f>IF(OR('Base Encuesta'!AO455="",IFERROR(VALUE(LEFT('Base Encuesta'!K455,1)),"")&gt;=3),"",VALUE(LEFT('Base Encuesta'!AO455,1)))</f>
        <v/>
      </c>
      <c r="AG481" t="str">
        <f>IF(OR('Base Encuesta'!AQ455="",IFERROR(VALUE(LEFT('Base Encuesta'!K455,1)),"")&gt;=3),"",VALUE(LEFT('Base Encuesta'!AQ455,1)))</f>
        <v/>
      </c>
      <c r="AH481" t="str">
        <f>IF(OR('Base Encuesta'!AR455="",IFERROR(VALUE(LEFT('Base Encuesta'!K455,1)),"")&gt;=3),"",VALUE(LEFT('Base Encuesta'!AR455,1)))</f>
        <v/>
      </c>
    </row>
    <row r="482" spans="1:34">
      <c r="A482" t="str">
        <f>IF('Base Encuesta'!C456="","",'Base Encuesta'!C456)</f>
        <v/>
      </c>
      <c r="B482" t="str">
        <f>IF('Base Encuesta'!D456="","",'Base Encuesta'!D456)</f>
        <v/>
      </c>
      <c r="C482" t="str">
        <f>IF('Base Encuesta'!E456="","",'Base Encuesta'!E456)</f>
        <v/>
      </c>
      <c r="D482" t="str">
        <f>IF('Base Encuesta'!F456="","",'Base Encuesta'!F456)</f>
        <v/>
      </c>
      <c r="E482" t="str">
        <f>IF('Base Encuesta'!G456="","",'Base Encuesta'!G456)</f>
        <v/>
      </c>
      <c r="F482" t="str">
        <f>IF('Base Encuesta'!H456="","",'Base Encuesta'!H456)</f>
        <v/>
      </c>
      <c r="G482" t="str">
        <f>IF('Base Encuesta'!I456="","",'Base Encuesta'!I456)</f>
        <v/>
      </c>
      <c r="H482" t="str">
        <f>IF('Base Encuesta'!J456="","",'Base Encuesta'!J456)</f>
        <v/>
      </c>
      <c r="I482" t="str">
        <f>IF('Base Encuesta'!K456="","",'Base Encuesta'!K456)</f>
        <v/>
      </c>
      <c r="J482" t="str">
        <f>IF(OR('Base Encuesta'!P456="",IFERROR(VALUE(LEFT('Base Encuesta'!K456,1)),"")&gt;=3),"",PROPER(TRIM('Base Encuesta'!P456)))</f>
        <v/>
      </c>
      <c r="K482" t="str">
        <f>IF(OR('Base Encuesta'!Q456="",IFERROR(VALUE(LEFT('Base Encuesta'!K456,1)),"")&gt;=3),"",'Base Encuesta'!Q456)</f>
        <v/>
      </c>
      <c r="L482" t="str">
        <f>IF(OR('Base Encuesta'!R456="",IFERROR(VALUE(LEFT('Base Encuesta'!K456,1)),"")&gt;=3),"",VALUE(LEFT('Base Encuesta'!R456,1)))</f>
        <v/>
      </c>
      <c r="M482" t="str">
        <f>IF(OR('Base Encuesta'!S456="",IFERROR(VALUE(LEFT('Base Encuesta'!K456,1)),"")&gt;=3),"",VALUE(LEFT('Base Encuesta'!S456,1)))</f>
        <v/>
      </c>
      <c r="N482" t="str">
        <f>IF(OR('Base Encuesta'!T456="",IFERROR(VALUE(LEFT('Base Encuesta'!K456,1)),"")&gt;=3),"",VALUE(LEFT('Base Encuesta'!T456,1)))</f>
        <v/>
      </c>
      <c r="O482" t="str">
        <f>IF(OR('Base Encuesta'!V456="",IFERROR(VALUE(LEFT('Base Encuesta'!K456,1)),"")&gt;=3),"",VALUE(LEFT('Base Encuesta'!V456,1)))</f>
        <v/>
      </c>
      <c r="P482" t="str">
        <f>IF(OR('Base Encuesta'!W456="",IFERROR(VALUE(LEFT('Base Encuesta'!K456,1)),"")&gt;=3),"",VALUE(LEFT('Base Encuesta'!W456,1)))</f>
        <v/>
      </c>
      <c r="Q482" t="str">
        <f>IF(OR('Base Encuesta'!X456="",IFERROR(VALUE(LEFT('Base Encuesta'!K456,1)),"")&gt;=3),"",VALUE(LEFT('Base Encuesta'!X456,1)))</f>
        <v/>
      </c>
      <c r="R482" t="str">
        <f>IF(OR('Base Encuesta'!Y456="",IFERROR(VALUE(LEFT('Base Encuesta'!K456,1)),"")&gt;=3),"",VALUE(LEFT('Base Encuesta'!Y456,1)))</f>
        <v/>
      </c>
      <c r="S482" t="str">
        <f>IF(OR('Base Encuesta'!Z456="",IFERROR(VALUE(LEFT('Base Encuesta'!K456,1)),"")&gt;=3),"",VALUE(LEFT('Base Encuesta'!Z456,1)))</f>
        <v/>
      </c>
      <c r="T482" t="str">
        <f>IF(OR('Base Encuesta'!AA456="",IFERROR(VALUE(LEFT('Base Encuesta'!K456,1)),"")&gt;=3),"",VALUE(LEFT('Base Encuesta'!AA456,1)))</f>
        <v/>
      </c>
      <c r="U482" t="str">
        <f>IF(OR('Base Encuesta'!AB456="",IFERROR(VALUE(LEFT('Base Encuesta'!K456,1)),"")&gt;=3),"",VALUE(LEFT('Base Encuesta'!AB456,1)))</f>
        <v/>
      </c>
      <c r="V482" t="str">
        <f>IF(OR('Base Encuesta'!AC456="",IFERROR(VALUE(LEFT('Base Encuesta'!K456,1)),"")&gt;=3),"",VALUE(LEFT('Base Encuesta'!AC456,1)))</f>
        <v/>
      </c>
      <c r="W482" t="str">
        <f>IF(OR('Base Encuesta'!AE456="",IFERROR(VALUE(LEFT('Base Encuesta'!K456,1)),"")&gt;=3),"",VALUE(LEFT('Base Encuesta'!AE456,1)))</f>
        <v/>
      </c>
      <c r="X482" t="str">
        <f>IF(OR('Base Encuesta'!AF456="",IFERROR(VALUE(LEFT('Base Encuesta'!K456,1)),"")&gt;=3),"",IF(W482=1,VALUE(LEFT('Base Encuesta'!AF456,1)),""))</f>
        <v/>
      </c>
      <c r="Y482" t="str">
        <f>IF(OR('Base Encuesta'!AG456="",IFERROR(VALUE(LEFT('Base Encuesta'!K456,1)),"")&gt;=3),"",IF(W482=1,VALUE(LEFT('Base Encuesta'!AG456,1)),""))</f>
        <v/>
      </c>
      <c r="Z482" t="str">
        <f>IF(OR('Base Encuesta'!AH456="",IFERROR(VALUE(LEFT('Base Encuesta'!K456,1)),"")&gt;=3),"",IF(W482=1,VALUE(LEFT('Base Encuesta'!AH456,1)),""))</f>
        <v/>
      </c>
      <c r="AA482" t="str">
        <f>IF(OR('Base Encuesta'!AI456="",IFERROR(VALUE(LEFT('Base Encuesta'!K456,1)),"")&gt;=3),"",IF(W482=1,VALUE(LEFT('Base Encuesta'!AI456,1)),""))</f>
        <v/>
      </c>
      <c r="AB482" t="str">
        <f>IF(OR('Base Encuesta'!AJ456="",IFERROR(VALUE(LEFT('Base Encuesta'!K456,1)),"")&gt;=3),"",IF(W482=1,VALUE(LEFT('Base Encuesta'!AJ456,1)),""))</f>
        <v/>
      </c>
      <c r="AC482" t="str">
        <f>IF(OR('Base Encuesta'!AL456="",IFERROR(VALUE(LEFT('Base Encuesta'!K456,1)),"")&gt;=3),"",VALUE(LEFT('Base Encuesta'!AL456,1)))</f>
        <v/>
      </c>
      <c r="AD482" t="str">
        <f>IF(OR('Base Encuesta'!AM456="",IFERROR(VALUE(LEFT('Base Encuesta'!K456,1)),"")&gt;=3),"",VALUE(LEFT('Base Encuesta'!AM456,1)))</f>
        <v/>
      </c>
      <c r="AE482" t="str">
        <f>IF(OR('Base Encuesta'!AN456="",IFERROR(VALUE(LEFT('Base Encuesta'!K456,1)),"")&gt;=3),"",VALUE(LEFT('Base Encuesta'!AN456,1)))</f>
        <v/>
      </c>
      <c r="AF482" t="str">
        <f>IF(OR('Base Encuesta'!AO456="",IFERROR(VALUE(LEFT('Base Encuesta'!K456,1)),"")&gt;=3),"",VALUE(LEFT('Base Encuesta'!AO456,1)))</f>
        <v/>
      </c>
      <c r="AG482" t="str">
        <f>IF(OR('Base Encuesta'!AQ456="",IFERROR(VALUE(LEFT('Base Encuesta'!K456,1)),"")&gt;=3),"",VALUE(LEFT('Base Encuesta'!AQ456,1)))</f>
        <v/>
      </c>
      <c r="AH482" t="str">
        <f>IF(OR('Base Encuesta'!AR456="",IFERROR(VALUE(LEFT('Base Encuesta'!K456,1)),"")&gt;=3),"",VALUE(LEFT('Base Encuesta'!AR456,1)))</f>
        <v/>
      </c>
    </row>
    <row r="483" spans="1:34">
      <c r="A483" t="str">
        <f>IF('Base Encuesta'!C457="","",'Base Encuesta'!C457)</f>
        <v/>
      </c>
      <c r="B483" t="str">
        <f>IF('Base Encuesta'!D457="","",'Base Encuesta'!D457)</f>
        <v/>
      </c>
      <c r="C483" t="str">
        <f>IF('Base Encuesta'!E457="","",'Base Encuesta'!E457)</f>
        <v/>
      </c>
      <c r="D483" t="str">
        <f>IF('Base Encuesta'!F457="","",'Base Encuesta'!F457)</f>
        <v/>
      </c>
      <c r="E483" t="str">
        <f>IF('Base Encuesta'!G457="","",'Base Encuesta'!G457)</f>
        <v/>
      </c>
      <c r="F483" t="str">
        <f>IF('Base Encuesta'!H457="","",'Base Encuesta'!H457)</f>
        <v/>
      </c>
      <c r="G483" t="str">
        <f>IF('Base Encuesta'!I457="","",'Base Encuesta'!I457)</f>
        <v/>
      </c>
      <c r="H483" t="str">
        <f>IF('Base Encuesta'!J457="","",'Base Encuesta'!J457)</f>
        <v/>
      </c>
      <c r="I483" t="str">
        <f>IF('Base Encuesta'!K457="","",'Base Encuesta'!K457)</f>
        <v/>
      </c>
      <c r="J483" t="str">
        <f>IF(OR('Base Encuesta'!P457="",IFERROR(VALUE(LEFT('Base Encuesta'!K457,1)),"")&gt;=3),"",PROPER(TRIM('Base Encuesta'!P457)))</f>
        <v/>
      </c>
      <c r="K483" t="str">
        <f>IF(OR('Base Encuesta'!Q457="",IFERROR(VALUE(LEFT('Base Encuesta'!K457,1)),"")&gt;=3),"",'Base Encuesta'!Q457)</f>
        <v/>
      </c>
      <c r="L483" t="str">
        <f>IF(OR('Base Encuesta'!R457="",IFERROR(VALUE(LEFT('Base Encuesta'!K457,1)),"")&gt;=3),"",VALUE(LEFT('Base Encuesta'!R457,1)))</f>
        <v/>
      </c>
      <c r="M483" t="str">
        <f>IF(OR('Base Encuesta'!S457="",IFERROR(VALUE(LEFT('Base Encuesta'!K457,1)),"")&gt;=3),"",VALUE(LEFT('Base Encuesta'!S457,1)))</f>
        <v/>
      </c>
      <c r="N483" t="str">
        <f>IF(OR('Base Encuesta'!T457="",IFERROR(VALUE(LEFT('Base Encuesta'!K457,1)),"")&gt;=3),"",VALUE(LEFT('Base Encuesta'!T457,1)))</f>
        <v/>
      </c>
      <c r="O483" t="str">
        <f>IF(OR('Base Encuesta'!V457="",IFERROR(VALUE(LEFT('Base Encuesta'!K457,1)),"")&gt;=3),"",VALUE(LEFT('Base Encuesta'!V457,1)))</f>
        <v/>
      </c>
      <c r="P483" t="str">
        <f>IF(OR('Base Encuesta'!W457="",IFERROR(VALUE(LEFT('Base Encuesta'!K457,1)),"")&gt;=3),"",VALUE(LEFT('Base Encuesta'!W457,1)))</f>
        <v/>
      </c>
      <c r="Q483" t="str">
        <f>IF(OR('Base Encuesta'!X457="",IFERROR(VALUE(LEFT('Base Encuesta'!K457,1)),"")&gt;=3),"",VALUE(LEFT('Base Encuesta'!X457,1)))</f>
        <v/>
      </c>
      <c r="R483" t="str">
        <f>IF(OR('Base Encuesta'!Y457="",IFERROR(VALUE(LEFT('Base Encuesta'!K457,1)),"")&gt;=3),"",VALUE(LEFT('Base Encuesta'!Y457,1)))</f>
        <v/>
      </c>
      <c r="S483" t="str">
        <f>IF(OR('Base Encuesta'!Z457="",IFERROR(VALUE(LEFT('Base Encuesta'!K457,1)),"")&gt;=3),"",VALUE(LEFT('Base Encuesta'!Z457,1)))</f>
        <v/>
      </c>
      <c r="T483" t="str">
        <f>IF(OR('Base Encuesta'!AA457="",IFERROR(VALUE(LEFT('Base Encuesta'!K457,1)),"")&gt;=3),"",VALUE(LEFT('Base Encuesta'!AA457,1)))</f>
        <v/>
      </c>
      <c r="U483" t="str">
        <f>IF(OR('Base Encuesta'!AB457="",IFERROR(VALUE(LEFT('Base Encuesta'!K457,1)),"")&gt;=3),"",VALUE(LEFT('Base Encuesta'!AB457,1)))</f>
        <v/>
      </c>
      <c r="V483" t="str">
        <f>IF(OR('Base Encuesta'!AC457="",IFERROR(VALUE(LEFT('Base Encuesta'!K457,1)),"")&gt;=3),"",VALUE(LEFT('Base Encuesta'!AC457,1)))</f>
        <v/>
      </c>
      <c r="W483" t="str">
        <f>IF(OR('Base Encuesta'!AE457="",IFERROR(VALUE(LEFT('Base Encuesta'!K457,1)),"")&gt;=3),"",VALUE(LEFT('Base Encuesta'!AE457,1)))</f>
        <v/>
      </c>
      <c r="X483" t="str">
        <f>IF(OR('Base Encuesta'!AF457="",IFERROR(VALUE(LEFT('Base Encuesta'!K457,1)),"")&gt;=3),"",IF(W483=1,VALUE(LEFT('Base Encuesta'!AF457,1)),""))</f>
        <v/>
      </c>
      <c r="Y483" t="str">
        <f>IF(OR('Base Encuesta'!AG457="",IFERROR(VALUE(LEFT('Base Encuesta'!K457,1)),"")&gt;=3),"",IF(W483=1,VALUE(LEFT('Base Encuesta'!AG457,1)),""))</f>
        <v/>
      </c>
      <c r="Z483" t="str">
        <f>IF(OR('Base Encuesta'!AH457="",IFERROR(VALUE(LEFT('Base Encuesta'!K457,1)),"")&gt;=3),"",IF(W483=1,VALUE(LEFT('Base Encuesta'!AH457,1)),""))</f>
        <v/>
      </c>
      <c r="AA483" t="str">
        <f>IF(OR('Base Encuesta'!AI457="",IFERROR(VALUE(LEFT('Base Encuesta'!K457,1)),"")&gt;=3),"",IF(W483=1,VALUE(LEFT('Base Encuesta'!AI457,1)),""))</f>
        <v/>
      </c>
      <c r="AB483" t="str">
        <f>IF(OR('Base Encuesta'!AJ457="",IFERROR(VALUE(LEFT('Base Encuesta'!K457,1)),"")&gt;=3),"",IF(W483=1,VALUE(LEFT('Base Encuesta'!AJ457,1)),""))</f>
        <v/>
      </c>
      <c r="AC483" t="str">
        <f>IF(OR('Base Encuesta'!AL457="",IFERROR(VALUE(LEFT('Base Encuesta'!K457,1)),"")&gt;=3),"",VALUE(LEFT('Base Encuesta'!AL457,1)))</f>
        <v/>
      </c>
      <c r="AD483" t="str">
        <f>IF(OR('Base Encuesta'!AM457="",IFERROR(VALUE(LEFT('Base Encuesta'!K457,1)),"")&gt;=3),"",VALUE(LEFT('Base Encuesta'!AM457,1)))</f>
        <v/>
      </c>
      <c r="AE483" t="str">
        <f>IF(OR('Base Encuesta'!AN457="",IFERROR(VALUE(LEFT('Base Encuesta'!K457,1)),"")&gt;=3),"",VALUE(LEFT('Base Encuesta'!AN457,1)))</f>
        <v/>
      </c>
      <c r="AF483" t="str">
        <f>IF(OR('Base Encuesta'!AO457="",IFERROR(VALUE(LEFT('Base Encuesta'!K457,1)),"")&gt;=3),"",VALUE(LEFT('Base Encuesta'!AO457,1)))</f>
        <v/>
      </c>
      <c r="AG483" t="str">
        <f>IF(OR('Base Encuesta'!AQ457="",IFERROR(VALUE(LEFT('Base Encuesta'!K457,1)),"")&gt;=3),"",VALUE(LEFT('Base Encuesta'!AQ457,1)))</f>
        <v/>
      </c>
      <c r="AH483" t="str">
        <f>IF(OR('Base Encuesta'!AR457="",IFERROR(VALUE(LEFT('Base Encuesta'!K457,1)),"")&gt;=3),"",VALUE(LEFT('Base Encuesta'!AR457,1)))</f>
        <v/>
      </c>
    </row>
    <row r="484" spans="1:34">
      <c r="A484" t="str">
        <f>IF('Base Encuesta'!C458="","",'Base Encuesta'!C458)</f>
        <v/>
      </c>
      <c r="B484" t="str">
        <f>IF('Base Encuesta'!D458="","",'Base Encuesta'!D458)</f>
        <v/>
      </c>
      <c r="C484" t="str">
        <f>IF('Base Encuesta'!E458="","",'Base Encuesta'!E458)</f>
        <v/>
      </c>
      <c r="D484" t="str">
        <f>IF('Base Encuesta'!F458="","",'Base Encuesta'!F458)</f>
        <v/>
      </c>
      <c r="E484" t="str">
        <f>IF('Base Encuesta'!G458="","",'Base Encuesta'!G458)</f>
        <v/>
      </c>
      <c r="F484" t="str">
        <f>IF('Base Encuesta'!H458="","",'Base Encuesta'!H458)</f>
        <v/>
      </c>
      <c r="G484" t="str">
        <f>IF('Base Encuesta'!I458="","",'Base Encuesta'!I458)</f>
        <v/>
      </c>
      <c r="H484" t="str">
        <f>IF('Base Encuesta'!J458="","",'Base Encuesta'!J458)</f>
        <v/>
      </c>
      <c r="I484" t="str">
        <f>IF('Base Encuesta'!K458="","",'Base Encuesta'!K458)</f>
        <v/>
      </c>
      <c r="J484" t="str">
        <f>IF(OR('Base Encuesta'!P458="",IFERROR(VALUE(LEFT('Base Encuesta'!K458,1)),"")&gt;=3),"",PROPER(TRIM('Base Encuesta'!P458)))</f>
        <v/>
      </c>
      <c r="K484" t="str">
        <f>IF(OR('Base Encuesta'!Q458="",IFERROR(VALUE(LEFT('Base Encuesta'!K458,1)),"")&gt;=3),"",'Base Encuesta'!Q458)</f>
        <v/>
      </c>
      <c r="L484" t="str">
        <f>IF(OR('Base Encuesta'!R458="",IFERROR(VALUE(LEFT('Base Encuesta'!K458,1)),"")&gt;=3),"",VALUE(LEFT('Base Encuesta'!R458,1)))</f>
        <v/>
      </c>
      <c r="M484" t="str">
        <f>IF(OR('Base Encuesta'!S458="",IFERROR(VALUE(LEFT('Base Encuesta'!K458,1)),"")&gt;=3),"",VALUE(LEFT('Base Encuesta'!S458,1)))</f>
        <v/>
      </c>
      <c r="N484" t="str">
        <f>IF(OR('Base Encuesta'!T458="",IFERROR(VALUE(LEFT('Base Encuesta'!K458,1)),"")&gt;=3),"",VALUE(LEFT('Base Encuesta'!T458,1)))</f>
        <v/>
      </c>
      <c r="O484" t="str">
        <f>IF(OR('Base Encuesta'!V458="",IFERROR(VALUE(LEFT('Base Encuesta'!K458,1)),"")&gt;=3),"",VALUE(LEFT('Base Encuesta'!V458,1)))</f>
        <v/>
      </c>
      <c r="P484" t="str">
        <f>IF(OR('Base Encuesta'!W458="",IFERROR(VALUE(LEFT('Base Encuesta'!K458,1)),"")&gt;=3),"",VALUE(LEFT('Base Encuesta'!W458,1)))</f>
        <v/>
      </c>
      <c r="Q484" t="str">
        <f>IF(OR('Base Encuesta'!X458="",IFERROR(VALUE(LEFT('Base Encuesta'!K458,1)),"")&gt;=3),"",VALUE(LEFT('Base Encuesta'!X458,1)))</f>
        <v/>
      </c>
      <c r="R484" t="str">
        <f>IF(OR('Base Encuesta'!Y458="",IFERROR(VALUE(LEFT('Base Encuesta'!K458,1)),"")&gt;=3),"",VALUE(LEFT('Base Encuesta'!Y458,1)))</f>
        <v/>
      </c>
      <c r="S484" t="str">
        <f>IF(OR('Base Encuesta'!Z458="",IFERROR(VALUE(LEFT('Base Encuesta'!K458,1)),"")&gt;=3),"",VALUE(LEFT('Base Encuesta'!Z458,1)))</f>
        <v/>
      </c>
      <c r="T484" t="str">
        <f>IF(OR('Base Encuesta'!AA458="",IFERROR(VALUE(LEFT('Base Encuesta'!K458,1)),"")&gt;=3),"",VALUE(LEFT('Base Encuesta'!AA458,1)))</f>
        <v/>
      </c>
      <c r="U484" t="str">
        <f>IF(OR('Base Encuesta'!AB458="",IFERROR(VALUE(LEFT('Base Encuesta'!K458,1)),"")&gt;=3),"",VALUE(LEFT('Base Encuesta'!AB458,1)))</f>
        <v/>
      </c>
      <c r="V484" t="str">
        <f>IF(OR('Base Encuesta'!AC458="",IFERROR(VALUE(LEFT('Base Encuesta'!K458,1)),"")&gt;=3),"",VALUE(LEFT('Base Encuesta'!AC458,1)))</f>
        <v/>
      </c>
      <c r="W484" t="str">
        <f>IF(OR('Base Encuesta'!AE458="",IFERROR(VALUE(LEFT('Base Encuesta'!K458,1)),"")&gt;=3),"",VALUE(LEFT('Base Encuesta'!AE458,1)))</f>
        <v/>
      </c>
      <c r="X484" t="str">
        <f>IF(OR('Base Encuesta'!AF458="",IFERROR(VALUE(LEFT('Base Encuesta'!K458,1)),"")&gt;=3),"",IF(W484=1,VALUE(LEFT('Base Encuesta'!AF458,1)),""))</f>
        <v/>
      </c>
      <c r="Y484" t="str">
        <f>IF(OR('Base Encuesta'!AG458="",IFERROR(VALUE(LEFT('Base Encuesta'!K458,1)),"")&gt;=3),"",IF(W484=1,VALUE(LEFT('Base Encuesta'!AG458,1)),""))</f>
        <v/>
      </c>
      <c r="Z484" t="str">
        <f>IF(OR('Base Encuesta'!AH458="",IFERROR(VALUE(LEFT('Base Encuesta'!K458,1)),"")&gt;=3),"",IF(W484=1,VALUE(LEFT('Base Encuesta'!AH458,1)),""))</f>
        <v/>
      </c>
      <c r="AA484" t="str">
        <f>IF(OR('Base Encuesta'!AI458="",IFERROR(VALUE(LEFT('Base Encuesta'!K458,1)),"")&gt;=3),"",IF(W484=1,VALUE(LEFT('Base Encuesta'!AI458,1)),""))</f>
        <v/>
      </c>
      <c r="AB484" t="str">
        <f>IF(OR('Base Encuesta'!AJ458="",IFERROR(VALUE(LEFT('Base Encuesta'!K458,1)),"")&gt;=3),"",IF(W484=1,VALUE(LEFT('Base Encuesta'!AJ458,1)),""))</f>
        <v/>
      </c>
      <c r="AC484" t="str">
        <f>IF(OR('Base Encuesta'!AL458="",IFERROR(VALUE(LEFT('Base Encuesta'!K458,1)),"")&gt;=3),"",VALUE(LEFT('Base Encuesta'!AL458,1)))</f>
        <v/>
      </c>
      <c r="AD484" t="str">
        <f>IF(OR('Base Encuesta'!AM458="",IFERROR(VALUE(LEFT('Base Encuesta'!K458,1)),"")&gt;=3),"",VALUE(LEFT('Base Encuesta'!AM458,1)))</f>
        <v/>
      </c>
      <c r="AE484" t="str">
        <f>IF(OR('Base Encuesta'!AN458="",IFERROR(VALUE(LEFT('Base Encuesta'!K458,1)),"")&gt;=3),"",VALUE(LEFT('Base Encuesta'!AN458,1)))</f>
        <v/>
      </c>
      <c r="AF484" t="str">
        <f>IF(OR('Base Encuesta'!AO458="",IFERROR(VALUE(LEFT('Base Encuesta'!K458,1)),"")&gt;=3),"",VALUE(LEFT('Base Encuesta'!AO458,1)))</f>
        <v/>
      </c>
      <c r="AG484" t="str">
        <f>IF(OR('Base Encuesta'!AQ458="",IFERROR(VALUE(LEFT('Base Encuesta'!K458,1)),"")&gt;=3),"",VALUE(LEFT('Base Encuesta'!AQ458,1)))</f>
        <v/>
      </c>
      <c r="AH484" t="str">
        <f>IF(OR('Base Encuesta'!AR458="",IFERROR(VALUE(LEFT('Base Encuesta'!K458,1)),"")&gt;=3),"",VALUE(LEFT('Base Encuesta'!AR458,1)))</f>
        <v/>
      </c>
    </row>
    <row r="485" spans="1:34">
      <c r="A485" t="str">
        <f>IF('Base Encuesta'!C459="","",'Base Encuesta'!C459)</f>
        <v/>
      </c>
      <c r="B485" t="str">
        <f>IF('Base Encuesta'!D459="","",'Base Encuesta'!D459)</f>
        <v/>
      </c>
      <c r="C485" t="str">
        <f>IF('Base Encuesta'!E459="","",'Base Encuesta'!E459)</f>
        <v/>
      </c>
      <c r="D485" t="str">
        <f>IF('Base Encuesta'!F459="","",'Base Encuesta'!F459)</f>
        <v/>
      </c>
      <c r="E485" t="str">
        <f>IF('Base Encuesta'!G459="","",'Base Encuesta'!G459)</f>
        <v/>
      </c>
      <c r="F485" t="str">
        <f>IF('Base Encuesta'!H459="","",'Base Encuesta'!H459)</f>
        <v/>
      </c>
      <c r="G485" t="str">
        <f>IF('Base Encuesta'!I459="","",'Base Encuesta'!I459)</f>
        <v/>
      </c>
      <c r="H485" t="str">
        <f>IF('Base Encuesta'!J459="","",'Base Encuesta'!J459)</f>
        <v/>
      </c>
      <c r="I485" t="str">
        <f>IF('Base Encuesta'!K459="","",'Base Encuesta'!K459)</f>
        <v/>
      </c>
      <c r="J485" t="str">
        <f>IF(OR('Base Encuesta'!P459="",IFERROR(VALUE(LEFT('Base Encuesta'!K459,1)),"")&gt;=3),"",PROPER(TRIM('Base Encuesta'!P459)))</f>
        <v/>
      </c>
      <c r="K485" t="str">
        <f>IF(OR('Base Encuesta'!Q459="",IFERROR(VALUE(LEFT('Base Encuesta'!K459,1)),"")&gt;=3),"",'Base Encuesta'!Q459)</f>
        <v/>
      </c>
      <c r="L485" t="str">
        <f>IF(OR('Base Encuesta'!R459="",IFERROR(VALUE(LEFT('Base Encuesta'!K459,1)),"")&gt;=3),"",VALUE(LEFT('Base Encuesta'!R459,1)))</f>
        <v/>
      </c>
      <c r="M485" t="str">
        <f>IF(OR('Base Encuesta'!S459="",IFERROR(VALUE(LEFT('Base Encuesta'!K459,1)),"")&gt;=3),"",VALUE(LEFT('Base Encuesta'!S459,1)))</f>
        <v/>
      </c>
      <c r="N485" t="str">
        <f>IF(OR('Base Encuesta'!T459="",IFERROR(VALUE(LEFT('Base Encuesta'!K459,1)),"")&gt;=3),"",VALUE(LEFT('Base Encuesta'!T459,1)))</f>
        <v/>
      </c>
      <c r="O485" t="str">
        <f>IF(OR('Base Encuesta'!V459="",IFERROR(VALUE(LEFT('Base Encuesta'!K459,1)),"")&gt;=3),"",VALUE(LEFT('Base Encuesta'!V459,1)))</f>
        <v/>
      </c>
      <c r="P485" t="str">
        <f>IF(OR('Base Encuesta'!W459="",IFERROR(VALUE(LEFT('Base Encuesta'!K459,1)),"")&gt;=3),"",VALUE(LEFT('Base Encuesta'!W459,1)))</f>
        <v/>
      </c>
      <c r="Q485" t="str">
        <f>IF(OR('Base Encuesta'!X459="",IFERROR(VALUE(LEFT('Base Encuesta'!K459,1)),"")&gt;=3),"",VALUE(LEFT('Base Encuesta'!X459,1)))</f>
        <v/>
      </c>
      <c r="R485" t="str">
        <f>IF(OR('Base Encuesta'!Y459="",IFERROR(VALUE(LEFT('Base Encuesta'!K459,1)),"")&gt;=3),"",VALUE(LEFT('Base Encuesta'!Y459,1)))</f>
        <v/>
      </c>
      <c r="S485" t="str">
        <f>IF(OR('Base Encuesta'!Z459="",IFERROR(VALUE(LEFT('Base Encuesta'!K459,1)),"")&gt;=3),"",VALUE(LEFT('Base Encuesta'!Z459,1)))</f>
        <v/>
      </c>
      <c r="T485" t="str">
        <f>IF(OR('Base Encuesta'!AA459="",IFERROR(VALUE(LEFT('Base Encuesta'!K459,1)),"")&gt;=3),"",VALUE(LEFT('Base Encuesta'!AA459,1)))</f>
        <v/>
      </c>
      <c r="U485" t="str">
        <f>IF(OR('Base Encuesta'!AB459="",IFERROR(VALUE(LEFT('Base Encuesta'!K459,1)),"")&gt;=3),"",VALUE(LEFT('Base Encuesta'!AB459,1)))</f>
        <v/>
      </c>
      <c r="V485" t="str">
        <f>IF(OR('Base Encuesta'!AC459="",IFERROR(VALUE(LEFT('Base Encuesta'!K459,1)),"")&gt;=3),"",VALUE(LEFT('Base Encuesta'!AC459,1)))</f>
        <v/>
      </c>
      <c r="W485" t="str">
        <f>IF(OR('Base Encuesta'!AE459="",IFERROR(VALUE(LEFT('Base Encuesta'!K459,1)),"")&gt;=3),"",VALUE(LEFT('Base Encuesta'!AE459,1)))</f>
        <v/>
      </c>
      <c r="X485" t="str">
        <f>IF(OR('Base Encuesta'!AF459="",IFERROR(VALUE(LEFT('Base Encuesta'!K459,1)),"")&gt;=3),"",IF(W485=1,VALUE(LEFT('Base Encuesta'!AF459,1)),""))</f>
        <v/>
      </c>
      <c r="Y485" t="str">
        <f>IF(OR('Base Encuesta'!AG459="",IFERROR(VALUE(LEFT('Base Encuesta'!K459,1)),"")&gt;=3),"",IF(W485=1,VALUE(LEFT('Base Encuesta'!AG459,1)),""))</f>
        <v/>
      </c>
      <c r="Z485" t="str">
        <f>IF(OR('Base Encuesta'!AH459="",IFERROR(VALUE(LEFT('Base Encuesta'!K459,1)),"")&gt;=3),"",IF(W485=1,VALUE(LEFT('Base Encuesta'!AH459,1)),""))</f>
        <v/>
      </c>
      <c r="AA485" t="str">
        <f>IF(OR('Base Encuesta'!AI459="",IFERROR(VALUE(LEFT('Base Encuesta'!K459,1)),"")&gt;=3),"",IF(W485=1,VALUE(LEFT('Base Encuesta'!AI459,1)),""))</f>
        <v/>
      </c>
      <c r="AB485" t="str">
        <f>IF(OR('Base Encuesta'!AJ459="",IFERROR(VALUE(LEFT('Base Encuesta'!K459,1)),"")&gt;=3),"",IF(W485=1,VALUE(LEFT('Base Encuesta'!AJ459,1)),""))</f>
        <v/>
      </c>
      <c r="AC485" t="str">
        <f>IF(OR('Base Encuesta'!AL459="",IFERROR(VALUE(LEFT('Base Encuesta'!K459,1)),"")&gt;=3),"",VALUE(LEFT('Base Encuesta'!AL459,1)))</f>
        <v/>
      </c>
      <c r="AD485" t="str">
        <f>IF(OR('Base Encuesta'!AM459="",IFERROR(VALUE(LEFT('Base Encuesta'!K459,1)),"")&gt;=3),"",VALUE(LEFT('Base Encuesta'!AM459,1)))</f>
        <v/>
      </c>
      <c r="AE485" t="str">
        <f>IF(OR('Base Encuesta'!AN459="",IFERROR(VALUE(LEFT('Base Encuesta'!K459,1)),"")&gt;=3),"",VALUE(LEFT('Base Encuesta'!AN459,1)))</f>
        <v/>
      </c>
      <c r="AF485" t="str">
        <f>IF(OR('Base Encuesta'!AO459="",IFERROR(VALUE(LEFT('Base Encuesta'!K459,1)),"")&gt;=3),"",VALUE(LEFT('Base Encuesta'!AO459,1)))</f>
        <v/>
      </c>
      <c r="AG485" t="str">
        <f>IF(OR('Base Encuesta'!AQ459="",IFERROR(VALUE(LEFT('Base Encuesta'!K459,1)),"")&gt;=3),"",VALUE(LEFT('Base Encuesta'!AQ459,1)))</f>
        <v/>
      </c>
      <c r="AH485" t="str">
        <f>IF(OR('Base Encuesta'!AR459="",IFERROR(VALUE(LEFT('Base Encuesta'!K459,1)),"")&gt;=3),"",VALUE(LEFT('Base Encuesta'!AR459,1)))</f>
        <v/>
      </c>
    </row>
    <row r="486" spans="1:34">
      <c r="A486" t="str">
        <f>IF('Base Encuesta'!C460="","",'Base Encuesta'!C460)</f>
        <v/>
      </c>
      <c r="B486" t="str">
        <f>IF('Base Encuesta'!D460="","",'Base Encuesta'!D460)</f>
        <v/>
      </c>
      <c r="C486" t="str">
        <f>IF('Base Encuesta'!E460="","",'Base Encuesta'!E460)</f>
        <v/>
      </c>
      <c r="D486" t="str">
        <f>IF('Base Encuesta'!F460="","",'Base Encuesta'!F460)</f>
        <v/>
      </c>
      <c r="E486" t="str">
        <f>IF('Base Encuesta'!G460="","",'Base Encuesta'!G460)</f>
        <v/>
      </c>
      <c r="F486" t="str">
        <f>IF('Base Encuesta'!H460="","",'Base Encuesta'!H460)</f>
        <v/>
      </c>
      <c r="G486" t="str">
        <f>IF('Base Encuesta'!I460="","",'Base Encuesta'!I460)</f>
        <v/>
      </c>
      <c r="H486" t="str">
        <f>IF('Base Encuesta'!J460="","",'Base Encuesta'!J460)</f>
        <v/>
      </c>
      <c r="I486" t="str">
        <f>IF('Base Encuesta'!K460="","",'Base Encuesta'!K460)</f>
        <v/>
      </c>
      <c r="J486" t="str">
        <f>IF(OR('Base Encuesta'!P460="",IFERROR(VALUE(LEFT('Base Encuesta'!K460,1)),"")&gt;=3),"",PROPER(TRIM('Base Encuesta'!P460)))</f>
        <v/>
      </c>
      <c r="K486" t="str">
        <f>IF(OR('Base Encuesta'!Q460="",IFERROR(VALUE(LEFT('Base Encuesta'!K460,1)),"")&gt;=3),"",'Base Encuesta'!Q460)</f>
        <v/>
      </c>
      <c r="L486" t="str">
        <f>IF(OR('Base Encuesta'!R460="",IFERROR(VALUE(LEFT('Base Encuesta'!K460,1)),"")&gt;=3),"",VALUE(LEFT('Base Encuesta'!R460,1)))</f>
        <v/>
      </c>
      <c r="M486" t="str">
        <f>IF(OR('Base Encuesta'!S460="",IFERROR(VALUE(LEFT('Base Encuesta'!K460,1)),"")&gt;=3),"",VALUE(LEFT('Base Encuesta'!S460,1)))</f>
        <v/>
      </c>
      <c r="N486" t="str">
        <f>IF(OR('Base Encuesta'!T460="",IFERROR(VALUE(LEFT('Base Encuesta'!K460,1)),"")&gt;=3),"",VALUE(LEFT('Base Encuesta'!T460,1)))</f>
        <v/>
      </c>
      <c r="O486" t="str">
        <f>IF(OR('Base Encuesta'!V460="",IFERROR(VALUE(LEFT('Base Encuesta'!K460,1)),"")&gt;=3),"",VALUE(LEFT('Base Encuesta'!V460,1)))</f>
        <v/>
      </c>
      <c r="P486" t="str">
        <f>IF(OR('Base Encuesta'!W460="",IFERROR(VALUE(LEFT('Base Encuesta'!K460,1)),"")&gt;=3),"",VALUE(LEFT('Base Encuesta'!W460,1)))</f>
        <v/>
      </c>
      <c r="Q486" t="str">
        <f>IF(OR('Base Encuesta'!X460="",IFERROR(VALUE(LEFT('Base Encuesta'!K460,1)),"")&gt;=3),"",VALUE(LEFT('Base Encuesta'!X460,1)))</f>
        <v/>
      </c>
      <c r="R486" t="str">
        <f>IF(OR('Base Encuesta'!Y460="",IFERROR(VALUE(LEFT('Base Encuesta'!K460,1)),"")&gt;=3),"",VALUE(LEFT('Base Encuesta'!Y460,1)))</f>
        <v/>
      </c>
      <c r="S486" t="str">
        <f>IF(OR('Base Encuesta'!Z460="",IFERROR(VALUE(LEFT('Base Encuesta'!K460,1)),"")&gt;=3),"",VALUE(LEFT('Base Encuesta'!Z460,1)))</f>
        <v/>
      </c>
      <c r="T486" t="str">
        <f>IF(OR('Base Encuesta'!AA460="",IFERROR(VALUE(LEFT('Base Encuesta'!K460,1)),"")&gt;=3),"",VALUE(LEFT('Base Encuesta'!AA460,1)))</f>
        <v/>
      </c>
      <c r="U486" t="str">
        <f>IF(OR('Base Encuesta'!AB460="",IFERROR(VALUE(LEFT('Base Encuesta'!K460,1)),"")&gt;=3),"",VALUE(LEFT('Base Encuesta'!AB460,1)))</f>
        <v/>
      </c>
      <c r="V486" t="str">
        <f>IF(OR('Base Encuesta'!AC460="",IFERROR(VALUE(LEFT('Base Encuesta'!K460,1)),"")&gt;=3),"",VALUE(LEFT('Base Encuesta'!AC460,1)))</f>
        <v/>
      </c>
      <c r="W486" t="str">
        <f>IF(OR('Base Encuesta'!AE460="",IFERROR(VALUE(LEFT('Base Encuesta'!K460,1)),"")&gt;=3),"",VALUE(LEFT('Base Encuesta'!AE460,1)))</f>
        <v/>
      </c>
      <c r="X486" t="str">
        <f>IF(OR('Base Encuesta'!AF460="",IFERROR(VALUE(LEFT('Base Encuesta'!K460,1)),"")&gt;=3),"",IF(W486=1,VALUE(LEFT('Base Encuesta'!AF460,1)),""))</f>
        <v/>
      </c>
      <c r="Y486" t="str">
        <f>IF(OR('Base Encuesta'!AG460="",IFERROR(VALUE(LEFT('Base Encuesta'!K460,1)),"")&gt;=3),"",IF(W486=1,VALUE(LEFT('Base Encuesta'!AG460,1)),""))</f>
        <v/>
      </c>
      <c r="Z486" t="str">
        <f>IF(OR('Base Encuesta'!AH460="",IFERROR(VALUE(LEFT('Base Encuesta'!K460,1)),"")&gt;=3),"",IF(W486=1,VALUE(LEFT('Base Encuesta'!AH460,1)),""))</f>
        <v/>
      </c>
      <c r="AA486" t="str">
        <f>IF(OR('Base Encuesta'!AI460="",IFERROR(VALUE(LEFT('Base Encuesta'!K460,1)),"")&gt;=3),"",IF(W486=1,VALUE(LEFT('Base Encuesta'!AI460,1)),""))</f>
        <v/>
      </c>
      <c r="AB486" t="str">
        <f>IF(OR('Base Encuesta'!AJ460="",IFERROR(VALUE(LEFT('Base Encuesta'!K460,1)),"")&gt;=3),"",IF(W486=1,VALUE(LEFT('Base Encuesta'!AJ460,1)),""))</f>
        <v/>
      </c>
      <c r="AC486" t="str">
        <f>IF(OR('Base Encuesta'!AL460="",IFERROR(VALUE(LEFT('Base Encuesta'!K460,1)),"")&gt;=3),"",VALUE(LEFT('Base Encuesta'!AL460,1)))</f>
        <v/>
      </c>
      <c r="AD486" t="str">
        <f>IF(OR('Base Encuesta'!AM460="",IFERROR(VALUE(LEFT('Base Encuesta'!K460,1)),"")&gt;=3),"",VALUE(LEFT('Base Encuesta'!AM460,1)))</f>
        <v/>
      </c>
      <c r="AE486" t="str">
        <f>IF(OR('Base Encuesta'!AN460="",IFERROR(VALUE(LEFT('Base Encuesta'!K460,1)),"")&gt;=3),"",VALUE(LEFT('Base Encuesta'!AN460,1)))</f>
        <v/>
      </c>
      <c r="AF486" t="str">
        <f>IF(OR('Base Encuesta'!AO460="",IFERROR(VALUE(LEFT('Base Encuesta'!K460,1)),"")&gt;=3),"",VALUE(LEFT('Base Encuesta'!AO460,1)))</f>
        <v/>
      </c>
      <c r="AG486" t="str">
        <f>IF(OR('Base Encuesta'!AQ460="",IFERROR(VALUE(LEFT('Base Encuesta'!K460,1)),"")&gt;=3),"",VALUE(LEFT('Base Encuesta'!AQ460,1)))</f>
        <v/>
      </c>
      <c r="AH486" t="str">
        <f>IF(OR('Base Encuesta'!AR460="",IFERROR(VALUE(LEFT('Base Encuesta'!K460,1)),"")&gt;=3),"",VALUE(LEFT('Base Encuesta'!AR460,1)))</f>
        <v/>
      </c>
    </row>
    <row r="487" spans="1:34">
      <c r="A487" t="str">
        <f>IF('Base Encuesta'!C461="","",'Base Encuesta'!C461)</f>
        <v/>
      </c>
      <c r="B487" t="str">
        <f>IF('Base Encuesta'!D461="","",'Base Encuesta'!D461)</f>
        <v/>
      </c>
      <c r="C487" t="str">
        <f>IF('Base Encuesta'!E461="","",'Base Encuesta'!E461)</f>
        <v/>
      </c>
      <c r="D487" t="str">
        <f>IF('Base Encuesta'!F461="","",'Base Encuesta'!F461)</f>
        <v/>
      </c>
      <c r="E487" t="str">
        <f>IF('Base Encuesta'!G461="","",'Base Encuesta'!G461)</f>
        <v/>
      </c>
      <c r="F487" t="str">
        <f>IF('Base Encuesta'!H461="","",'Base Encuesta'!H461)</f>
        <v/>
      </c>
      <c r="G487" t="str">
        <f>IF('Base Encuesta'!I461="","",'Base Encuesta'!I461)</f>
        <v/>
      </c>
      <c r="H487" t="str">
        <f>IF('Base Encuesta'!J461="","",'Base Encuesta'!J461)</f>
        <v/>
      </c>
      <c r="I487" t="str">
        <f>IF('Base Encuesta'!K461="","",'Base Encuesta'!K461)</f>
        <v/>
      </c>
      <c r="J487" t="str">
        <f>IF(OR('Base Encuesta'!P461="",IFERROR(VALUE(LEFT('Base Encuesta'!K461,1)),"")&gt;=3),"",PROPER(TRIM('Base Encuesta'!P461)))</f>
        <v/>
      </c>
      <c r="K487" t="str">
        <f>IF(OR('Base Encuesta'!Q461="",IFERROR(VALUE(LEFT('Base Encuesta'!K461,1)),"")&gt;=3),"",'Base Encuesta'!Q461)</f>
        <v/>
      </c>
      <c r="L487" t="str">
        <f>IF(OR('Base Encuesta'!R461="",IFERROR(VALUE(LEFT('Base Encuesta'!K461,1)),"")&gt;=3),"",VALUE(LEFT('Base Encuesta'!R461,1)))</f>
        <v/>
      </c>
      <c r="M487" t="str">
        <f>IF(OR('Base Encuesta'!S461="",IFERROR(VALUE(LEFT('Base Encuesta'!K461,1)),"")&gt;=3),"",VALUE(LEFT('Base Encuesta'!S461,1)))</f>
        <v/>
      </c>
      <c r="N487" t="str">
        <f>IF(OR('Base Encuesta'!T461="",IFERROR(VALUE(LEFT('Base Encuesta'!K461,1)),"")&gt;=3),"",VALUE(LEFT('Base Encuesta'!T461,1)))</f>
        <v/>
      </c>
      <c r="O487" t="str">
        <f>IF(OR('Base Encuesta'!V461="",IFERROR(VALUE(LEFT('Base Encuesta'!K461,1)),"")&gt;=3),"",VALUE(LEFT('Base Encuesta'!V461,1)))</f>
        <v/>
      </c>
      <c r="P487" t="str">
        <f>IF(OR('Base Encuesta'!W461="",IFERROR(VALUE(LEFT('Base Encuesta'!K461,1)),"")&gt;=3),"",VALUE(LEFT('Base Encuesta'!W461,1)))</f>
        <v/>
      </c>
      <c r="Q487" t="str">
        <f>IF(OR('Base Encuesta'!X461="",IFERROR(VALUE(LEFT('Base Encuesta'!K461,1)),"")&gt;=3),"",VALUE(LEFT('Base Encuesta'!X461,1)))</f>
        <v/>
      </c>
      <c r="R487" t="str">
        <f>IF(OR('Base Encuesta'!Y461="",IFERROR(VALUE(LEFT('Base Encuesta'!K461,1)),"")&gt;=3),"",VALUE(LEFT('Base Encuesta'!Y461,1)))</f>
        <v/>
      </c>
      <c r="S487" t="str">
        <f>IF(OR('Base Encuesta'!Z461="",IFERROR(VALUE(LEFT('Base Encuesta'!K461,1)),"")&gt;=3),"",VALUE(LEFT('Base Encuesta'!Z461,1)))</f>
        <v/>
      </c>
      <c r="T487" t="str">
        <f>IF(OR('Base Encuesta'!AA461="",IFERROR(VALUE(LEFT('Base Encuesta'!K461,1)),"")&gt;=3),"",VALUE(LEFT('Base Encuesta'!AA461,1)))</f>
        <v/>
      </c>
      <c r="U487" t="str">
        <f>IF(OR('Base Encuesta'!AB461="",IFERROR(VALUE(LEFT('Base Encuesta'!K461,1)),"")&gt;=3),"",VALUE(LEFT('Base Encuesta'!AB461,1)))</f>
        <v/>
      </c>
      <c r="V487" t="str">
        <f>IF(OR('Base Encuesta'!AC461="",IFERROR(VALUE(LEFT('Base Encuesta'!K461,1)),"")&gt;=3),"",VALUE(LEFT('Base Encuesta'!AC461,1)))</f>
        <v/>
      </c>
      <c r="W487" t="str">
        <f>IF(OR('Base Encuesta'!AE461="",IFERROR(VALUE(LEFT('Base Encuesta'!K461,1)),"")&gt;=3),"",VALUE(LEFT('Base Encuesta'!AE461,1)))</f>
        <v/>
      </c>
      <c r="X487" t="str">
        <f>IF(OR('Base Encuesta'!AF461="",IFERROR(VALUE(LEFT('Base Encuesta'!K461,1)),"")&gt;=3),"",IF(W487=1,VALUE(LEFT('Base Encuesta'!AF461,1)),""))</f>
        <v/>
      </c>
      <c r="Y487" t="str">
        <f>IF(OR('Base Encuesta'!AG461="",IFERROR(VALUE(LEFT('Base Encuesta'!K461,1)),"")&gt;=3),"",IF(W487=1,VALUE(LEFT('Base Encuesta'!AG461,1)),""))</f>
        <v/>
      </c>
      <c r="Z487" t="str">
        <f>IF(OR('Base Encuesta'!AH461="",IFERROR(VALUE(LEFT('Base Encuesta'!K461,1)),"")&gt;=3),"",IF(W487=1,VALUE(LEFT('Base Encuesta'!AH461,1)),""))</f>
        <v/>
      </c>
      <c r="AA487" t="str">
        <f>IF(OR('Base Encuesta'!AI461="",IFERROR(VALUE(LEFT('Base Encuesta'!K461,1)),"")&gt;=3),"",IF(W487=1,VALUE(LEFT('Base Encuesta'!AI461,1)),""))</f>
        <v/>
      </c>
      <c r="AB487" t="str">
        <f>IF(OR('Base Encuesta'!AJ461="",IFERROR(VALUE(LEFT('Base Encuesta'!K461,1)),"")&gt;=3),"",IF(W487=1,VALUE(LEFT('Base Encuesta'!AJ461,1)),""))</f>
        <v/>
      </c>
      <c r="AC487" t="str">
        <f>IF(OR('Base Encuesta'!AL461="",IFERROR(VALUE(LEFT('Base Encuesta'!K461,1)),"")&gt;=3),"",VALUE(LEFT('Base Encuesta'!AL461,1)))</f>
        <v/>
      </c>
      <c r="AD487" t="str">
        <f>IF(OR('Base Encuesta'!AM461="",IFERROR(VALUE(LEFT('Base Encuesta'!K461,1)),"")&gt;=3),"",VALUE(LEFT('Base Encuesta'!AM461,1)))</f>
        <v/>
      </c>
      <c r="AE487" t="str">
        <f>IF(OR('Base Encuesta'!AN461="",IFERROR(VALUE(LEFT('Base Encuesta'!K461,1)),"")&gt;=3),"",VALUE(LEFT('Base Encuesta'!AN461,1)))</f>
        <v/>
      </c>
      <c r="AF487" t="str">
        <f>IF(OR('Base Encuesta'!AO461="",IFERROR(VALUE(LEFT('Base Encuesta'!K461,1)),"")&gt;=3),"",VALUE(LEFT('Base Encuesta'!AO461,1)))</f>
        <v/>
      </c>
      <c r="AG487" t="str">
        <f>IF(OR('Base Encuesta'!AQ461="",IFERROR(VALUE(LEFT('Base Encuesta'!K461,1)),"")&gt;=3),"",VALUE(LEFT('Base Encuesta'!AQ461,1)))</f>
        <v/>
      </c>
      <c r="AH487" t="str">
        <f>IF(OR('Base Encuesta'!AR461="",IFERROR(VALUE(LEFT('Base Encuesta'!K461,1)),"")&gt;=3),"",VALUE(LEFT('Base Encuesta'!AR461,1)))</f>
        <v/>
      </c>
    </row>
    <row r="488" spans="1:34">
      <c r="A488" t="str">
        <f>IF('Base Encuesta'!C462="","",'Base Encuesta'!C462)</f>
        <v/>
      </c>
      <c r="B488" t="str">
        <f>IF('Base Encuesta'!D462="","",'Base Encuesta'!D462)</f>
        <v/>
      </c>
      <c r="C488" t="str">
        <f>IF('Base Encuesta'!E462="","",'Base Encuesta'!E462)</f>
        <v/>
      </c>
      <c r="D488" t="str">
        <f>IF('Base Encuesta'!F462="","",'Base Encuesta'!F462)</f>
        <v/>
      </c>
      <c r="E488" t="str">
        <f>IF('Base Encuesta'!G462="","",'Base Encuesta'!G462)</f>
        <v/>
      </c>
      <c r="F488" t="str">
        <f>IF('Base Encuesta'!H462="","",'Base Encuesta'!H462)</f>
        <v/>
      </c>
      <c r="G488" t="str">
        <f>IF('Base Encuesta'!I462="","",'Base Encuesta'!I462)</f>
        <v/>
      </c>
      <c r="H488" t="str">
        <f>IF('Base Encuesta'!J462="","",'Base Encuesta'!J462)</f>
        <v/>
      </c>
      <c r="I488" t="str">
        <f>IF('Base Encuesta'!K462="","",'Base Encuesta'!K462)</f>
        <v/>
      </c>
      <c r="J488" t="str">
        <f>IF(OR('Base Encuesta'!P462="",IFERROR(VALUE(LEFT('Base Encuesta'!K462,1)),"")&gt;=3),"",PROPER(TRIM('Base Encuesta'!P462)))</f>
        <v/>
      </c>
      <c r="K488" t="str">
        <f>IF(OR('Base Encuesta'!Q462="",IFERROR(VALUE(LEFT('Base Encuesta'!K462,1)),"")&gt;=3),"",'Base Encuesta'!Q462)</f>
        <v/>
      </c>
      <c r="L488" t="str">
        <f>IF(OR('Base Encuesta'!R462="",IFERROR(VALUE(LEFT('Base Encuesta'!K462,1)),"")&gt;=3),"",VALUE(LEFT('Base Encuesta'!R462,1)))</f>
        <v/>
      </c>
      <c r="M488" t="str">
        <f>IF(OR('Base Encuesta'!S462="",IFERROR(VALUE(LEFT('Base Encuesta'!K462,1)),"")&gt;=3),"",VALUE(LEFT('Base Encuesta'!S462,1)))</f>
        <v/>
      </c>
      <c r="N488" t="str">
        <f>IF(OR('Base Encuesta'!T462="",IFERROR(VALUE(LEFT('Base Encuesta'!K462,1)),"")&gt;=3),"",VALUE(LEFT('Base Encuesta'!T462,1)))</f>
        <v/>
      </c>
      <c r="O488" t="str">
        <f>IF(OR('Base Encuesta'!V462="",IFERROR(VALUE(LEFT('Base Encuesta'!K462,1)),"")&gt;=3),"",VALUE(LEFT('Base Encuesta'!V462,1)))</f>
        <v/>
      </c>
      <c r="P488" t="str">
        <f>IF(OR('Base Encuesta'!W462="",IFERROR(VALUE(LEFT('Base Encuesta'!K462,1)),"")&gt;=3),"",VALUE(LEFT('Base Encuesta'!W462,1)))</f>
        <v/>
      </c>
      <c r="Q488" t="str">
        <f>IF(OR('Base Encuesta'!X462="",IFERROR(VALUE(LEFT('Base Encuesta'!K462,1)),"")&gt;=3),"",VALUE(LEFT('Base Encuesta'!X462,1)))</f>
        <v/>
      </c>
      <c r="R488" t="str">
        <f>IF(OR('Base Encuesta'!Y462="",IFERROR(VALUE(LEFT('Base Encuesta'!K462,1)),"")&gt;=3),"",VALUE(LEFT('Base Encuesta'!Y462,1)))</f>
        <v/>
      </c>
      <c r="S488" t="str">
        <f>IF(OR('Base Encuesta'!Z462="",IFERROR(VALUE(LEFT('Base Encuesta'!K462,1)),"")&gt;=3),"",VALUE(LEFT('Base Encuesta'!Z462,1)))</f>
        <v/>
      </c>
      <c r="T488" t="str">
        <f>IF(OR('Base Encuesta'!AA462="",IFERROR(VALUE(LEFT('Base Encuesta'!K462,1)),"")&gt;=3),"",VALUE(LEFT('Base Encuesta'!AA462,1)))</f>
        <v/>
      </c>
      <c r="U488" t="str">
        <f>IF(OR('Base Encuesta'!AB462="",IFERROR(VALUE(LEFT('Base Encuesta'!K462,1)),"")&gt;=3),"",VALUE(LEFT('Base Encuesta'!AB462,1)))</f>
        <v/>
      </c>
      <c r="V488" t="str">
        <f>IF(OR('Base Encuesta'!AC462="",IFERROR(VALUE(LEFT('Base Encuesta'!K462,1)),"")&gt;=3),"",VALUE(LEFT('Base Encuesta'!AC462,1)))</f>
        <v/>
      </c>
      <c r="W488" t="str">
        <f>IF(OR('Base Encuesta'!AE462="",IFERROR(VALUE(LEFT('Base Encuesta'!K462,1)),"")&gt;=3),"",VALUE(LEFT('Base Encuesta'!AE462,1)))</f>
        <v/>
      </c>
      <c r="X488" t="str">
        <f>IF(OR('Base Encuesta'!AF462="",IFERROR(VALUE(LEFT('Base Encuesta'!K462,1)),"")&gt;=3),"",IF(W488=1,VALUE(LEFT('Base Encuesta'!AF462,1)),""))</f>
        <v/>
      </c>
      <c r="Y488" t="str">
        <f>IF(OR('Base Encuesta'!AG462="",IFERROR(VALUE(LEFT('Base Encuesta'!K462,1)),"")&gt;=3),"",IF(W488=1,VALUE(LEFT('Base Encuesta'!AG462,1)),""))</f>
        <v/>
      </c>
      <c r="Z488" t="str">
        <f>IF(OR('Base Encuesta'!AH462="",IFERROR(VALUE(LEFT('Base Encuesta'!K462,1)),"")&gt;=3),"",IF(W488=1,VALUE(LEFT('Base Encuesta'!AH462,1)),""))</f>
        <v/>
      </c>
      <c r="AA488" t="str">
        <f>IF(OR('Base Encuesta'!AI462="",IFERROR(VALUE(LEFT('Base Encuesta'!K462,1)),"")&gt;=3),"",IF(W488=1,VALUE(LEFT('Base Encuesta'!AI462,1)),""))</f>
        <v/>
      </c>
      <c r="AB488" t="str">
        <f>IF(OR('Base Encuesta'!AJ462="",IFERROR(VALUE(LEFT('Base Encuesta'!K462,1)),"")&gt;=3),"",IF(W488=1,VALUE(LEFT('Base Encuesta'!AJ462,1)),""))</f>
        <v/>
      </c>
      <c r="AC488" t="str">
        <f>IF(OR('Base Encuesta'!AL462="",IFERROR(VALUE(LEFT('Base Encuesta'!K462,1)),"")&gt;=3),"",VALUE(LEFT('Base Encuesta'!AL462,1)))</f>
        <v/>
      </c>
      <c r="AD488" t="str">
        <f>IF(OR('Base Encuesta'!AM462="",IFERROR(VALUE(LEFT('Base Encuesta'!K462,1)),"")&gt;=3),"",VALUE(LEFT('Base Encuesta'!AM462,1)))</f>
        <v/>
      </c>
      <c r="AE488" t="str">
        <f>IF(OR('Base Encuesta'!AN462="",IFERROR(VALUE(LEFT('Base Encuesta'!K462,1)),"")&gt;=3),"",VALUE(LEFT('Base Encuesta'!AN462,1)))</f>
        <v/>
      </c>
      <c r="AF488" t="str">
        <f>IF(OR('Base Encuesta'!AO462="",IFERROR(VALUE(LEFT('Base Encuesta'!K462,1)),"")&gt;=3),"",VALUE(LEFT('Base Encuesta'!AO462,1)))</f>
        <v/>
      </c>
      <c r="AG488" t="str">
        <f>IF(OR('Base Encuesta'!AQ462="",IFERROR(VALUE(LEFT('Base Encuesta'!K462,1)),"")&gt;=3),"",VALUE(LEFT('Base Encuesta'!AQ462,1)))</f>
        <v/>
      </c>
      <c r="AH488" t="str">
        <f>IF(OR('Base Encuesta'!AR462="",IFERROR(VALUE(LEFT('Base Encuesta'!K462,1)),"")&gt;=3),"",VALUE(LEFT('Base Encuesta'!AR462,1)))</f>
        <v/>
      </c>
    </row>
    <row r="489" spans="1:34">
      <c r="A489" t="str">
        <f>IF('Base Encuesta'!C463="","",'Base Encuesta'!C463)</f>
        <v/>
      </c>
      <c r="B489" t="str">
        <f>IF('Base Encuesta'!D463="","",'Base Encuesta'!D463)</f>
        <v/>
      </c>
      <c r="C489" t="str">
        <f>IF('Base Encuesta'!E463="","",'Base Encuesta'!E463)</f>
        <v/>
      </c>
      <c r="D489" t="str">
        <f>IF('Base Encuesta'!F463="","",'Base Encuesta'!F463)</f>
        <v/>
      </c>
      <c r="E489" t="str">
        <f>IF('Base Encuesta'!G463="","",'Base Encuesta'!G463)</f>
        <v/>
      </c>
      <c r="F489" t="str">
        <f>IF('Base Encuesta'!H463="","",'Base Encuesta'!H463)</f>
        <v/>
      </c>
      <c r="G489" t="str">
        <f>IF('Base Encuesta'!I463="","",'Base Encuesta'!I463)</f>
        <v/>
      </c>
      <c r="H489" t="str">
        <f>IF('Base Encuesta'!J463="","",'Base Encuesta'!J463)</f>
        <v/>
      </c>
      <c r="I489" t="str">
        <f>IF('Base Encuesta'!K463="","",'Base Encuesta'!K463)</f>
        <v/>
      </c>
      <c r="J489" t="str">
        <f>IF(OR('Base Encuesta'!P463="",IFERROR(VALUE(LEFT('Base Encuesta'!K463,1)),"")&gt;=3),"",PROPER(TRIM('Base Encuesta'!P463)))</f>
        <v/>
      </c>
      <c r="K489" t="str">
        <f>IF(OR('Base Encuesta'!Q463="",IFERROR(VALUE(LEFT('Base Encuesta'!K463,1)),"")&gt;=3),"",'Base Encuesta'!Q463)</f>
        <v/>
      </c>
      <c r="L489" t="str">
        <f>IF(OR('Base Encuesta'!R463="",IFERROR(VALUE(LEFT('Base Encuesta'!K463,1)),"")&gt;=3),"",VALUE(LEFT('Base Encuesta'!R463,1)))</f>
        <v/>
      </c>
      <c r="M489" t="str">
        <f>IF(OR('Base Encuesta'!S463="",IFERROR(VALUE(LEFT('Base Encuesta'!K463,1)),"")&gt;=3),"",VALUE(LEFT('Base Encuesta'!S463,1)))</f>
        <v/>
      </c>
      <c r="N489" t="str">
        <f>IF(OR('Base Encuesta'!T463="",IFERROR(VALUE(LEFT('Base Encuesta'!K463,1)),"")&gt;=3),"",VALUE(LEFT('Base Encuesta'!T463,1)))</f>
        <v/>
      </c>
      <c r="O489" t="str">
        <f>IF(OR('Base Encuesta'!V463="",IFERROR(VALUE(LEFT('Base Encuesta'!K463,1)),"")&gt;=3),"",VALUE(LEFT('Base Encuesta'!V463,1)))</f>
        <v/>
      </c>
      <c r="P489" t="str">
        <f>IF(OR('Base Encuesta'!W463="",IFERROR(VALUE(LEFT('Base Encuesta'!K463,1)),"")&gt;=3),"",VALUE(LEFT('Base Encuesta'!W463,1)))</f>
        <v/>
      </c>
      <c r="Q489" t="str">
        <f>IF(OR('Base Encuesta'!X463="",IFERROR(VALUE(LEFT('Base Encuesta'!K463,1)),"")&gt;=3),"",VALUE(LEFT('Base Encuesta'!X463,1)))</f>
        <v/>
      </c>
      <c r="R489" t="str">
        <f>IF(OR('Base Encuesta'!Y463="",IFERROR(VALUE(LEFT('Base Encuesta'!K463,1)),"")&gt;=3),"",VALUE(LEFT('Base Encuesta'!Y463,1)))</f>
        <v/>
      </c>
      <c r="S489" t="str">
        <f>IF(OR('Base Encuesta'!Z463="",IFERROR(VALUE(LEFT('Base Encuesta'!K463,1)),"")&gt;=3),"",VALUE(LEFT('Base Encuesta'!Z463,1)))</f>
        <v/>
      </c>
      <c r="T489" t="str">
        <f>IF(OR('Base Encuesta'!AA463="",IFERROR(VALUE(LEFT('Base Encuesta'!K463,1)),"")&gt;=3),"",VALUE(LEFT('Base Encuesta'!AA463,1)))</f>
        <v/>
      </c>
      <c r="U489" t="str">
        <f>IF(OR('Base Encuesta'!AB463="",IFERROR(VALUE(LEFT('Base Encuesta'!K463,1)),"")&gt;=3),"",VALUE(LEFT('Base Encuesta'!AB463,1)))</f>
        <v/>
      </c>
      <c r="V489" t="str">
        <f>IF(OR('Base Encuesta'!AC463="",IFERROR(VALUE(LEFT('Base Encuesta'!K463,1)),"")&gt;=3),"",VALUE(LEFT('Base Encuesta'!AC463,1)))</f>
        <v/>
      </c>
      <c r="W489" t="str">
        <f>IF(OR('Base Encuesta'!AE463="",IFERROR(VALUE(LEFT('Base Encuesta'!K463,1)),"")&gt;=3),"",VALUE(LEFT('Base Encuesta'!AE463,1)))</f>
        <v/>
      </c>
      <c r="X489" t="str">
        <f>IF(OR('Base Encuesta'!AF463="",IFERROR(VALUE(LEFT('Base Encuesta'!K463,1)),"")&gt;=3),"",IF(W489=1,VALUE(LEFT('Base Encuesta'!AF463,1)),""))</f>
        <v/>
      </c>
      <c r="Y489" t="str">
        <f>IF(OR('Base Encuesta'!AG463="",IFERROR(VALUE(LEFT('Base Encuesta'!K463,1)),"")&gt;=3),"",IF(W489=1,VALUE(LEFT('Base Encuesta'!AG463,1)),""))</f>
        <v/>
      </c>
      <c r="Z489" t="str">
        <f>IF(OR('Base Encuesta'!AH463="",IFERROR(VALUE(LEFT('Base Encuesta'!K463,1)),"")&gt;=3),"",IF(W489=1,VALUE(LEFT('Base Encuesta'!AH463,1)),""))</f>
        <v/>
      </c>
      <c r="AA489" t="str">
        <f>IF(OR('Base Encuesta'!AI463="",IFERROR(VALUE(LEFT('Base Encuesta'!K463,1)),"")&gt;=3),"",IF(W489=1,VALUE(LEFT('Base Encuesta'!AI463,1)),""))</f>
        <v/>
      </c>
      <c r="AB489" t="str">
        <f>IF(OR('Base Encuesta'!AJ463="",IFERROR(VALUE(LEFT('Base Encuesta'!K463,1)),"")&gt;=3),"",IF(W489=1,VALUE(LEFT('Base Encuesta'!AJ463,1)),""))</f>
        <v/>
      </c>
      <c r="AC489" t="str">
        <f>IF(OR('Base Encuesta'!AL463="",IFERROR(VALUE(LEFT('Base Encuesta'!K463,1)),"")&gt;=3),"",VALUE(LEFT('Base Encuesta'!AL463,1)))</f>
        <v/>
      </c>
      <c r="AD489" t="str">
        <f>IF(OR('Base Encuesta'!AM463="",IFERROR(VALUE(LEFT('Base Encuesta'!K463,1)),"")&gt;=3),"",VALUE(LEFT('Base Encuesta'!AM463,1)))</f>
        <v/>
      </c>
      <c r="AE489" t="str">
        <f>IF(OR('Base Encuesta'!AN463="",IFERROR(VALUE(LEFT('Base Encuesta'!K463,1)),"")&gt;=3),"",VALUE(LEFT('Base Encuesta'!AN463,1)))</f>
        <v/>
      </c>
      <c r="AF489" t="str">
        <f>IF(OR('Base Encuesta'!AO463="",IFERROR(VALUE(LEFT('Base Encuesta'!K463,1)),"")&gt;=3),"",VALUE(LEFT('Base Encuesta'!AO463,1)))</f>
        <v/>
      </c>
      <c r="AG489" t="str">
        <f>IF(OR('Base Encuesta'!AQ463="",IFERROR(VALUE(LEFT('Base Encuesta'!K463,1)),"")&gt;=3),"",VALUE(LEFT('Base Encuesta'!AQ463,1)))</f>
        <v/>
      </c>
      <c r="AH489" t="str">
        <f>IF(OR('Base Encuesta'!AR463="",IFERROR(VALUE(LEFT('Base Encuesta'!K463,1)),"")&gt;=3),"",VALUE(LEFT('Base Encuesta'!AR463,1)))</f>
        <v/>
      </c>
    </row>
    <row r="490" spans="1:34">
      <c r="A490" t="str">
        <f>IF('Base Encuesta'!C464="","",'Base Encuesta'!C464)</f>
        <v/>
      </c>
      <c r="B490" t="str">
        <f>IF('Base Encuesta'!D464="","",'Base Encuesta'!D464)</f>
        <v/>
      </c>
      <c r="C490" t="str">
        <f>IF('Base Encuesta'!E464="","",'Base Encuesta'!E464)</f>
        <v/>
      </c>
      <c r="D490" t="str">
        <f>IF('Base Encuesta'!F464="","",'Base Encuesta'!F464)</f>
        <v/>
      </c>
      <c r="E490" t="str">
        <f>IF('Base Encuesta'!G464="","",'Base Encuesta'!G464)</f>
        <v/>
      </c>
      <c r="F490" t="str">
        <f>IF('Base Encuesta'!H464="","",'Base Encuesta'!H464)</f>
        <v/>
      </c>
      <c r="G490" t="str">
        <f>IF('Base Encuesta'!I464="","",'Base Encuesta'!I464)</f>
        <v/>
      </c>
      <c r="H490" t="str">
        <f>IF('Base Encuesta'!J464="","",'Base Encuesta'!J464)</f>
        <v/>
      </c>
      <c r="I490" t="str">
        <f>IF('Base Encuesta'!K464="","",'Base Encuesta'!K464)</f>
        <v/>
      </c>
      <c r="J490" t="str">
        <f>IF(OR('Base Encuesta'!P464="",IFERROR(VALUE(LEFT('Base Encuesta'!K464,1)),"")&gt;=3),"",PROPER(TRIM('Base Encuesta'!P464)))</f>
        <v/>
      </c>
      <c r="K490" t="str">
        <f>IF(OR('Base Encuesta'!Q464="",IFERROR(VALUE(LEFT('Base Encuesta'!K464,1)),"")&gt;=3),"",'Base Encuesta'!Q464)</f>
        <v/>
      </c>
      <c r="L490" t="str">
        <f>IF(OR('Base Encuesta'!R464="",IFERROR(VALUE(LEFT('Base Encuesta'!K464,1)),"")&gt;=3),"",VALUE(LEFT('Base Encuesta'!R464,1)))</f>
        <v/>
      </c>
      <c r="M490" t="str">
        <f>IF(OR('Base Encuesta'!S464="",IFERROR(VALUE(LEFT('Base Encuesta'!K464,1)),"")&gt;=3),"",VALUE(LEFT('Base Encuesta'!S464,1)))</f>
        <v/>
      </c>
      <c r="N490" t="str">
        <f>IF(OR('Base Encuesta'!T464="",IFERROR(VALUE(LEFT('Base Encuesta'!K464,1)),"")&gt;=3),"",VALUE(LEFT('Base Encuesta'!T464,1)))</f>
        <v/>
      </c>
      <c r="O490" t="str">
        <f>IF(OR('Base Encuesta'!V464="",IFERROR(VALUE(LEFT('Base Encuesta'!K464,1)),"")&gt;=3),"",VALUE(LEFT('Base Encuesta'!V464,1)))</f>
        <v/>
      </c>
      <c r="P490" t="str">
        <f>IF(OR('Base Encuesta'!W464="",IFERROR(VALUE(LEFT('Base Encuesta'!K464,1)),"")&gt;=3),"",VALUE(LEFT('Base Encuesta'!W464,1)))</f>
        <v/>
      </c>
      <c r="Q490" t="str">
        <f>IF(OR('Base Encuesta'!X464="",IFERROR(VALUE(LEFT('Base Encuesta'!K464,1)),"")&gt;=3),"",VALUE(LEFT('Base Encuesta'!X464,1)))</f>
        <v/>
      </c>
      <c r="R490" t="str">
        <f>IF(OR('Base Encuesta'!Y464="",IFERROR(VALUE(LEFT('Base Encuesta'!K464,1)),"")&gt;=3),"",VALUE(LEFT('Base Encuesta'!Y464,1)))</f>
        <v/>
      </c>
      <c r="S490" t="str">
        <f>IF(OR('Base Encuesta'!Z464="",IFERROR(VALUE(LEFT('Base Encuesta'!K464,1)),"")&gt;=3),"",VALUE(LEFT('Base Encuesta'!Z464,1)))</f>
        <v/>
      </c>
      <c r="T490" t="str">
        <f>IF(OR('Base Encuesta'!AA464="",IFERROR(VALUE(LEFT('Base Encuesta'!K464,1)),"")&gt;=3),"",VALUE(LEFT('Base Encuesta'!AA464,1)))</f>
        <v/>
      </c>
      <c r="U490" t="str">
        <f>IF(OR('Base Encuesta'!AB464="",IFERROR(VALUE(LEFT('Base Encuesta'!K464,1)),"")&gt;=3),"",VALUE(LEFT('Base Encuesta'!AB464,1)))</f>
        <v/>
      </c>
      <c r="V490" t="str">
        <f>IF(OR('Base Encuesta'!AC464="",IFERROR(VALUE(LEFT('Base Encuesta'!K464,1)),"")&gt;=3),"",VALUE(LEFT('Base Encuesta'!AC464,1)))</f>
        <v/>
      </c>
      <c r="W490" t="str">
        <f>IF(OR('Base Encuesta'!AE464="",IFERROR(VALUE(LEFT('Base Encuesta'!K464,1)),"")&gt;=3),"",VALUE(LEFT('Base Encuesta'!AE464,1)))</f>
        <v/>
      </c>
      <c r="X490" t="str">
        <f>IF(OR('Base Encuesta'!AF464="",IFERROR(VALUE(LEFT('Base Encuesta'!K464,1)),"")&gt;=3),"",IF(W490=1,VALUE(LEFT('Base Encuesta'!AF464,1)),""))</f>
        <v/>
      </c>
      <c r="Y490" t="str">
        <f>IF(OR('Base Encuesta'!AG464="",IFERROR(VALUE(LEFT('Base Encuesta'!K464,1)),"")&gt;=3),"",IF(W490=1,VALUE(LEFT('Base Encuesta'!AG464,1)),""))</f>
        <v/>
      </c>
      <c r="Z490" t="str">
        <f>IF(OR('Base Encuesta'!AH464="",IFERROR(VALUE(LEFT('Base Encuesta'!K464,1)),"")&gt;=3),"",IF(W490=1,VALUE(LEFT('Base Encuesta'!AH464,1)),""))</f>
        <v/>
      </c>
      <c r="AA490" t="str">
        <f>IF(OR('Base Encuesta'!AI464="",IFERROR(VALUE(LEFT('Base Encuesta'!K464,1)),"")&gt;=3),"",IF(W490=1,VALUE(LEFT('Base Encuesta'!AI464,1)),""))</f>
        <v/>
      </c>
      <c r="AB490" t="str">
        <f>IF(OR('Base Encuesta'!AJ464="",IFERROR(VALUE(LEFT('Base Encuesta'!K464,1)),"")&gt;=3),"",IF(W490=1,VALUE(LEFT('Base Encuesta'!AJ464,1)),""))</f>
        <v/>
      </c>
      <c r="AC490" t="str">
        <f>IF(OR('Base Encuesta'!AL464="",IFERROR(VALUE(LEFT('Base Encuesta'!K464,1)),"")&gt;=3),"",VALUE(LEFT('Base Encuesta'!AL464,1)))</f>
        <v/>
      </c>
      <c r="AD490" t="str">
        <f>IF(OR('Base Encuesta'!AM464="",IFERROR(VALUE(LEFT('Base Encuesta'!K464,1)),"")&gt;=3),"",VALUE(LEFT('Base Encuesta'!AM464,1)))</f>
        <v/>
      </c>
      <c r="AE490" t="str">
        <f>IF(OR('Base Encuesta'!AN464="",IFERROR(VALUE(LEFT('Base Encuesta'!K464,1)),"")&gt;=3),"",VALUE(LEFT('Base Encuesta'!AN464,1)))</f>
        <v/>
      </c>
      <c r="AF490" t="str">
        <f>IF(OR('Base Encuesta'!AO464="",IFERROR(VALUE(LEFT('Base Encuesta'!K464,1)),"")&gt;=3),"",VALUE(LEFT('Base Encuesta'!AO464,1)))</f>
        <v/>
      </c>
      <c r="AG490" t="str">
        <f>IF(OR('Base Encuesta'!AQ464="",IFERROR(VALUE(LEFT('Base Encuesta'!K464,1)),"")&gt;=3),"",VALUE(LEFT('Base Encuesta'!AQ464,1)))</f>
        <v/>
      </c>
      <c r="AH490" t="str">
        <f>IF(OR('Base Encuesta'!AR464="",IFERROR(VALUE(LEFT('Base Encuesta'!K464,1)),"")&gt;=3),"",VALUE(LEFT('Base Encuesta'!AR464,1)))</f>
        <v/>
      </c>
    </row>
    <row r="491" spans="1:34">
      <c r="A491" t="str">
        <f>IF('Base Encuesta'!C465="","",'Base Encuesta'!C465)</f>
        <v/>
      </c>
      <c r="B491" t="str">
        <f>IF('Base Encuesta'!D465="","",'Base Encuesta'!D465)</f>
        <v/>
      </c>
      <c r="C491" t="str">
        <f>IF('Base Encuesta'!E465="","",'Base Encuesta'!E465)</f>
        <v/>
      </c>
      <c r="D491" t="str">
        <f>IF('Base Encuesta'!F465="","",'Base Encuesta'!F465)</f>
        <v/>
      </c>
      <c r="E491" t="str">
        <f>IF('Base Encuesta'!G465="","",'Base Encuesta'!G465)</f>
        <v/>
      </c>
      <c r="F491" t="str">
        <f>IF('Base Encuesta'!H465="","",'Base Encuesta'!H465)</f>
        <v/>
      </c>
      <c r="G491" t="str">
        <f>IF('Base Encuesta'!I465="","",'Base Encuesta'!I465)</f>
        <v/>
      </c>
      <c r="H491" t="str">
        <f>IF('Base Encuesta'!J465="","",'Base Encuesta'!J465)</f>
        <v/>
      </c>
      <c r="I491" t="str">
        <f>IF('Base Encuesta'!K465="","",'Base Encuesta'!K465)</f>
        <v/>
      </c>
      <c r="J491" t="str">
        <f>IF(OR('Base Encuesta'!P465="",IFERROR(VALUE(LEFT('Base Encuesta'!K465,1)),"")&gt;=3),"",PROPER(TRIM('Base Encuesta'!P465)))</f>
        <v/>
      </c>
      <c r="K491" t="str">
        <f>IF(OR('Base Encuesta'!Q465="",IFERROR(VALUE(LEFT('Base Encuesta'!K465,1)),"")&gt;=3),"",'Base Encuesta'!Q465)</f>
        <v/>
      </c>
      <c r="L491" t="str">
        <f>IF(OR('Base Encuesta'!R465="",IFERROR(VALUE(LEFT('Base Encuesta'!K465,1)),"")&gt;=3),"",VALUE(LEFT('Base Encuesta'!R465,1)))</f>
        <v/>
      </c>
      <c r="M491" t="str">
        <f>IF(OR('Base Encuesta'!S465="",IFERROR(VALUE(LEFT('Base Encuesta'!K465,1)),"")&gt;=3),"",VALUE(LEFT('Base Encuesta'!S465,1)))</f>
        <v/>
      </c>
      <c r="N491" t="str">
        <f>IF(OR('Base Encuesta'!T465="",IFERROR(VALUE(LEFT('Base Encuesta'!K465,1)),"")&gt;=3),"",VALUE(LEFT('Base Encuesta'!T465,1)))</f>
        <v/>
      </c>
      <c r="O491" t="str">
        <f>IF(OR('Base Encuesta'!V465="",IFERROR(VALUE(LEFT('Base Encuesta'!K465,1)),"")&gt;=3),"",VALUE(LEFT('Base Encuesta'!V465,1)))</f>
        <v/>
      </c>
      <c r="P491" t="str">
        <f>IF(OR('Base Encuesta'!W465="",IFERROR(VALUE(LEFT('Base Encuesta'!K465,1)),"")&gt;=3),"",VALUE(LEFT('Base Encuesta'!W465,1)))</f>
        <v/>
      </c>
      <c r="Q491" t="str">
        <f>IF(OR('Base Encuesta'!X465="",IFERROR(VALUE(LEFT('Base Encuesta'!K465,1)),"")&gt;=3),"",VALUE(LEFT('Base Encuesta'!X465,1)))</f>
        <v/>
      </c>
      <c r="R491" t="str">
        <f>IF(OR('Base Encuesta'!Y465="",IFERROR(VALUE(LEFT('Base Encuesta'!K465,1)),"")&gt;=3),"",VALUE(LEFT('Base Encuesta'!Y465,1)))</f>
        <v/>
      </c>
      <c r="S491" t="str">
        <f>IF(OR('Base Encuesta'!Z465="",IFERROR(VALUE(LEFT('Base Encuesta'!K465,1)),"")&gt;=3),"",VALUE(LEFT('Base Encuesta'!Z465,1)))</f>
        <v/>
      </c>
      <c r="T491" t="str">
        <f>IF(OR('Base Encuesta'!AA465="",IFERROR(VALUE(LEFT('Base Encuesta'!K465,1)),"")&gt;=3),"",VALUE(LEFT('Base Encuesta'!AA465,1)))</f>
        <v/>
      </c>
      <c r="U491" t="str">
        <f>IF(OR('Base Encuesta'!AB465="",IFERROR(VALUE(LEFT('Base Encuesta'!K465,1)),"")&gt;=3),"",VALUE(LEFT('Base Encuesta'!AB465,1)))</f>
        <v/>
      </c>
      <c r="V491" t="str">
        <f>IF(OR('Base Encuesta'!AC465="",IFERROR(VALUE(LEFT('Base Encuesta'!K465,1)),"")&gt;=3),"",VALUE(LEFT('Base Encuesta'!AC465,1)))</f>
        <v/>
      </c>
      <c r="W491" t="str">
        <f>IF(OR('Base Encuesta'!AE465="",IFERROR(VALUE(LEFT('Base Encuesta'!K465,1)),"")&gt;=3),"",VALUE(LEFT('Base Encuesta'!AE465,1)))</f>
        <v/>
      </c>
      <c r="X491" t="str">
        <f>IF(OR('Base Encuesta'!AF465="",IFERROR(VALUE(LEFT('Base Encuesta'!K465,1)),"")&gt;=3),"",IF(W491=1,VALUE(LEFT('Base Encuesta'!AF465,1)),""))</f>
        <v/>
      </c>
      <c r="Y491" t="str">
        <f>IF(OR('Base Encuesta'!AG465="",IFERROR(VALUE(LEFT('Base Encuesta'!K465,1)),"")&gt;=3),"",IF(W491=1,VALUE(LEFT('Base Encuesta'!AG465,1)),""))</f>
        <v/>
      </c>
      <c r="Z491" t="str">
        <f>IF(OR('Base Encuesta'!AH465="",IFERROR(VALUE(LEFT('Base Encuesta'!K465,1)),"")&gt;=3),"",IF(W491=1,VALUE(LEFT('Base Encuesta'!AH465,1)),""))</f>
        <v/>
      </c>
      <c r="AA491" t="str">
        <f>IF(OR('Base Encuesta'!AI465="",IFERROR(VALUE(LEFT('Base Encuesta'!K465,1)),"")&gt;=3),"",IF(W491=1,VALUE(LEFT('Base Encuesta'!AI465,1)),""))</f>
        <v/>
      </c>
      <c r="AB491" t="str">
        <f>IF(OR('Base Encuesta'!AJ465="",IFERROR(VALUE(LEFT('Base Encuesta'!K465,1)),"")&gt;=3),"",IF(W491=1,VALUE(LEFT('Base Encuesta'!AJ465,1)),""))</f>
        <v/>
      </c>
      <c r="AC491" t="str">
        <f>IF(OR('Base Encuesta'!AL465="",IFERROR(VALUE(LEFT('Base Encuesta'!K465,1)),"")&gt;=3),"",VALUE(LEFT('Base Encuesta'!AL465,1)))</f>
        <v/>
      </c>
      <c r="AD491" t="str">
        <f>IF(OR('Base Encuesta'!AM465="",IFERROR(VALUE(LEFT('Base Encuesta'!K465,1)),"")&gt;=3),"",VALUE(LEFT('Base Encuesta'!AM465,1)))</f>
        <v/>
      </c>
      <c r="AE491" t="str">
        <f>IF(OR('Base Encuesta'!AN465="",IFERROR(VALUE(LEFT('Base Encuesta'!K465,1)),"")&gt;=3),"",VALUE(LEFT('Base Encuesta'!AN465,1)))</f>
        <v/>
      </c>
      <c r="AF491" t="str">
        <f>IF(OR('Base Encuesta'!AO465="",IFERROR(VALUE(LEFT('Base Encuesta'!K465,1)),"")&gt;=3),"",VALUE(LEFT('Base Encuesta'!AO465,1)))</f>
        <v/>
      </c>
      <c r="AG491" t="str">
        <f>IF(OR('Base Encuesta'!AQ465="",IFERROR(VALUE(LEFT('Base Encuesta'!K465,1)),"")&gt;=3),"",VALUE(LEFT('Base Encuesta'!AQ465,1)))</f>
        <v/>
      </c>
      <c r="AH491" t="str">
        <f>IF(OR('Base Encuesta'!AR465="",IFERROR(VALUE(LEFT('Base Encuesta'!K465,1)),"")&gt;=3),"",VALUE(LEFT('Base Encuesta'!AR465,1)))</f>
        <v/>
      </c>
    </row>
    <row r="492" spans="1:34">
      <c r="A492" t="str">
        <f>IF('Base Encuesta'!C466="","",'Base Encuesta'!C466)</f>
        <v/>
      </c>
      <c r="B492" t="str">
        <f>IF('Base Encuesta'!D466="","",'Base Encuesta'!D466)</f>
        <v/>
      </c>
      <c r="C492" t="str">
        <f>IF('Base Encuesta'!E466="","",'Base Encuesta'!E466)</f>
        <v/>
      </c>
      <c r="D492" t="str">
        <f>IF('Base Encuesta'!F466="","",'Base Encuesta'!F466)</f>
        <v/>
      </c>
      <c r="E492" t="str">
        <f>IF('Base Encuesta'!G466="","",'Base Encuesta'!G466)</f>
        <v/>
      </c>
      <c r="F492" t="str">
        <f>IF('Base Encuesta'!H466="","",'Base Encuesta'!H466)</f>
        <v/>
      </c>
      <c r="G492" t="str">
        <f>IF('Base Encuesta'!I466="","",'Base Encuesta'!I466)</f>
        <v/>
      </c>
      <c r="H492" t="str">
        <f>IF('Base Encuesta'!J466="","",'Base Encuesta'!J466)</f>
        <v/>
      </c>
      <c r="I492" t="str">
        <f>IF('Base Encuesta'!K466="","",'Base Encuesta'!K466)</f>
        <v/>
      </c>
      <c r="J492" t="str">
        <f>IF(OR('Base Encuesta'!P466="",IFERROR(VALUE(LEFT('Base Encuesta'!K466,1)),"")&gt;=3),"",PROPER(TRIM('Base Encuesta'!P466)))</f>
        <v/>
      </c>
      <c r="K492" t="str">
        <f>IF(OR('Base Encuesta'!Q466="",IFERROR(VALUE(LEFT('Base Encuesta'!K466,1)),"")&gt;=3),"",'Base Encuesta'!Q466)</f>
        <v/>
      </c>
      <c r="L492" t="str">
        <f>IF(OR('Base Encuesta'!R466="",IFERROR(VALUE(LEFT('Base Encuesta'!K466,1)),"")&gt;=3),"",VALUE(LEFT('Base Encuesta'!R466,1)))</f>
        <v/>
      </c>
      <c r="M492" t="str">
        <f>IF(OR('Base Encuesta'!S466="",IFERROR(VALUE(LEFT('Base Encuesta'!K466,1)),"")&gt;=3),"",VALUE(LEFT('Base Encuesta'!S466,1)))</f>
        <v/>
      </c>
      <c r="N492" t="str">
        <f>IF(OR('Base Encuesta'!T466="",IFERROR(VALUE(LEFT('Base Encuesta'!K466,1)),"")&gt;=3),"",VALUE(LEFT('Base Encuesta'!T466,1)))</f>
        <v/>
      </c>
      <c r="O492" t="str">
        <f>IF(OR('Base Encuesta'!V466="",IFERROR(VALUE(LEFT('Base Encuesta'!K466,1)),"")&gt;=3),"",VALUE(LEFT('Base Encuesta'!V466,1)))</f>
        <v/>
      </c>
      <c r="P492" t="str">
        <f>IF(OR('Base Encuesta'!W466="",IFERROR(VALUE(LEFT('Base Encuesta'!K466,1)),"")&gt;=3),"",VALUE(LEFT('Base Encuesta'!W466,1)))</f>
        <v/>
      </c>
      <c r="Q492" t="str">
        <f>IF(OR('Base Encuesta'!X466="",IFERROR(VALUE(LEFT('Base Encuesta'!K466,1)),"")&gt;=3),"",VALUE(LEFT('Base Encuesta'!X466,1)))</f>
        <v/>
      </c>
      <c r="R492" t="str">
        <f>IF(OR('Base Encuesta'!Y466="",IFERROR(VALUE(LEFT('Base Encuesta'!K466,1)),"")&gt;=3),"",VALUE(LEFT('Base Encuesta'!Y466,1)))</f>
        <v/>
      </c>
      <c r="S492" t="str">
        <f>IF(OR('Base Encuesta'!Z466="",IFERROR(VALUE(LEFT('Base Encuesta'!K466,1)),"")&gt;=3),"",VALUE(LEFT('Base Encuesta'!Z466,1)))</f>
        <v/>
      </c>
      <c r="T492" t="str">
        <f>IF(OR('Base Encuesta'!AA466="",IFERROR(VALUE(LEFT('Base Encuesta'!K466,1)),"")&gt;=3),"",VALUE(LEFT('Base Encuesta'!AA466,1)))</f>
        <v/>
      </c>
      <c r="U492" t="str">
        <f>IF(OR('Base Encuesta'!AB466="",IFERROR(VALUE(LEFT('Base Encuesta'!K466,1)),"")&gt;=3),"",VALUE(LEFT('Base Encuesta'!AB466,1)))</f>
        <v/>
      </c>
      <c r="V492" t="str">
        <f>IF(OR('Base Encuesta'!AC466="",IFERROR(VALUE(LEFT('Base Encuesta'!K466,1)),"")&gt;=3),"",VALUE(LEFT('Base Encuesta'!AC466,1)))</f>
        <v/>
      </c>
      <c r="W492" t="str">
        <f>IF(OR('Base Encuesta'!AE466="",IFERROR(VALUE(LEFT('Base Encuesta'!K466,1)),"")&gt;=3),"",VALUE(LEFT('Base Encuesta'!AE466,1)))</f>
        <v/>
      </c>
      <c r="X492" t="str">
        <f>IF(OR('Base Encuesta'!AF466="",IFERROR(VALUE(LEFT('Base Encuesta'!K466,1)),"")&gt;=3),"",IF(W492=1,VALUE(LEFT('Base Encuesta'!AF466,1)),""))</f>
        <v/>
      </c>
      <c r="Y492" t="str">
        <f>IF(OR('Base Encuesta'!AG466="",IFERROR(VALUE(LEFT('Base Encuesta'!K466,1)),"")&gt;=3),"",IF(W492=1,VALUE(LEFT('Base Encuesta'!AG466,1)),""))</f>
        <v/>
      </c>
      <c r="Z492" t="str">
        <f>IF(OR('Base Encuesta'!AH466="",IFERROR(VALUE(LEFT('Base Encuesta'!K466,1)),"")&gt;=3),"",IF(W492=1,VALUE(LEFT('Base Encuesta'!AH466,1)),""))</f>
        <v/>
      </c>
      <c r="AA492" t="str">
        <f>IF(OR('Base Encuesta'!AI466="",IFERROR(VALUE(LEFT('Base Encuesta'!K466,1)),"")&gt;=3),"",IF(W492=1,VALUE(LEFT('Base Encuesta'!AI466,1)),""))</f>
        <v/>
      </c>
      <c r="AB492" t="str">
        <f>IF(OR('Base Encuesta'!AJ466="",IFERROR(VALUE(LEFT('Base Encuesta'!K466,1)),"")&gt;=3),"",IF(W492=1,VALUE(LEFT('Base Encuesta'!AJ466,1)),""))</f>
        <v/>
      </c>
      <c r="AC492" t="str">
        <f>IF(OR('Base Encuesta'!AL466="",IFERROR(VALUE(LEFT('Base Encuesta'!K466,1)),"")&gt;=3),"",VALUE(LEFT('Base Encuesta'!AL466,1)))</f>
        <v/>
      </c>
      <c r="AD492" t="str">
        <f>IF(OR('Base Encuesta'!AM466="",IFERROR(VALUE(LEFT('Base Encuesta'!K466,1)),"")&gt;=3),"",VALUE(LEFT('Base Encuesta'!AM466,1)))</f>
        <v/>
      </c>
      <c r="AE492" t="str">
        <f>IF(OR('Base Encuesta'!AN466="",IFERROR(VALUE(LEFT('Base Encuesta'!K466,1)),"")&gt;=3),"",VALUE(LEFT('Base Encuesta'!AN466,1)))</f>
        <v/>
      </c>
      <c r="AF492" t="str">
        <f>IF(OR('Base Encuesta'!AO466="",IFERROR(VALUE(LEFT('Base Encuesta'!K466,1)),"")&gt;=3),"",VALUE(LEFT('Base Encuesta'!AO466,1)))</f>
        <v/>
      </c>
      <c r="AG492" t="str">
        <f>IF(OR('Base Encuesta'!AQ466="",IFERROR(VALUE(LEFT('Base Encuesta'!K466,1)),"")&gt;=3),"",VALUE(LEFT('Base Encuesta'!AQ466,1)))</f>
        <v/>
      </c>
      <c r="AH492" t="str">
        <f>IF(OR('Base Encuesta'!AR466="",IFERROR(VALUE(LEFT('Base Encuesta'!K466,1)),"")&gt;=3),"",VALUE(LEFT('Base Encuesta'!AR466,1)))</f>
        <v/>
      </c>
    </row>
    <row r="493" spans="1:34">
      <c r="A493" t="str">
        <f>IF('Base Encuesta'!C467="","",'Base Encuesta'!C467)</f>
        <v/>
      </c>
      <c r="B493" t="str">
        <f>IF('Base Encuesta'!D467="","",'Base Encuesta'!D467)</f>
        <v/>
      </c>
      <c r="C493" t="str">
        <f>IF('Base Encuesta'!E467="","",'Base Encuesta'!E467)</f>
        <v/>
      </c>
      <c r="D493" t="str">
        <f>IF('Base Encuesta'!F467="","",'Base Encuesta'!F467)</f>
        <v/>
      </c>
      <c r="E493" t="str">
        <f>IF('Base Encuesta'!G467="","",'Base Encuesta'!G467)</f>
        <v/>
      </c>
      <c r="F493" t="str">
        <f>IF('Base Encuesta'!H467="","",'Base Encuesta'!H467)</f>
        <v/>
      </c>
      <c r="G493" t="str">
        <f>IF('Base Encuesta'!I467="","",'Base Encuesta'!I467)</f>
        <v/>
      </c>
      <c r="H493" t="str">
        <f>IF('Base Encuesta'!J467="","",'Base Encuesta'!J467)</f>
        <v/>
      </c>
      <c r="I493" t="str">
        <f>IF('Base Encuesta'!K467="","",'Base Encuesta'!K467)</f>
        <v/>
      </c>
      <c r="J493" t="str">
        <f>IF(OR('Base Encuesta'!P467="",IFERROR(VALUE(LEFT('Base Encuesta'!K467,1)),"")&gt;=3),"",PROPER(TRIM('Base Encuesta'!P467)))</f>
        <v/>
      </c>
      <c r="K493" t="str">
        <f>IF(OR('Base Encuesta'!Q467="",IFERROR(VALUE(LEFT('Base Encuesta'!K467,1)),"")&gt;=3),"",'Base Encuesta'!Q467)</f>
        <v/>
      </c>
      <c r="L493" t="str">
        <f>IF(OR('Base Encuesta'!R467="",IFERROR(VALUE(LEFT('Base Encuesta'!K467,1)),"")&gt;=3),"",VALUE(LEFT('Base Encuesta'!R467,1)))</f>
        <v/>
      </c>
      <c r="M493" t="str">
        <f>IF(OR('Base Encuesta'!S467="",IFERROR(VALUE(LEFT('Base Encuesta'!K467,1)),"")&gt;=3),"",VALUE(LEFT('Base Encuesta'!S467,1)))</f>
        <v/>
      </c>
      <c r="N493" t="str">
        <f>IF(OR('Base Encuesta'!T467="",IFERROR(VALUE(LEFT('Base Encuesta'!K467,1)),"")&gt;=3),"",VALUE(LEFT('Base Encuesta'!T467,1)))</f>
        <v/>
      </c>
      <c r="O493" t="str">
        <f>IF(OR('Base Encuesta'!V467="",IFERROR(VALUE(LEFT('Base Encuesta'!K467,1)),"")&gt;=3),"",VALUE(LEFT('Base Encuesta'!V467,1)))</f>
        <v/>
      </c>
      <c r="P493" t="str">
        <f>IF(OR('Base Encuesta'!W467="",IFERROR(VALUE(LEFT('Base Encuesta'!K467,1)),"")&gt;=3),"",VALUE(LEFT('Base Encuesta'!W467,1)))</f>
        <v/>
      </c>
      <c r="Q493" t="str">
        <f>IF(OR('Base Encuesta'!X467="",IFERROR(VALUE(LEFT('Base Encuesta'!K467,1)),"")&gt;=3),"",VALUE(LEFT('Base Encuesta'!X467,1)))</f>
        <v/>
      </c>
      <c r="R493" t="str">
        <f>IF(OR('Base Encuesta'!Y467="",IFERROR(VALUE(LEFT('Base Encuesta'!K467,1)),"")&gt;=3),"",VALUE(LEFT('Base Encuesta'!Y467,1)))</f>
        <v/>
      </c>
      <c r="S493" t="str">
        <f>IF(OR('Base Encuesta'!Z467="",IFERROR(VALUE(LEFT('Base Encuesta'!K467,1)),"")&gt;=3),"",VALUE(LEFT('Base Encuesta'!Z467,1)))</f>
        <v/>
      </c>
      <c r="T493" t="str">
        <f>IF(OR('Base Encuesta'!AA467="",IFERROR(VALUE(LEFT('Base Encuesta'!K467,1)),"")&gt;=3),"",VALUE(LEFT('Base Encuesta'!AA467,1)))</f>
        <v/>
      </c>
      <c r="U493" t="str">
        <f>IF(OR('Base Encuesta'!AB467="",IFERROR(VALUE(LEFT('Base Encuesta'!K467,1)),"")&gt;=3),"",VALUE(LEFT('Base Encuesta'!AB467,1)))</f>
        <v/>
      </c>
      <c r="V493" t="str">
        <f>IF(OR('Base Encuesta'!AC467="",IFERROR(VALUE(LEFT('Base Encuesta'!K467,1)),"")&gt;=3),"",VALUE(LEFT('Base Encuesta'!AC467,1)))</f>
        <v/>
      </c>
      <c r="W493" t="str">
        <f>IF(OR('Base Encuesta'!AE467="",IFERROR(VALUE(LEFT('Base Encuesta'!K467,1)),"")&gt;=3),"",VALUE(LEFT('Base Encuesta'!AE467,1)))</f>
        <v/>
      </c>
      <c r="X493" t="str">
        <f>IF(OR('Base Encuesta'!AF467="",IFERROR(VALUE(LEFT('Base Encuesta'!K467,1)),"")&gt;=3),"",IF(W493=1,VALUE(LEFT('Base Encuesta'!AF467,1)),""))</f>
        <v/>
      </c>
      <c r="Y493" t="str">
        <f>IF(OR('Base Encuesta'!AG467="",IFERROR(VALUE(LEFT('Base Encuesta'!K467,1)),"")&gt;=3),"",IF(W493=1,VALUE(LEFT('Base Encuesta'!AG467,1)),""))</f>
        <v/>
      </c>
      <c r="Z493" t="str">
        <f>IF(OR('Base Encuesta'!AH467="",IFERROR(VALUE(LEFT('Base Encuesta'!K467,1)),"")&gt;=3),"",IF(W493=1,VALUE(LEFT('Base Encuesta'!AH467,1)),""))</f>
        <v/>
      </c>
      <c r="AA493" t="str">
        <f>IF(OR('Base Encuesta'!AI467="",IFERROR(VALUE(LEFT('Base Encuesta'!K467,1)),"")&gt;=3),"",IF(W493=1,VALUE(LEFT('Base Encuesta'!AI467,1)),""))</f>
        <v/>
      </c>
      <c r="AB493" t="str">
        <f>IF(OR('Base Encuesta'!AJ467="",IFERROR(VALUE(LEFT('Base Encuesta'!K467,1)),"")&gt;=3),"",IF(W493=1,VALUE(LEFT('Base Encuesta'!AJ467,1)),""))</f>
        <v/>
      </c>
      <c r="AC493" t="str">
        <f>IF(OR('Base Encuesta'!AL467="",IFERROR(VALUE(LEFT('Base Encuesta'!K467,1)),"")&gt;=3),"",VALUE(LEFT('Base Encuesta'!AL467,1)))</f>
        <v/>
      </c>
      <c r="AD493" t="str">
        <f>IF(OR('Base Encuesta'!AM467="",IFERROR(VALUE(LEFT('Base Encuesta'!K467,1)),"")&gt;=3),"",VALUE(LEFT('Base Encuesta'!AM467,1)))</f>
        <v/>
      </c>
      <c r="AE493" t="str">
        <f>IF(OR('Base Encuesta'!AN467="",IFERROR(VALUE(LEFT('Base Encuesta'!K467,1)),"")&gt;=3),"",VALUE(LEFT('Base Encuesta'!AN467,1)))</f>
        <v/>
      </c>
      <c r="AF493" t="str">
        <f>IF(OR('Base Encuesta'!AO467="",IFERROR(VALUE(LEFT('Base Encuesta'!K467,1)),"")&gt;=3),"",VALUE(LEFT('Base Encuesta'!AO467,1)))</f>
        <v/>
      </c>
      <c r="AG493" t="str">
        <f>IF(OR('Base Encuesta'!AQ467="",IFERROR(VALUE(LEFT('Base Encuesta'!K467,1)),"")&gt;=3),"",VALUE(LEFT('Base Encuesta'!AQ467,1)))</f>
        <v/>
      </c>
      <c r="AH493" t="str">
        <f>IF(OR('Base Encuesta'!AR467="",IFERROR(VALUE(LEFT('Base Encuesta'!K467,1)),"")&gt;=3),"",VALUE(LEFT('Base Encuesta'!AR467,1)))</f>
        <v/>
      </c>
    </row>
    <row r="494" spans="1:34">
      <c r="A494" t="str">
        <f>IF('Base Encuesta'!C468="","",'Base Encuesta'!C468)</f>
        <v/>
      </c>
      <c r="B494" t="str">
        <f>IF('Base Encuesta'!D468="","",'Base Encuesta'!D468)</f>
        <v/>
      </c>
      <c r="C494" t="str">
        <f>IF('Base Encuesta'!E468="","",'Base Encuesta'!E468)</f>
        <v/>
      </c>
      <c r="D494" t="str">
        <f>IF('Base Encuesta'!F468="","",'Base Encuesta'!F468)</f>
        <v/>
      </c>
      <c r="E494" t="str">
        <f>IF('Base Encuesta'!G468="","",'Base Encuesta'!G468)</f>
        <v/>
      </c>
      <c r="F494" t="str">
        <f>IF('Base Encuesta'!H468="","",'Base Encuesta'!H468)</f>
        <v/>
      </c>
      <c r="G494" t="str">
        <f>IF('Base Encuesta'!I468="","",'Base Encuesta'!I468)</f>
        <v/>
      </c>
      <c r="H494" t="str">
        <f>IF('Base Encuesta'!J468="","",'Base Encuesta'!J468)</f>
        <v/>
      </c>
      <c r="I494" t="str">
        <f>IF('Base Encuesta'!K468="","",'Base Encuesta'!K468)</f>
        <v/>
      </c>
      <c r="J494" t="str">
        <f>IF(OR('Base Encuesta'!P468="",IFERROR(VALUE(LEFT('Base Encuesta'!K468,1)),"")&gt;=3),"",PROPER(TRIM('Base Encuesta'!P468)))</f>
        <v/>
      </c>
      <c r="K494" t="str">
        <f>IF(OR('Base Encuesta'!Q468="",IFERROR(VALUE(LEFT('Base Encuesta'!K468,1)),"")&gt;=3),"",'Base Encuesta'!Q468)</f>
        <v/>
      </c>
      <c r="L494" t="str">
        <f>IF(OR('Base Encuesta'!R468="",IFERROR(VALUE(LEFT('Base Encuesta'!K468,1)),"")&gt;=3),"",VALUE(LEFT('Base Encuesta'!R468,1)))</f>
        <v/>
      </c>
      <c r="M494" t="str">
        <f>IF(OR('Base Encuesta'!S468="",IFERROR(VALUE(LEFT('Base Encuesta'!K468,1)),"")&gt;=3),"",VALUE(LEFT('Base Encuesta'!S468,1)))</f>
        <v/>
      </c>
      <c r="N494" t="str">
        <f>IF(OR('Base Encuesta'!T468="",IFERROR(VALUE(LEFT('Base Encuesta'!K468,1)),"")&gt;=3),"",VALUE(LEFT('Base Encuesta'!T468,1)))</f>
        <v/>
      </c>
      <c r="O494" t="str">
        <f>IF(OR('Base Encuesta'!V468="",IFERROR(VALUE(LEFT('Base Encuesta'!K468,1)),"")&gt;=3),"",VALUE(LEFT('Base Encuesta'!V468,1)))</f>
        <v/>
      </c>
      <c r="P494" t="str">
        <f>IF(OR('Base Encuesta'!W468="",IFERROR(VALUE(LEFT('Base Encuesta'!K468,1)),"")&gt;=3),"",VALUE(LEFT('Base Encuesta'!W468,1)))</f>
        <v/>
      </c>
      <c r="Q494" t="str">
        <f>IF(OR('Base Encuesta'!X468="",IFERROR(VALUE(LEFT('Base Encuesta'!K468,1)),"")&gt;=3),"",VALUE(LEFT('Base Encuesta'!X468,1)))</f>
        <v/>
      </c>
      <c r="R494" t="str">
        <f>IF(OR('Base Encuesta'!Y468="",IFERROR(VALUE(LEFT('Base Encuesta'!K468,1)),"")&gt;=3),"",VALUE(LEFT('Base Encuesta'!Y468,1)))</f>
        <v/>
      </c>
      <c r="S494" t="str">
        <f>IF(OR('Base Encuesta'!Z468="",IFERROR(VALUE(LEFT('Base Encuesta'!K468,1)),"")&gt;=3),"",VALUE(LEFT('Base Encuesta'!Z468,1)))</f>
        <v/>
      </c>
      <c r="T494" t="str">
        <f>IF(OR('Base Encuesta'!AA468="",IFERROR(VALUE(LEFT('Base Encuesta'!K468,1)),"")&gt;=3),"",VALUE(LEFT('Base Encuesta'!AA468,1)))</f>
        <v/>
      </c>
      <c r="U494" t="str">
        <f>IF(OR('Base Encuesta'!AB468="",IFERROR(VALUE(LEFT('Base Encuesta'!K468,1)),"")&gt;=3),"",VALUE(LEFT('Base Encuesta'!AB468,1)))</f>
        <v/>
      </c>
      <c r="V494" t="str">
        <f>IF(OR('Base Encuesta'!AC468="",IFERROR(VALUE(LEFT('Base Encuesta'!K468,1)),"")&gt;=3),"",VALUE(LEFT('Base Encuesta'!AC468,1)))</f>
        <v/>
      </c>
      <c r="W494" t="str">
        <f>IF(OR('Base Encuesta'!AE468="",IFERROR(VALUE(LEFT('Base Encuesta'!K468,1)),"")&gt;=3),"",VALUE(LEFT('Base Encuesta'!AE468,1)))</f>
        <v/>
      </c>
      <c r="X494" t="str">
        <f>IF(OR('Base Encuesta'!AF468="",IFERROR(VALUE(LEFT('Base Encuesta'!K468,1)),"")&gt;=3),"",IF(W494=1,VALUE(LEFT('Base Encuesta'!AF468,1)),""))</f>
        <v/>
      </c>
      <c r="Y494" t="str">
        <f>IF(OR('Base Encuesta'!AG468="",IFERROR(VALUE(LEFT('Base Encuesta'!K468,1)),"")&gt;=3),"",IF(W494=1,VALUE(LEFT('Base Encuesta'!AG468,1)),""))</f>
        <v/>
      </c>
      <c r="Z494" t="str">
        <f>IF(OR('Base Encuesta'!AH468="",IFERROR(VALUE(LEFT('Base Encuesta'!K468,1)),"")&gt;=3),"",IF(W494=1,VALUE(LEFT('Base Encuesta'!AH468,1)),""))</f>
        <v/>
      </c>
      <c r="AA494" t="str">
        <f>IF(OR('Base Encuesta'!AI468="",IFERROR(VALUE(LEFT('Base Encuesta'!K468,1)),"")&gt;=3),"",IF(W494=1,VALUE(LEFT('Base Encuesta'!AI468,1)),""))</f>
        <v/>
      </c>
      <c r="AB494" t="str">
        <f>IF(OR('Base Encuesta'!AJ468="",IFERROR(VALUE(LEFT('Base Encuesta'!K468,1)),"")&gt;=3),"",IF(W494=1,VALUE(LEFT('Base Encuesta'!AJ468,1)),""))</f>
        <v/>
      </c>
      <c r="AC494" t="str">
        <f>IF(OR('Base Encuesta'!AL468="",IFERROR(VALUE(LEFT('Base Encuesta'!K468,1)),"")&gt;=3),"",VALUE(LEFT('Base Encuesta'!AL468,1)))</f>
        <v/>
      </c>
      <c r="AD494" t="str">
        <f>IF(OR('Base Encuesta'!AM468="",IFERROR(VALUE(LEFT('Base Encuesta'!K468,1)),"")&gt;=3),"",VALUE(LEFT('Base Encuesta'!AM468,1)))</f>
        <v/>
      </c>
      <c r="AE494" t="str">
        <f>IF(OR('Base Encuesta'!AN468="",IFERROR(VALUE(LEFT('Base Encuesta'!K468,1)),"")&gt;=3),"",VALUE(LEFT('Base Encuesta'!AN468,1)))</f>
        <v/>
      </c>
      <c r="AF494" t="str">
        <f>IF(OR('Base Encuesta'!AO468="",IFERROR(VALUE(LEFT('Base Encuesta'!K468,1)),"")&gt;=3),"",VALUE(LEFT('Base Encuesta'!AO468,1)))</f>
        <v/>
      </c>
      <c r="AG494" t="str">
        <f>IF(OR('Base Encuesta'!AQ468="",IFERROR(VALUE(LEFT('Base Encuesta'!K468,1)),"")&gt;=3),"",VALUE(LEFT('Base Encuesta'!AQ468,1)))</f>
        <v/>
      </c>
      <c r="AH494" t="str">
        <f>IF(OR('Base Encuesta'!AR468="",IFERROR(VALUE(LEFT('Base Encuesta'!K468,1)),"")&gt;=3),"",VALUE(LEFT('Base Encuesta'!AR468,1)))</f>
        <v/>
      </c>
    </row>
    <row r="495" spans="1:34">
      <c r="A495" t="str">
        <f>IF('Base Encuesta'!C469="","",'Base Encuesta'!C469)</f>
        <v/>
      </c>
      <c r="B495" t="str">
        <f>IF('Base Encuesta'!D469="","",'Base Encuesta'!D469)</f>
        <v/>
      </c>
      <c r="C495" t="str">
        <f>IF('Base Encuesta'!E469="","",'Base Encuesta'!E469)</f>
        <v/>
      </c>
      <c r="D495" t="str">
        <f>IF('Base Encuesta'!F469="","",'Base Encuesta'!F469)</f>
        <v/>
      </c>
      <c r="E495" t="str">
        <f>IF('Base Encuesta'!G469="","",'Base Encuesta'!G469)</f>
        <v/>
      </c>
      <c r="F495" t="str">
        <f>IF('Base Encuesta'!H469="","",'Base Encuesta'!H469)</f>
        <v/>
      </c>
      <c r="G495" t="str">
        <f>IF('Base Encuesta'!I469="","",'Base Encuesta'!I469)</f>
        <v/>
      </c>
      <c r="H495" t="str">
        <f>IF('Base Encuesta'!J469="","",'Base Encuesta'!J469)</f>
        <v/>
      </c>
      <c r="I495" t="str">
        <f>IF('Base Encuesta'!K469="","",'Base Encuesta'!K469)</f>
        <v/>
      </c>
      <c r="J495" t="str">
        <f>IF(OR('Base Encuesta'!P469="",IFERROR(VALUE(LEFT('Base Encuesta'!K469,1)),"")&gt;=3),"",PROPER(TRIM('Base Encuesta'!P469)))</f>
        <v/>
      </c>
      <c r="K495" t="str">
        <f>IF(OR('Base Encuesta'!Q469="",IFERROR(VALUE(LEFT('Base Encuesta'!K469,1)),"")&gt;=3),"",'Base Encuesta'!Q469)</f>
        <v/>
      </c>
      <c r="L495" t="str">
        <f>IF(OR('Base Encuesta'!R469="",IFERROR(VALUE(LEFT('Base Encuesta'!K469,1)),"")&gt;=3),"",VALUE(LEFT('Base Encuesta'!R469,1)))</f>
        <v/>
      </c>
      <c r="M495" t="str">
        <f>IF(OR('Base Encuesta'!S469="",IFERROR(VALUE(LEFT('Base Encuesta'!K469,1)),"")&gt;=3),"",VALUE(LEFT('Base Encuesta'!S469,1)))</f>
        <v/>
      </c>
      <c r="N495" t="str">
        <f>IF(OR('Base Encuesta'!T469="",IFERROR(VALUE(LEFT('Base Encuesta'!K469,1)),"")&gt;=3),"",VALUE(LEFT('Base Encuesta'!T469,1)))</f>
        <v/>
      </c>
      <c r="O495" t="str">
        <f>IF(OR('Base Encuesta'!V469="",IFERROR(VALUE(LEFT('Base Encuesta'!K469,1)),"")&gt;=3),"",VALUE(LEFT('Base Encuesta'!V469,1)))</f>
        <v/>
      </c>
      <c r="P495" t="str">
        <f>IF(OR('Base Encuesta'!W469="",IFERROR(VALUE(LEFT('Base Encuesta'!K469,1)),"")&gt;=3),"",VALUE(LEFT('Base Encuesta'!W469,1)))</f>
        <v/>
      </c>
      <c r="Q495" t="str">
        <f>IF(OR('Base Encuesta'!X469="",IFERROR(VALUE(LEFT('Base Encuesta'!K469,1)),"")&gt;=3),"",VALUE(LEFT('Base Encuesta'!X469,1)))</f>
        <v/>
      </c>
      <c r="R495" t="str">
        <f>IF(OR('Base Encuesta'!Y469="",IFERROR(VALUE(LEFT('Base Encuesta'!K469,1)),"")&gt;=3),"",VALUE(LEFT('Base Encuesta'!Y469,1)))</f>
        <v/>
      </c>
      <c r="S495" t="str">
        <f>IF(OR('Base Encuesta'!Z469="",IFERROR(VALUE(LEFT('Base Encuesta'!K469,1)),"")&gt;=3),"",VALUE(LEFT('Base Encuesta'!Z469,1)))</f>
        <v/>
      </c>
      <c r="T495" t="str">
        <f>IF(OR('Base Encuesta'!AA469="",IFERROR(VALUE(LEFT('Base Encuesta'!K469,1)),"")&gt;=3),"",VALUE(LEFT('Base Encuesta'!AA469,1)))</f>
        <v/>
      </c>
      <c r="U495" t="str">
        <f>IF(OR('Base Encuesta'!AB469="",IFERROR(VALUE(LEFT('Base Encuesta'!K469,1)),"")&gt;=3),"",VALUE(LEFT('Base Encuesta'!AB469,1)))</f>
        <v/>
      </c>
      <c r="V495" t="str">
        <f>IF(OR('Base Encuesta'!AC469="",IFERROR(VALUE(LEFT('Base Encuesta'!K469,1)),"")&gt;=3),"",VALUE(LEFT('Base Encuesta'!AC469,1)))</f>
        <v/>
      </c>
      <c r="W495" t="str">
        <f>IF(OR('Base Encuesta'!AE469="",IFERROR(VALUE(LEFT('Base Encuesta'!K469,1)),"")&gt;=3),"",VALUE(LEFT('Base Encuesta'!AE469,1)))</f>
        <v/>
      </c>
      <c r="X495" t="str">
        <f>IF(OR('Base Encuesta'!AF469="",IFERROR(VALUE(LEFT('Base Encuesta'!K469,1)),"")&gt;=3),"",IF(W495=1,VALUE(LEFT('Base Encuesta'!AF469,1)),""))</f>
        <v/>
      </c>
      <c r="Y495" t="str">
        <f>IF(OR('Base Encuesta'!AG469="",IFERROR(VALUE(LEFT('Base Encuesta'!K469,1)),"")&gt;=3),"",IF(W495=1,VALUE(LEFT('Base Encuesta'!AG469,1)),""))</f>
        <v/>
      </c>
      <c r="Z495" t="str">
        <f>IF(OR('Base Encuesta'!AH469="",IFERROR(VALUE(LEFT('Base Encuesta'!K469,1)),"")&gt;=3),"",IF(W495=1,VALUE(LEFT('Base Encuesta'!AH469,1)),""))</f>
        <v/>
      </c>
      <c r="AA495" t="str">
        <f>IF(OR('Base Encuesta'!AI469="",IFERROR(VALUE(LEFT('Base Encuesta'!K469,1)),"")&gt;=3),"",IF(W495=1,VALUE(LEFT('Base Encuesta'!AI469,1)),""))</f>
        <v/>
      </c>
      <c r="AB495" t="str">
        <f>IF(OR('Base Encuesta'!AJ469="",IFERROR(VALUE(LEFT('Base Encuesta'!K469,1)),"")&gt;=3),"",IF(W495=1,VALUE(LEFT('Base Encuesta'!AJ469,1)),""))</f>
        <v/>
      </c>
      <c r="AC495" t="str">
        <f>IF(OR('Base Encuesta'!AL469="",IFERROR(VALUE(LEFT('Base Encuesta'!K469,1)),"")&gt;=3),"",VALUE(LEFT('Base Encuesta'!AL469,1)))</f>
        <v/>
      </c>
      <c r="AD495" t="str">
        <f>IF(OR('Base Encuesta'!AM469="",IFERROR(VALUE(LEFT('Base Encuesta'!K469,1)),"")&gt;=3),"",VALUE(LEFT('Base Encuesta'!AM469,1)))</f>
        <v/>
      </c>
      <c r="AE495" t="str">
        <f>IF(OR('Base Encuesta'!AN469="",IFERROR(VALUE(LEFT('Base Encuesta'!K469,1)),"")&gt;=3),"",VALUE(LEFT('Base Encuesta'!AN469,1)))</f>
        <v/>
      </c>
      <c r="AF495" t="str">
        <f>IF(OR('Base Encuesta'!AO469="",IFERROR(VALUE(LEFT('Base Encuesta'!K469,1)),"")&gt;=3),"",VALUE(LEFT('Base Encuesta'!AO469,1)))</f>
        <v/>
      </c>
      <c r="AG495" t="str">
        <f>IF(OR('Base Encuesta'!AQ469="",IFERROR(VALUE(LEFT('Base Encuesta'!K469,1)),"")&gt;=3),"",VALUE(LEFT('Base Encuesta'!AQ469,1)))</f>
        <v/>
      </c>
      <c r="AH495" t="str">
        <f>IF(OR('Base Encuesta'!AR469="",IFERROR(VALUE(LEFT('Base Encuesta'!K469,1)),"")&gt;=3),"",VALUE(LEFT('Base Encuesta'!AR469,1)))</f>
        <v/>
      </c>
    </row>
    <row r="496" spans="1:34">
      <c r="A496" t="str">
        <f>IF('Base Encuesta'!C470="","",'Base Encuesta'!C470)</f>
        <v/>
      </c>
      <c r="B496" t="str">
        <f>IF('Base Encuesta'!D470="","",'Base Encuesta'!D470)</f>
        <v/>
      </c>
      <c r="C496" t="str">
        <f>IF('Base Encuesta'!E470="","",'Base Encuesta'!E470)</f>
        <v/>
      </c>
      <c r="D496" t="str">
        <f>IF('Base Encuesta'!F470="","",'Base Encuesta'!F470)</f>
        <v/>
      </c>
      <c r="E496" t="str">
        <f>IF('Base Encuesta'!G470="","",'Base Encuesta'!G470)</f>
        <v/>
      </c>
      <c r="F496" t="str">
        <f>IF('Base Encuesta'!H470="","",'Base Encuesta'!H470)</f>
        <v/>
      </c>
      <c r="G496" t="str">
        <f>IF('Base Encuesta'!I470="","",'Base Encuesta'!I470)</f>
        <v/>
      </c>
      <c r="H496" t="str">
        <f>IF('Base Encuesta'!J470="","",'Base Encuesta'!J470)</f>
        <v/>
      </c>
      <c r="I496" t="str">
        <f>IF('Base Encuesta'!K470="","",'Base Encuesta'!K470)</f>
        <v/>
      </c>
      <c r="J496" t="str">
        <f>IF(OR('Base Encuesta'!P470="",IFERROR(VALUE(LEFT('Base Encuesta'!K470,1)),"")&gt;=3),"",PROPER(TRIM('Base Encuesta'!P470)))</f>
        <v/>
      </c>
      <c r="K496" t="str">
        <f>IF(OR('Base Encuesta'!Q470="",IFERROR(VALUE(LEFT('Base Encuesta'!K470,1)),"")&gt;=3),"",'Base Encuesta'!Q470)</f>
        <v/>
      </c>
      <c r="L496" t="str">
        <f>IF(OR('Base Encuesta'!R470="",IFERROR(VALUE(LEFT('Base Encuesta'!K470,1)),"")&gt;=3),"",VALUE(LEFT('Base Encuesta'!R470,1)))</f>
        <v/>
      </c>
      <c r="M496" t="str">
        <f>IF(OR('Base Encuesta'!S470="",IFERROR(VALUE(LEFT('Base Encuesta'!K470,1)),"")&gt;=3),"",VALUE(LEFT('Base Encuesta'!S470,1)))</f>
        <v/>
      </c>
      <c r="N496" t="str">
        <f>IF(OR('Base Encuesta'!T470="",IFERROR(VALUE(LEFT('Base Encuesta'!K470,1)),"")&gt;=3),"",VALUE(LEFT('Base Encuesta'!T470,1)))</f>
        <v/>
      </c>
      <c r="O496" t="str">
        <f>IF(OR('Base Encuesta'!V470="",IFERROR(VALUE(LEFT('Base Encuesta'!K470,1)),"")&gt;=3),"",VALUE(LEFT('Base Encuesta'!V470,1)))</f>
        <v/>
      </c>
      <c r="P496" t="str">
        <f>IF(OR('Base Encuesta'!W470="",IFERROR(VALUE(LEFT('Base Encuesta'!K470,1)),"")&gt;=3),"",VALUE(LEFT('Base Encuesta'!W470,1)))</f>
        <v/>
      </c>
      <c r="Q496" t="str">
        <f>IF(OR('Base Encuesta'!X470="",IFERROR(VALUE(LEFT('Base Encuesta'!K470,1)),"")&gt;=3),"",VALUE(LEFT('Base Encuesta'!X470,1)))</f>
        <v/>
      </c>
      <c r="R496" t="str">
        <f>IF(OR('Base Encuesta'!Y470="",IFERROR(VALUE(LEFT('Base Encuesta'!K470,1)),"")&gt;=3),"",VALUE(LEFT('Base Encuesta'!Y470,1)))</f>
        <v/>
      </c>
      <c r="S496" t="str">
        <f>IF(OR('Base Encuesta'!Z470="",IFERROR(VALUE(LEFT('Base Encuesta'!K470,1)),"")&gt;=3),"",VALUE(LEFT('Base Encuesta'!Z470,1)))</f>
        <v/>
      </c>
      <c r="T496" t="str">
        <f>IF(OR('Base Encuesta'!AA470="",IFERROR(VALUE(LEFT('Base Encuesta'!K470,1)),"")&gt;=3),"",VALUE(LEFT('Base Encuesta'!AA470,1)))</f>
        <v/>
      </c>
      <c r="U496" t="str">
        <f>IF(OR('Base Encuesta'!AB470="",IFERROR(VALUE(LEFT('Base Encuesta'!K470,1)),"")&gt;=3),"",VALUE(LEFT('Base Encuesta'!AB470,1)))</f>
        <v/>
      </c>
      <c r="V496" t="str">
        <f>IF(OR('Base Encuesta'!AC470="",IFERROR(VALUE(LEFT('Base Encuesta'!K470,1)),"")&gt;=3),"",VALUE(LEFT('Base Encuesta'!AC470,1)))</f>
        <v/>
      </c>
      <c r="W496" t="str">
        <f>IF(OR('Base Encuesta'!AE470="",IFERROR(VALUE(LEFT('Base Encuesta'!K470,1)),"")&gt;=3),"",VALUE(LEFT('Base Encuesta'!AE470,1)))</f>
        <v/>
      </c>
      <c r="X496" t="str">
        <f>IF(OR('Base Encuesta'!AF470="",IFERROR(VALUE(LEFT('Base Encuesta'!K470,1)),"")&gt;=3),"",IF(W496=1,VALUE(LEFT('Base Encuesta'!AF470,1)),""))</f>
        <v/>
      </c>
      <c r="Y496" t="str">
        <f>IF(OR('Base Encuesta'!AG470="",IFERROR(VALUE(LEFT('Base Encuesta'!K470,1)),"")&gt;=3),"",IF(W496=1,VALUE(LEFT('Base Encuesta'!AG470,1)),""))</f>
        <v/>
      </c>
      <c r="Z496" t="str">
        <f>IF(OR('Base Encuesta'!AH470="",IFERROR(VALUE(LEFT('Base Encuesta'!K470,1)),"")&gt;=3),"",IF(W496=1,VALUE(LEFT('Base Encuesta'!AH470,1)),""))</f>
        <v/>
      </c>
      <c r="AA496" t="str">
        <f>IF(OR('Base Encuesta'!AI470="",IFERROR(VALUE(LEFT('Base Encuesta'!K470,1)),"")&gt;=3),"",IF(W496=1,VALUE(LEFT('Base Encuesta'!AI470,1)),""))</f>
        <v/>
      </c>
      <c r="AB496" t="str">
        <f>IF(OR('Base Encuesta'!AJ470="",IFERROR(VALUE(LEFT('Base Encuesta'!K470,1)),"")&gt;=3),"",IF(W496=1,VALUE(LEFT('Base Encuesta'!AJ470,1)),""))</f>
        <v/>
      </c>
      <c r="AC496" t="str">
        <f>IF(OR('Base Encuesta'!AL470="",IFERROR(VALUE(LEFT('Base Encuesta'!K470,1)),"")&gt;=3),"",VALUE(LEFT('Base Encuesta'!AL470,1)))</f>
        <v/>
      </c>
      <c r="AD496" t="str">
        <f>IF(OR('Base Encuesta'!AM470="",IFERROR(VALUE(LEFT('Base Encuesta'!K470,1)),"")&gt;=3),"",VALUE(LEFT('Base Encuesta'!AM470,1)))</f>
        <v/>
      </c>
      <c r="AE496" t="str">
        <f>IF(OR('Base Encuesta'!AN470="",IFERROR(VALUE(LEFT('Base Encuesta'!K470,1)),"")&gt;=3),"",VALUE(LEFT('Base Encuesta'!AN470,1)))</f>
        <v/>
      </c>
      <c r="AF496" t="str">
        <f>IF(OR('Base Encuesta'!AO470="",IFERROR(VALUE(LEFT('Base Encuesta'!K470,1)),"")&gt;=3),"",VALUE(LEFT('Base Encuesta'!AO470,1)))</f>
        <v/>
      </c>
      <c r="AG496" t="str">
        <f>IF(OR('Base Encuesta'!AQ470="",IFERROR(VALUE(LEFT('Base Encuesta'!K470,1)),"")&gt;=3),"",VALUE(LEFT('Base Encuesta'!AQ470,1)))</f>
        <v/>
      </c>
      <c r="AH496" t="str">
        <f>IF(OR('Base Encuesta'!AR470="",IFERROR(VALUE(LEFT('Base Encuesta'!K470,1)),"")&gt;=3),"",VALUE(LEFT('Base Encuesta'!AR470,1)))</f>
        <v/>
      </c>
    </row>
    <row r="497" spans="1:34">
      <c r="A497" t="str">
        <f>IF('Base Encuesta'!C471="","",'Base Encuesta'!C471)</f>
        <v/>
      </c>
      <c r="B497" t="str">
        <f>IF('Base Encuesta'!D471="","",'Base Encuesta'!D471)</f>
        <v/>
      </c>
      <c r="C497" t="str">
        <f>IF('Base Encuesta'!E471="","",'Base Encuesta'!E471)</f>
        <v/>
      </c>
      <c r="D497" t="str">
        <f>IF('Base Encuesta'!F471="","",'Base Encuesta'!F471)</f>
        <v/>
      </c>
      <c r="E497" t="str">
        <f>IF('Base Encuesta'!G471="","",'Base Encuesta'!G471)</f>
        <v/>
      </c>
      <c r="F497" t="str">
        <f>IF('Base Encuesta'!H471="","",'Base Encuesta'!H471)</f>
        <v/>
      </c>
      <c r="G497" t="str">
        <f>IF('Base Encuesta'!I471="","",'Base Encuesta'!I471)</f>
        <v/>
      </c>
      <c r="H497" t="str">
        <f>IF('Base Encuesta'!J471="","",'Base Encuesta'!J471)</f>
        <v/>
      </c>
      <c r="I497" t="str">
        <f>IF('Base Encuesta'!K471="","",'Base Encuesta'!K471)</f>
        <v/>
      </c>
      <c r="J497" t="str">
        <f>IF(OR('Base Encuesta'!P471="",IFERROR(VALUE(LEFT('Base Encuesta'!K471,1)),"")&gt;=3),"",PROPER(TRIM('Base Encuesta'!P471)))</f>
        <v/>
      </c>
      <c r="K497" t="str">
        <f>IF(OR('Base Encuesta'!Q471="",IFERROR(VALUE(LEFT('Base Encuesta'!K471,1)),"")&gt;=3),"",'Base Encuesta'!Q471)</f>
        <v/>
      </c>
      <c r="L497" t="str">
        <f>IF(OR('Base Encuesta'!R471="",IFERROR(VALUE(LEFT('Base Encuesta'!K471,1)),"")&gt;=3),"",VALUE(LEFT('Base Encuesta'!R471,1)))</f>
        <v/>
      </c>
      <c r="M497" t="str">
        <f>IF(OR('Base Encuesta'!S471="",IFERROR(VALUE(LEFT('Base Encuesta'!K471,1)),"")&gt;=3),"",VALUE(LEFT('Base Encuesta'!S471,1)))</f>
        <v/>
      </c>
      <c r="N497" t="str">
        <f>IF(OR('Base Encuesta'!T471="",IFERROR(VALUE(LEFT('Base Encuesta'!K471,1)),"")&gt;=3),"",VALUE(LEFT('Base Encuesta'!T471,1)))</f>
        <v/>
      </c>
      <c r="O497" t="str">
        <f>IF(OR('Base Encuesta'!V471="",IFERROR(VALUE(LEFT('Base Encuesta'!K471,1)),"")&gt;=3),"",VALUE(LEFT('Base Encuesta'!V471,1)))</f>
        <v/>
      </c>
      <c r="P497" t="str">
        <f>IF(OR('Base Encuesta'!W471="",IFERROR(VALUE(LEFT('Base Encuesta'!K471,1)),"")&gt;=3),"",VALUE(LEFT('Base Encuesta'!W471,1)))</f>
        <v/>
      </c>
      <c r="Q497" t="str">
        <f>IF(OR('Base Encuesta'!X471="",IFERROR(VALUE(LEFT('Base Encuesta'!K471,1)),"")&gt;=3),"",VALUE(LEFT('Base Encuesta'!X471,1)))</f>
        <v/>
      </c>
      <c r="R497" t="str">
        <f>IF(OR('Base Encuesta'!Y471="",IFERROR(VALUE(LEFT('Base Encuesta'!K471,1)),"")&gt;=3),"",VALUE(LEFT('Base Encuesta'!Y471,1)))</f>
        <v/>
      </c>
      <c r="S497" t="str">
        <f>IF(OR('Base Encuesta'!Z471="",IFERROR(VALUE(LEFT('Base Encuesta'!K471,1)),"")&gt;=3),"",VALUE(LEFT('Base Encuesta'!Z471,1)))</f>
        <v/>
      </c>
      <c r="T497" t="str">
        <f>IF(OR('Base Encuesta'!AA471="",IFERROR(VALUE(LEFT('Base Encuesta'!K471,1)),"")&gt;=3),"",VALUE(LEFT('Base Encuesta'!AA471,1)))</f>
        <v/>
      </c>
      <c r="U497" t="str">
        <f>IF(OR('Base Encuesta'!AB471="",IFERROR(VALUE(LEFT('Base Encuesta'!K471,1)),"")&gt;=3),"",VALUE(LEFT('Base Encuesta'!AB471,1)))</f>
        <v/>
      </c>
      <c r="V497" t="str">
        <f>IF(OR('Base Encuesta'!AC471="",IFERROR(VALUE(LEFT('Base Encuesta'!K471,1)),"")&gt;=3),"",VALUE(LEFT('Base Encuesta'!AC471,1)))</f>
        <v/>
      </c>
      <c r="W497" t="str">
        <f>IF(OR('Base Encuesta'!AE471="",IFERROR(VALUE(LEFT('Base Encuesta'!K471,1)),"")&gt;=3),"",VALUE(LEFT('Base Encuesta'!AE471,1)))</f>
        <v/>
      </c>
      <c r="X497" t="str">
        <f>IF(OR('Base Encuesta'!AF471="",IFERROR(VALUE(LEFT('Base Encuesta'!K471,1)),"")&gt;=3),"",IF(W497=1,VALUE(LEFT('Base Encuesta'!AF471,1)),""))</f>
        <v/>
      </c>
      <c r="Y497" t="str">
        <f>IF(OR('Base Encuesta'!AG471="",IFERROR(VALUE(LEFT('Base Encuesta'!K471,1)),"")&gt;=3),"",IF(W497=1,VALUE(LEFT('Base Encuesta'!AG471,1)),""))</f>
        <v/>
      </c>
      <c r="Z497" t="str">
        <f>IF(OR('Base Encuesta'!AH471="",IFERROR(VALUE(LEFT('Base Encuesta'!K471,1)),"")&gt;=3),"",IF(W497=1,VALUE(LEFT('Base Encuesta'!AH471,1)),""))</f>
        <v/>
      </c>
      <c r="AA497" t="str">
        <f>IF(OR('Base Encuesta'!AI471="",IFERROR(VALUE(LEFT('Base Encuesta'!K471,1)),"")&gt;=3),"",IF(W497=1,VALUE(LEFT('Base Encuesta'!AI471,1)),""))</f>
        <v/>
      </c>
      <c r="AB497" t="str">
        <f>IF(OR('Base Encuesta'!AJ471="",IFERROR(VALUE(LEFT('Base Encuesta'!K471,1)),"")&gt;=3),"",IF(W497=1,VALUE(LEFT('Base Encuesta'!AJ471,1)),""))</f>
        <v/>
      </c>
      <c r="AC497" t="str">
        <f>IF(OR('Base Encuesta'!AL471="",IFERROR(VALUE(LEFT('Base Encuesta'!K471,1)),"")&gt;=3),"",VALUE(LEFT('Base Encuesta'!AL471,1)))</f>
        <v/>
      </c>
      <c r="AD497" t="str">
        <f>IF(OR('Base Encuesta'!AM471="",IFERROR(VALUE(LEFT('Base Encuesta'!K471,1)),"")&gt;=3),"",VALUE(LEFT('Base Encuesta'!AM471,1)))</f>
        <v/>
      </c>
      <c r="AE497" t="str">
        <f>IF(OR('Base Encuesta'!AN471="",IFERROR(VALUE(LEFT('Base Encuesta'!K471,1)),"")&gt;=3),"",VALUE(LEFT('Base Encuesta'!AN471,1)))</f>
        <v/>
      </c>
      <c r="AF497" t="str">
        <f>IF(OR('Base Encuesta'!AO471="",IFERROR(VALUE(LEFT('Base Encuesta'!K471,1)),"")&gt;=3),"",VALUE(LEFT('Base Encuesta'!AO471,1)))</f>
        <v/>
      </c>
      <c r="AG497" t="str">
        <f>IF(OR('Base Encuesta'!AQ471="",IFERROR(VALUE(LEFT('Base Encuesta'!K471,1)),"")&gt;=3),"",VALUE(LEFT('Base Encuesta'!AQ471,1)))</f>
        <v/>
      </c>
      <c r="AH497" t="str">
        <f>IF(OR('Base Encuesta'!AR471="",IFERROR(VALUE(LEFT('Base Encuesta'!K471,1)),"")&gt;=3),"",VALUE(LEFT('Base Encuesta'!AR471,1)))</f>
        <v/>
      </c>
    </row>
    <row r="498" spans="1:34">
      <c r="A498" t="str">
        <f>IF('Base Encuesta'!C472="","",'Base Encuesta'!C472)</f>
        <v/>
      </c>
      <c r="B498" t="str">
        <f>IF('Base Encuesta'!D472="","",'Base Encuesta'!D472)</f>
        <v/>
      </c>
      <c r="C498" t="str">
        <f>IF('Base Encuesta'!E472="","",'Base Encuesta'!E472)</f>
        <v/>
      </c>
      <c r="D498" t="str">
        <f>IF('Base Encuesta'!F472="","",'Base Encuesta'!F472)</f>
        <v/>
      </c>
      <c r="E498" t="str">
        <f>IF('Base Encuesta'!G472="","",'Base Encuesta'!G472)</f>
        <v/>
      </c>
      <c r="F498" t="str">
        <f>IF('Base Encuesta'!H472="","",'Base Encuesta'!H472)</f>
        <v/>
      </c>
      <c r="G498" t="str">
        <f>IF('Base Encuesta'!I472="","",'Base Encuesta'!I472)</f>
        <v/>
      </c>
      <c r="H498" t="str">
        <f>IF('Base Encuesta'!J472="","",'Base Encuesta'!J472)</f>
        <v/>
      </c>
      <c r="I498" t="str">
        <f>IF('Base Encuesta'!K472="","",'Base Encuesta'!K472)</f>
        <v/>
      </c>
      <c r="J498" t="str">
        <f>IF(OR('Base Encuesta'!P472="",IFERROR(VALUE(LEFT('Base Encuesta'!K472,1)),"")&gt;=3),"",PROPER(TRIM('Base Encuesta'!P472)))</f>
        <v/>
      </c>
      <c r="K498" t="str">
        <f>IF(OR('Base Encuesta'!Q472="",IFERROR(VALUE(LEFT('Base Encuesta'!K472,1)),"")&gt;=3),"",'Base Encuesta'!Q472)</f>
        <v/>
      </c>
      <c r="L498" t="str">
        <f>IF(OR('Base Encuesta'!R472="",IFERROR(VALUE(LEFT('Base Encuesta'!K472,1)),"")&gt;=3),"",VALUE(LEFT('Base Encuesta'!R472,1)))</f>
        <v/>
      </c>
      <c r="M498" t="str">
        <f>IF(OR('Base Encuesta'!S472="",IFERROR(VALUE(LEFT('Base Encuesta'!K472,1)),"")&gt;=3),"",VALUE(LEFT('Base Encuesta'!S472,1)))</f>
        <v/>
      </c>
      <c r="N498" t="str">
        <f>IF(OR('Base Encuesta'!T472="",IFERROR(VALUE(LEFT('Base Encuesta'!K472,1)),"")&gt;=3),"",VALUE(LEFT('Base Encuesta'!T472,1)))</f>
        <v/>
      </c>
      <c r="O498" t="str">
        <f>IF(OR('Base Encuesta'!V472="",IFERROR(VALUE(LEFT('Base Encuesta'!K472,1)),"")&gt;=3),"",VALUE(LEFT('Base Encuesta'!V472,1)))</f>
        <v/>
      </c>
      <c r="P498" t="str">
        <f>IF(OR('Base Encuesta'!W472="",IFERROR(VALUE(LEFT('Base Encuesta'!K472,1)),"")&gt;=3),"",VALUE(LEFT('Base Encuesta'!W472,1)))</f>
        <v/>
      </c>
      <c r="Q498" t="str">
        <f>IF(OR('Base Encuesta'!X472="",IFERROR(VALUE(LEFT('Base Encuesta'!K472,1)),"")&gt;=3),"",VALUE(LEFT('Base Encuesta'!X472,1)))</f>
        <v/>
      </c>
      <c r="R498" t="str">
        <f>IF(OR('Base Encuesta'!Y472="",IFERROR(VALUE(LEFT('Base Encuesta'!K472,1)),"")&gt;=3),"",VALUE(LEFT('Base Encuesta'!Y472,1)))</f>
        <v/>
      </c>
      <c r="S498" t="str">
        <f>IF(OR('Base Encuesta'!Z472="",IFERROR(VALUE(LEFT('Base Encuesta'!K472,1)),"")&gt;=3),"",VALUE(LEFT('Base Encuesta'!Z472,1)))</f>
        <v/>
      </c>
      <c r="T498" t="str">
        <f>IF(OR('Base Encuesta'!AA472="",IFERROR(VALUE(LEFT('Base Encuesta'!K472,1)),"")&gt;=3),"",VALUE(LEFT('Base Encuesta'!AA472,1)))</f>
        <v/>
      </c>
      <c r="U498" t="str">
        <f>IF(OR('Base Encuesta'!AB472="",IFERROR(VALUE(LEFT('Base Encuesta'!K472,1)),"")&gt;=3),"",VALUE(LEFT('Base Encuesta'!AB472,1)))</f>
        <v/>
      </c>
      <c r="V498" t="str">
        <f>IF(OR('Base Encuesta'!AC472="",IFERROR(VALUE(LEFT('Base Encuesta'!K472,1)),"")&gt;=3),"",VALUE(LEFT('Base Encuesta'!AC472,1)))</f>
        <v/>
      </c>
      <c r="W498" t="str">
        <f>IF(OR('Base Encuesta'!AE472="",IFERROR(VALUE(LEFT('Base Encuesta'!K472,1)),"")&gt;=3),"",VALUE(LEFT('Base Encuesta'!AE472,1)))</f>
        <v/>
      </c>
      <c r="X498" t="str">
        <f>IF(OR('Base Encuesta'!AF472="",IFERROR(VALUE(LEFT('Base Encuesta'!K472,1)),"")&gt;=3),"",IF(W498=1,VALUE(LEFT('Base Encuesta'!AF472,1)),""))</f>
        <v/>
      </c>
      <c r="Y498" t="str">
        <f>IF(OR('Base Encuesta'!AG472="",IFERROR(VALUE(LEFT('Base Encuesta'!K472,1)),"")&gt;=3),"",IF(W498=1,VALUE(LEFT('Base Encuesta'!AG472,1)),""))</f>
        <v/>
      </c>
      <c r="Z498" t="str">
        <f>IF(OR('Base Encuesta'!AH472="",IFERROR(VALUE(LEFT('Base Encuesta'!K472,1)),"")&gt;=3),"",IF(W498=1,VALUE(LEFT('Base Encuesta'!AH472,1)),""))</f>
        <v/>
      </c>
      <c r="AA498" t="str">
        <f>IF(OR('Base Encuesta'!AI472="",IFERROR(VALUE(LEFT('Base Encuesta'!K472,1)),"")&gt;=3),"",IF(W498=1,VALUE(LEFT('Base Encuesta'!AI472,1)),""))</f>
        <v/>
      </c>
      <c r="AB498" t="str">
        <f>IF(OR('Base Encuesta'!AJ472="",IFERROR(VALUE(LEFT('Base Encuesta'!K472,1)),"")&gt;=3),"",IF(W498=1,VALUE(LEFT('Base Encuesta'!AJ472,1)),""))</f>
        <v/>
      </c>
      <c r="AC498" t="str">
        <f>IF(OR('Base Encuesta'!AL472="",IFERROR(VALUE(LEFT('Base Encuesta'!K472,1)),"")&gt;=3),"",VALUE(LEFT('Base Encuesta'!AL472,1)))</f>
        <v/>
      </c>
      <c r="AD498" t="str">
        <f>IF(OR('Base Encuesta'!AM472="",IFERROR(VALUE(LEFT('Base Encuesta'!K472,1)),"")&gt;=3),"",VALUE(LEFT('Base Encuesta'!AM472,1)))</f>
        <v/>
      </c>
      <c r="AE498" t="str">
        <f>IF(OR('Base Encuesta'!AN472="",IFERROR(VALUE(LEFT('Base Encuesta'!K472,1)),"")&gt;=3),"",VALUE(LEFT('Base Encuesta'!AN472,1)))</f>
        <v/>
      </c>
      <c r="AF498" t="str">
        <f>IF(OR('Base Encuesta'!AO472="",IFERROR(VALUE(LEFT('Base Encuesta'!K472,1)),"")&gt;=3),"",VALUE(LEFT('Base Encuesta'!AO472,1)))</f>
        <v/>
      </c>
      <c r="AG498" t="str">
        <f>IF(OR('Base Encuesta'!AQ472="",IFERROR(VALUE(LEFT('Base Encuesta'!K472,1)),"")&gt;=3),"",VALUE(LEFT('Base Encuesta'!AQ472,1)))</f>
        <v/>
      </c>
      <c r="AH498" t="str">
        <f>IF(OR('Base Encuesta'!AR472="",IFERROR(VALUE(LEFT('Base Encuesta'!K472,1)),"")&gt;=3),"",VALUE(LEFT('Base Encuesta'!AR472,1)))</f>
        <v/>
      </c>
    </row>
    <row r="499" spans="1:34">
      <c r="A499" t="str">
        <f>IF('Base Encuesta'!C473="","",'Base Encuesta'!C473)</f>
        <v/>
      </c>
      <c r="B499" t="str">
        <f>IF('Base Encuesta'!D473="","",'Base Encuesta'!D473)</f>
        <v/>
      </c>
      <c r="C499" t="str">
        <f>IF('Base Encuesta'!E473="","",'Base Encuesta'!E473)</f>
        <v/>
      </c>
      <c r="D499" t="str">
        <f>IF('Base Encuesta'!F473="","",'Base Encuesta'!F473)</f>
        <v/>
      </c>
      <c r="E499" t="str">
        <f>IF('Base Encuesta'!G473="","",'Base Encuesta'!G473)</f>
        <v/>
      </c>
      <c r="F499" t="str">
        <f>IF('Base Encuesta'!H473="","",'Base Encuesta'!H473)</f>
        <v/>
      </c>
      <c r="G499" t="str">
        <f>IF('Base Encuesta'!I473="","",'Base Encuesta'!I473)</f>
        <v/>
      </c>
      <c r="H499" t="str">
        <f>IF('Base Encuesta'!J473="","",'Base Encuesta'!J473)</f>
        <v/>
      </c>
      <c r="I499" t="str">
        <f>IF('Base Encuesta'!K473="","",'Base Encuesta'!K473)</f>
        <v/>
      </c>
      <c r="J499" t="str">
        <f>IF(OR('Base Encuesta'!P473="",IFERROR(VALUE(LEFT('Base Encuesta'!K473,1)),"")&gt;=3),"",PROPER(TRIM('Base Encuesta'!P473)))</f>
        <v/>
      </c>
      <c r="K499" t="str">
        <f>IF(OR('Base Encuesta'!Q473="",IFERROR(VALUE(LEFT('Base Encuesta'!K473,1)),"")&gt;=3),"",'Base Encuesta'!Q473)</f>
        <v/>
      </c>
      <c r="L499" t="str">
        <f>IF(OR('Base Encuesta'!R473="",IFERROR(VALUE(LEFT('Base Encuesta'!K473,1)),"")&gt;=3),"",VALUE(LEFT('Base Encuesta'!R473,1)))</f>
        <v/>
      </c>
      <c r="M499" t="str">
        <f>IF(OR('Base Encuesta'!S473="",IFERROR(VALUE(LEFT('Base Encuesta'!K473,1)),"")&gt;=3),"",VALUE(LEFT('Base Encuesta'!S473,1)))</f>
        <v/>
      </c>
      <c r="N499" t="str">
        <f>IF(OR('Base Encuesta'!T473="",IFERROR(VALUE(LEFT('Base Encuesta'!K473,1)),"")&gt;=3),"",VALUE(LEFT('Base Encuesta'!T473,1)))</f>
        <v/>
      </c>
      <c r="O499" t="str">
        <f>IF(OR('Base Encuesta'!V473="",IFERROR(VALUE(LEFT('Base Encuesta'!K473,1)),"")&gt;=3),"",VALUE(LEFT('Base Encuesta'!V473,1)))</f>
        <v/>
      </c>
      <c r="P499" t="str">
        <f>IF(OR('Base Encuesta'!W473="",IFERROR(VALUE(LEFT('Base Encuesta'!K473,1)),"")&gt;=3),"",VALUE(LEFT('Base Encuesta'!W473,1)))</f>
        <v/>
      </c>
      <c r="Q499" t="str">
        <f>IF(OR('Base Encuesta'!X473="",IFERROR(VALUE(LEFT('Base Encuesta'!K473,1)),"")&gt;=3),"",VALUE(LEFT('Base Encuesta'!X473,1)))</f>
        <v/>
      </c>
      <c r="R499" t="str">
        <f>IF(OR('Base Encuesta'!Y473="",IFERROR(VALUE(LEFT('Base Encuesta'!K473,1)),"")&gt;=3),"",VALUE(LEFT('Base Encuesta'!Y473,1)))</f>
        <v/>
      </c>
      <c r="S499" t="str">
        <f>IF(OR('Base Encuesta'!Z473="",IFERROR(VALUE(LEFT('Base Encuesta'!K473,1)),"")&gt;=3),"",VALUE(LEFT('Base Encuesta'!Z473,1)))</f>
        <v/>
      </c>
      <c r="T499" t="str">
        <f>IF(OR('Base Encuesta'!AA473="",IFERROR(VALUE(LEFT('Base Encuesta'!K473,1)),"")&gt;=3),"",VALUE(LEFT('Base Encuesta'!AA473,1)))</f>
        <v/>
      </c>
      <c r="U499" t="str">
        <f>IF(OR('Base Encuesta'!AB473="",IFERROR(VALUE(LEFT('Base Encuesta'!K473,1)),"")&gt;=3),"",VALUE(LEFT('Base Encuesta'!AB473,1)))</f>
        <v/>
      </c>
      <c r="V499" t="str">
        <f>IF(OR('Base Encuesta'!AC473="",IFERROR(VALUE(LEFT('Base Encuesta'!K473,1)),"")&gt;=3),"",VALUE(LEFT('Base Encuesta'!AC473,1)))</f>
        <v/>
      </c>
      <c r="W499" t="str">
        <f>IF(OR('Base Encuesta'!AE473="",IFERROR(VALUE(LEFT('Base Encuesta'!K473,1)),"")&gt;=3),"",VALUE(LEFT('Base Encuesta'!AE473,1)))</f>
        <v/>
      </c>
      <c r="X499" t="str">
        <f>IF(OR('Base Encuesta'!AF473="",IFERROR(VALUE(LEFT('Base Encuesta'!K473,1)),"")&gt;=3),"",IF(W499=1,VALUE(LEFT('Base Encuesta'!AF473,1)),""))</f>
        <v/>
      </c>
      <c r="Y499" t="str">
        <f>IF(OR('Base Encuesta'!AG473="",IFERROR(VALUE(LEFT('Base Encuesta'!K473,1)),"")&gt;=3),"",IF(W499=1,VALUE(LEFT('Base Encuesta'!AG473,1)),""))</f>
        <v/>
      </c>
      <c r="Z499" t="str">
        <f>IF(OR('Base Encuesta'!AH473="",IFERROR(VALUE(LEFT('Base Encuesta'!K473,1)),"")&gt;=3),"",IF(W499=1,VALUE(LEFT('Base Encuesta'!AH473,1)),""))</f>
        <v/>
      </c>
      <c r="AA499" t="str">
        <f>IF(OR('Base Encuesta'!AI473="",IFERROR(VALUE(LEFT('Base Encuesta'!K473,1)),"")&gt;=3),"",IF(W499=1,VALUE(LEFT('Base Encuesta'!AI473,1)),""))</f>
        <v/>
      </c>
      <c r="AB499" t="str">
        <f>IF(OR('Base Encuesta'!AJ473="",IFERROR(VALUE(LEFT('Base Encuesta'!K473,1)),"")&gt;=3),"",IF(W499=1,VALUE(LEFT('Base Encuesta'!AJ473,1)),""))</f>
        <v/>
      </c>
      <c r="AC499" t="str">
        <f>IF(OR('Base Encuesta'!AL473="",IFERROR(VALUE(LEFT('Base Encuesta'!K473,1)),"")&gt;=3),"",VALUE(LEFT('Base Encuesta'!AL473,1)))</f>
        <v/>
      </c>
      <c r="AD499" t="str">
        <f>IF(OR('Base Encuesta'!AM473="",IFERROR(VALUE(LEFT('Base Encuesta'!K473,1)),"")&gt;=3),"",VALUE(LEFT('Base Encuesta'!AM473,1)))</f>
        <v/>
      </c>
      <c r="AE499" t="str">
        <f>IF(OR('Base Encuesta'!AN473="",IFERROR(VALUE(LEFT('Base Encuesta'!K473,1)),"")&gt;=3),"",VALUE(LEFT('Base Encuesta'!AN473,1)))</f>
        <v/>
      </c>
      <c r="AF499" t="str">
        <f>IF(OR('Base Encuesta'!AO473="",IFERROR(VALUE(LEFT('Base Encuesta'!K473,1)),"")&gt;=3),"",VALUE(LEFT('Base Encuesta'!AO473,1)))</f>
        <v/>
      </c>
      <c r="AG499" t="str">
        <f>IF(OR('Base Encuesta'!AQ473="",IFERROR(VALUE(LEFT('Base Encuesta'!K473,1)),"")&gt;=3),"",VALUE(LEFT('Base Encuesta'!AQ473,1)))</f>
        <v/>
      </c>
      <c r="AH499" t="str">
        <f>IF(OR('Base Encuesta'!AR473="",IFERROR(VALUE(LEFT('Base Encuesta'!K473,1)),"")&gt;=3),"",VALUE(LEFT('Base Encuesta'!AR473,1)))</f>
        <v/>
      </c>
    </row>
    <row r="500" spans="1:34">
      <c r="A500" t="str">
        <f>IF('Base Encuesta'!C474="","",'Base Encuesta'!C474)</f>
        <v/>
      </c>
      <c r="B500" t="str">
        <f>IF('Base Encuesta'!D474="","",'Base Encuesta'!D474)</f>
        <v/>
      </c>
      <c r="C500" t="str">
        <f>IF('Base Encuesta'!E474="","",'Base Encuesta'!E474)</f>
        <v/>
      </c>
      <c r="D500" t="str">
        <f>IF('Base Encuesta'!F474="","",'Base Encuesta'!F474)</f>
        <v/>
      </c>
      <c r="E500" t="str">
        <f>IF('Base Encuesta'!G474="","",'Base Encuesta'!G474)</f>
        <v/>
      </c>
      <c r="F500" t="str">
        <f>IF('Base Encuesta'!H474="","",'Base Encuesta'!H474)</f>
        <v/>
      </c>
      <c r="G500" t="str">
        <f>IF('Base Encuesta'!I474="","",'Base Encuesta'!I474)</f>
        <v/>
      </c>
      <c r="H500" t="str">
        <f>IF('Base Encuesta'!J474="","",'Base Encuesta'!J474)</f>
        <v/>
      </c>
      <c r="I500" t="str">
        <f>IF('Base Encuesta'!K474="","",'Base Encuesta'!K474)</f>
        <v/>
      </c>
      <c r="J500" t="str">
        <f>IF(OR('Base Encuesta'!P474="",IFERROR(VALUE(LEFT('Base Encuesta'!K474,1)),"")&gt;=3),"",PROPER(TRIM('Base Encuesta'!P474)))</f>
        <v/>
      </c>
      <c r="K500" t="str">
        <f>IF(OR('Base Encuesta'!Q474="",IFERROR(VALUE(LEFT('Base Encuesta'!K474,1)),"")&gt;=3),"",'Base Encuesta'!Q474)</f>
        <v/>
      </c>
      <c r="L500" t="str">
        <f>IF(OR('Base Encuesta'!R474="",IFERROR(VALUE(LEFT('Base Encuesta'!K474,1)),"")&gt;=3),"",VALUE(LEFT('Base Encuesta'!R474,1)))</f>
        <v/>
      </c>
      <c r="M500" t="str">
        <f>IF(OR('Base Encuesta'!S474="",IFERROR(VALUE(LEFT('Base Encuesta'!K474,1)),"")&gt;=3),"",VALUE(LEFT('Base Encuesta'!S474,1)))</f>
        <v/>
      </c>
      <c r="N500" t="str">
        <f>IF(OR('Base Encuesta'!T474="",IFERROR(VALUE(LEFT('Base Encuesta'!K474,1)),"")&gt;=3),"",VALUE(LEFT('Base Encuesta'!T474,1)))</f>
        <v/>
      </c>
      <c r="O500" t="str">
        <f>IF(OR('Base Encuesta'!V474="",IFERROR(VALUE(LEFT('Base Encuesta'!K474,1)),"")&gt;=3),"",VALUE(LEFT('Base Encuesta'!V474,1)))</f>
        <v/>
      </c>
      <c r="P500" t="str">
        <f>IF(OR('Base Encuesta'!W474="",IFERROR(VALUE(LEFT('Base Encuesta'!K474,1)),"")&gt;=3),"",VALUE(LEFT('Base Encuesta'!W474,1)))</f>
        <v/>
      </c>
      <c r="Q500" t="str">
        <f>IF(OR('Base Encuesta'!X474="",IFERROR(VALUE(LEFT('Base Encuesta'!K474,1)),"")&gt;=3),"",VALUE(LEFT('Base Encuesta'!X474,1)))</f>
        <v/>
      </c>
      <c r="R500" t="str">
        <f>IF(OR('Base Encuesta'!Y474="",IFERROR(VALUE(LEFT('Base Encuesta'!K474,1)),"")&gt;=3),"",VALUE(LEFT('Base Encuesta'!Y474,1)))</f>
        <v/>
      </c>
      <c r="S500" t="str">
        <f>IF(OR('Base Encuesta'!Z474="",IFERROR(VALUE(LEFT('Base Encuesta'!K474,1)),"")&gt;=3),"",VALUE(LEFT('Base Encuesta'!Z474,1)))</f>
        <v/>
      </c>
      <c r="T500" t="str">
        <f>IF(OR('Base Encuesta'!AA474="",IFERROR(VALUE(LEFT('Base Encuesta'!K474,1)),"")&gt;=3),"",VALUE(LEFT('Base Encuesta'!AA474,1)))</f>
        <v/>
      </c>
      <c r="U500" t="str">
        <f>IF(OR('Base Encuesta'!AB474="",IFERROR(VALUE(LEFT('Base Encuesta'!K474,1)),"")&gt;=3),"",VALUE(LEFT('Base Encuesta'!AB474,1)))</f>
        <v/>
      </c>
      <c r="V500" t="str">
        <f>IF(OR('Base Encuesta'!AC474="",IFERROR(VALUE(LEFT('Base Encuesta'!K474,1)),"")&gt;=3),"",VALUE(LEFT('Base Encuesta'!AC474,1)))</f>
        <v/>
      </c>
      <c r="W500" t="str">
        <f>IF(OR('Base Encuesta'!AE474="",IFERROR(VALUE(LEFT('Base Encuesta'!K474,1)),"")&gt;=3),"",VALUE(LEFT('Base Encuesta'!AE474,1)))</f>
        <v/>
      </c>
      <c r="X500" t="str">
        <f>IF(OR('Base Encuesta'!AF474="",IFERROR(VALUE(LEFT('Base Encuesta'!K474,1)),"")&gt;=3),"",IF(W500=1,VALUE(LEFT('Base Encuesta'!AF474,1)),""))</f>
        <v/>
      </c>
      <c r="Y500" t="str">
        <f>IF(OR('Base Encuesta'!AG474="",IFERROR(VALUE(LEFT('Base Encuesta'!K474,1)),"")&gt;=3),"",IF(W500=1,VALUE(LEFT('Base Encuesta'!AG474,1)),""))</f>
        <v/>
      </c>
      <c r="Z500" t="str">
        <f>IF(OR('Base Encuesta'!AH474="",IFERROR(VALUE(LEFT('Base Encuesta'!K474,1)),"")&gt;=3),"",IF(W500=1,VALUE(LEFT('Base Encuesta'!AH474,1)),""))</f>
        <v/>
      </c>
      <c r="AA500" t="str">
        <f>IF(OR('Base Encuesta'!AI474="",IFERROR(VALUE(LEFT('Base Encuesta'!K474,1)),"")&gt;=3),"",IF(W500=1,VALUE(LEFT('Base Encuesta'!AI474,1)),""))</f>
        <v/>
      </c>
      <c r="AB500" t="str">
        <f>IF(OR('Base Encuesta'!AJ474="",IFERROR(VALUE(LEFT('Base Encuesta'!K474,1)),"")&gt;=3),"",IF(W500=1,VALUE(LEFT('Base Encuesta'!AJ474,1)),""))</f>
        <v/>
      </c>
      <c r="AC500" t="str">
        <f>IF(OR('Base Encuesta'!AL474="",IFERROR(VALUE(LEFT('Base Encuesta'!K474,1)),"")&gt;=3),"",VALUE(LEFT('Base Encuesta'!AL474,1)))</f>
        <v/>
      </c>
      <c r="AD500" t="str">
        <f>IF(OR('Base Encuesta'!AM474="",IFERROR(VALUE(LEFT('Base Encuesta'!K474,1)),"")&gt;=3),"",VALUE(LEFT('Base Encuesta'!AM474,1)))</f>
        <v/>
      </c>
      <c r="AE500" t="str">
        <f>IF(OR('Base Encuesta'!AN474="",IFERROR(VALUE(LEFT('Base Encuesta'!K474,1)),"")&gt;=3),"",VALUE(LEFT('Base Encuesta'!AN474,1)))</f>
        <v/>
      </c>
      <c r="AF500" t="str">
        <f>IF(OR('Base Encuesta'!AO474="",IFERROR(VALUE(LEFT('Base Encuesta'!K474,1)),"")&gt;=3),"",VALUE(LEFT('Base Encuesta'!AO474,1)))</f>
        <v/>
      </c>
      <c r="AG500" t="str">
        <f>IF(OR('Base Encuesta'!AQ474="",IFERROR(VALUE(LEFT('Base Encuesta'!K474,1)),"")&gt;=3),"",VALUE(LEFT('Base Encuesta'!AQ474,1)))</f>
        <v/>
      </c>
      <c r="AH500" t="str">
        <f>IF(OR('Base Encuesta'!AR474="",IFERROR(VALUE(LEFT('Base Encuesta'!K474,1)),"")&gt;=3),"",VALUE(LEFT('Base Encuesta'!AR474,1)))</f>
        <v/>
      </c>
    </row>
    <row r="501" spans="1:34">
      <c r="I501" t="s">
        <v>95</v>
      </c>
    </row>
    <row r="502" spans="1:34">
      <c r="I502" t="s">
        <v>97</v>
      </c>
    </row>
    <row r="503" spans="1:34">
      <c r="I503" t="s">
        <v>96</v>
      </c>
    </row>
    <row r="504" spans="1:34">
      <c r="I504" t="s">
        <v>140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6E837-354F-40AB-B5A6-48E7FFFCF2A1}">
  <dimension ref="A1:AZ42"/>
  <sheetViews>
    <sheetView workbookViewId="0" tabSelected="false">
      <selection activeCell="AA23" sqref="AA23"/>
    </sheetView>
  </sheetViews>
  <sheetFormatPr baseColWidth="10" defaultRowHeight="12.75"/>
  <cols>
    <col min="1" max="1" bestFit="true" customWidth="true" width="33.5703125" collapsed="true"/>
    <col min="2" max="2" bestFit="true" customWidth="true" width="19.0" collapsed="true"/>
    <col min="3" max="12" bestFit="true" customWidth="true" width="3.5703125" collapsed="true"/>
    <col min="13" max="13" customWidth="true" width="3.5703125" collapsed="true"/>
    <col min="14" max="24" bestFit="true" customWidth="true" width="3.5703125" collapsed="true"/>
    <col min="25" max="26" customWidth="true" width="4.42578125" collapsed="true"/>
    <col min="27" max="27" bestFit="true" customWidth="true" width="33.5703125" collapsed="true"/>
    <col min="28" max="28" bestFit="true" customWidth="true" width="20.28515625" collapsed="true"/>
    <col min="29" max="31" customWidth="true" width="4.42578125" collapsed="true"/>
    <col min="32" max="32" bestFit="true" customWidth="true" width="35.85546875" collapsed="true"/>
    <col min="33" max="52" customWidth="true" width="4.42578125" collapsed="true"/>
  </cols>
  <sheetData>
    <row r="1" spans="1:34">
      <c r="AF1" s="5" t="s">
        <v>138</v>
      </c>
      <c r="AG1" s="5" t="s">
        <v>22</v>
      </c>
      <c r="AH1" s="5" t="s">
        <v>139</v>
      </c>
    </row>
    <row r="2" spans="1:34">
      <c r="A2" s="55" t="s">
        <v>44</v>
      </c>
      <c r="B2" s="56" t="s">
        <v>100</v>
      </c>
      <c r="AA2" s="55" t="s">
        <v>44</v>
      </c>
      <c r="AB2" s="56" t="s">
        <v>100</v>
      </c>
      <c r="AF2" t="s">
        <v>2</v>
      </c>
      <c r="AG2" s="61" t="str">
        <f>'Síntesis de Resultados'!E35</f>
        <v>-</v>
      </c>
      <c r="AH2">
        <v>1</v>
      </c>
    </row>
    <row r="3" spans="1:34">
      <c r="AF3" t="s">
        <v>25</v>
      </c>
      <c r="AG3" s="61" t="str">
        <f>'Síntesis de Resultados'!H35</f>
        <v>-</v>
      </c>
    </row>
    <row r="4" spans="1:34">
      <c r="A4" s="43"/>
      <c r="B4" s="44" t="s">
        <v>123</v>
      </c>
      <c r="C4" s="45"/>
      <c r="D4" s="45"/>
      <c r="E4" s="45"/>
      <c r="F4" s="45"/>
      <c r="G4" s="45"/>
      <c r="H4" s="45"/>
      <c r="I4" s="45"/>
      <c r="J4" s="45"/>
      <c r="K4" s="45"/>
      <c r="L4" s="45"/>
      <c r="M4" s="45"/>
      <c r="N4" s="45"/>
      <c r="O4" s="45"/>
      <c r="P4" s="45"/>
      <c r="Q4" s="45"/>
      <c r="R4" s="45"/>
      <c r="S4" s="45"/>
      <c r="T4" s="45"/>
      <c r="U4" s="45"/>
      <c r="V4" s="45"/>
      <c r="W4" s="46"/>
      <c r="AA4" s="44" t="s">
        <v>124</v>
      </c>
      <c r="AB4" s="57" t="s">
        <v>126</v>
      </c>
      <c r="AF4" t="s">
        <v>1</v>
      </c>
      <c r="AG4" s="61" t="str">
        <f>'Síntesis de Resultados'!K35</f>
        <v>-</v>
      </c>
    </row>
    <row r="5" spans="1:34">
      <c r="A5" s="47"/>
      <c r="B5" s="43" t="s">
        <v>101</v>
      </c>
      <c r="C5" s="48" t="s">
        <v>102</v>
      </c>
      <c r="D5" s="48" t="s">
        <v>103</v>
      </c>
      <c r="E5" s="48" t="s">
        <v>104</v>
      </c>
      <c r="F5" s="48" t="s">
        <v>105</v>
      </c>
      <c r="G5" s="48" t="s">
        <v>106</v>
      </c>
      <c r="H5" s="48" t="s">
        <v>107</v>
      </c>
      <c r="I5" s="48" t="s">
        <v>108</v>
      </c>
      <c r="J5" s="48" t="s">
        <v>109</v>
      </c>
      <c r="K5" s="48" t="s">
        <v>110</v>
      </c>
      <c r="L5" s="48" t="s">
        <v>111</v>
      </c>
      <c r="M5" s="48" t="s">
        <v>112</v>
      </c>
      <c r="N5" s="48" t="s">
        <v>113</v>
      </c>
      <c r="O5" s="48" t="s">
        <v>114</v>
      </c>
      <c r="P5" s="48" t="s">
        <v>115</v>
      </c>
      <c r="Q5" s="48" t="s">
        <v>116</v>
      </c>
      <c r="R5" s="48" t="s">
        <v>117</v>
      </c>
      <c r="S5" s="48" t="s">
        <v>118</v>
      </c>
      <c r="T5" s="48" t="s">
        <v>119</v>
      </c>
      <c r="U5" s="48" t="s">
        <v>120</v>
      </c>
      <c r="V5" s="48" t="s">
        <v>121</v>
      </c>
      <c r="W5" s="49" t="s">
        <v>122</v>
      </c>
      <c r="AA5" s="58" t="s">
        <v>141</v>
      </c>
      <c r="AB5" s="72"/>
      <c r="AF5" t="s">
        <v>23</v>
      </c>
      <c r="AG5" s="61" t="str">
        <f>'Síntesis de Resultados'!K27</f>
        <v>-</v>
      </c>
    </row>
    <row r="6" spans="1:34">
      <c r="A6" s="50" t="s">
        <v>127</v>
      </c>
      <c r="B6" s="51"/>
      <c r="C6" s="52"/>
      <c r="D6" s="52"/>
      <c r="E6" s="52"/>
      <c r="F6" s="52"/>
      <c r="G6" s="52"/>
      <c r="H6" s="52"/>
      <c r="I6" s="52"/>
      <c r="J6" s="52"/>
      <c r="K6" s="52"/>
      <c r="L6" s="52"/>
      <c r="M6" s="53"/>
      <c r="N6" s="52"/>
      <c r="O6" s="52"/>
      <c r="P6" s="52"/>
      <c r="Q6" s="52"/>
      <c r="R6" s="52"/>
      <c r="S6" s="52"/>
      <c r="T6" s="52"/>
      <c r="U6" s="52"/>
      <c r="V6" s="52"/>
      <c r="W6" s="54"/>
      <c r="AF6" t="s">
        <v>24</v>
      </c>
      <c r="AG6" s="61" t="str">
        <f>'Síntesis de Resultados'!H27</f>
        <v>-</v>
      </c>
    </row>
    <row r="7" spans="1:34">
      <c r="AF7" t="s">
        <v>0</v>
      </c>
      <c r="AG7" s="61" t="str">
        <f>'Síntesis de Resultados'!E27</f>
        <v>-</v>
      </c>
      <c r="AH7">
        <v>5</v>
      </c>
    </row>
    <row r="9" spans="1:34">
      <c r="B9" s="40"/>
      <c r="C9" s="40"/>
      <c r="D9" s="40"/>
      <c r="E9" s="40"/>
      <c r="F9" s="40"/>
      <c r="G9" s="40"/>
      <c r="H9" s="40"/>
      <c r="I9" s="40"/>
      <c r="J9" s="40"/>
      <c r="K9" s="40"/>
      <c r="L9" s="40"/>
      <c r="M9" s="40"/>
      <c r="N9" s="40"/>
      <c r="O9" s="40"/>
      <c r="P9" s="40"/>
      <c r="Q9" s="40"/>
      <c r="R9" s="40"/>
      <c r="S9" s="40"/>
      <c r="T9" s="40"/>
      <c r="U9" s="40"/>
      <c r="V9" s="40"/>
      <c r="W9" s="40"/>
    </row>
    <row r="23" spans="13:29">
      <c r="M23" s="27"/>
    </row>
    <row r="26" spans="13:29">
      <c r="AC26" s="28"/>
    </row>
    <row r="27" spans="13:29">
      <c r="AC27" s="28"/>
    </row>
    <row r="28" spans="13:29">
      <c r="AC28" s="28"/>
    </row>
    <row r="30" spans="13:29">
      <c r="AC30" s="28"/>
    </row>
    <row r="31" spans="13:29">
      <c r="AC31" s="28"/>
    </row>
    <row r="32" spans="13:29">
      <c r="AC32" s="28"/>
    </row>
    <row r="33" spans="29:29">
      <c r="AC33" s="28"/>
    </row>
    <row r="34" spans="29:29">
      <c r="AC34" s="28"/>
    </row>
    <row r="35" spans="29:29">
      <c r="AC35" s="28"/>
    </row>
    <row r="36" spans="29:29">
      <c r="AC36" s="28"/>
    </row>
    <row r="37" spans="29:29">
      <c r="AC37" s="28"/>
    </row>
    <row r="38" spans="29:29">
      <c r="AC38" s="28"/>
    </row>
    <row r="39" spans="29:29">
      <c r="AC39" s="28"/>
    </row>
    <row r="40" spans="29:29">
      <c r="AC40" s="28"/>
    </row>
    <row r="41" spans="29:29">
      <c r="AC41" s="28"/>
    </row>
    <row r="42" spans="29:29">
      <c r="AC42" s="28"/>
    </row>
  </sheetData>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vt:i4>
      </vt:variant>
    </vt:vector>
  </HeadingPairs>
  <TitlesOfParts>
    <vt:vector size="6" baseType="lpstr">
      <vt:lpstr>Sobre la Encuesta</vt:lpstr>
      <vt:lpstr>Síntesis de Resultados</vt:lpstr>
      <vt:lpstr>Base Encuesta</vt:lpstr>
      <vt:lpstr>_BaseNum</vt:lpstr>
      <vt:lpstr>_DinamicaProm</vt:lpstr>
      <vt:lpstr>RangoGraf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2025-08-05T18:38:14Z</dcterms:created>
  <dc:creator>Dflorez</dc:creator>
  <cp:lastModifiedBy>Diego Florez Poletti</cp:lastModifiedBy>
  <cp:lastPrinted>2025-08-19T14:21:20Z</cp:lastPrinted>
  <dcterms:modified xsi:type="dcterms:W3CDTF">2026-06-19T17:55:09Z</dcterms:modified>
</cp:coreProperties>
</file>